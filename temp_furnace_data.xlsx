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yan\Desktop\furnace_intelligence_system\"/>
    </mc:Choice>
  </mc:AlternateContent>
  <xr:revisionPtr revIDLastSave="0" documentId="13_ncr:1_{19363A54-2B48-42D2-B001-1148F6173CEB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10" i="1" l="1"/>
  <c r="BL10" i="1"/>
  <c r="AG10" i="1"/>
  <c r="AF10" i="1"/>
  <c r="AE10" i="1"/>
  <c r="AD10" i="1"/>
  <c r="AB10" i="1"/>
  <c r="Z10" i="1"/>
  <c r="Y10" i="1"/>
  <c r="C10" i="1"/>
  <c r="BC10" i="1" s="1"/>
  <c r="DV6" i="1" a="1"/>
  <c r="DV6" i="1" s="1"/>
  <c r="DS6" i="1" a="1"/>
  <c r="DS6" i="1" s="1"/>
  <c r="DQ6" i="1" a="1"/>
  <c r="DQ6" i="1" s="1"/>
  <c r="DP6" i="1" a="1"/>
  <c r="DP6" i="1" s="1"/>
  <c r="DO6" i="1" a="1"/>
  <c r="DO6" i="1" s="1"/>
  <c r="DN6" i="1"/>
  <c r="DN6" i="1" a="1"/>
  <c r="DH6" i="1" a="1"/>
  <c r="DH6" i="1" s="1"/>
  <c r="DG6" i="1" a="1"/>
  <c r="DG6" i="1" s="1"/>
  <c r="DF6" i="1" a="1"/>
  <c r="DF6" i="1" s="1"/>
  <c r="DE6" i="1" a="1"/>
  <c r="DE6" i="1" s="1"/>
  <c r="DD6" i="1" a="1"/>
  <c r="DD6" i="1" s="1"/>
  <c r="CZ6" i="1" a="1"/>
  <c r="CZ6" i="1" s="1"/>
  <c r="CW6" i="1" a="1"/>
  <c r="CW6" i="1" s="1"/>
  <c r="CV6" i="1" a="1"/>
  <c r="CV6" i="1" s="1"/>
  <c r="CU6" i="1"/>
  <c r="CU6" i="1" a="1"/>
  <c r="CT6" i="1" a="1"/>
  <c r="CT6" i="1" s="1"/>
  <c r="CQ6" i="1" a="1"/>
  <c r="CQ6" i="1" s="1"/>
  <c r="CP6" i="1" a="1"/>
  <c r="CP6" i="1" s="1"/>
  <c r="CO6" i="1" a="1"/>
  <c r="CO6" i="1" s="1"/>
  <c r="CJ6" i="1" a="1"/>
  <c r="CJ6" i="1" s="1"/>
  <c r="CG6" i="1" a="1"/>
  <c r="CG6" i="1" s="1"/>
  <c r="CF6" i="1" a="1"/>
  <c r="CF6" i="1" s="1"/>
  <c r="CE6" i="1" a="1"/>
  <c r="CE6" i="1" s="1"/>
  <c r="CD6" i="1" a="1"/>
  <c r="CD6" i="1" s="1"/>
  <c r="CC6" i="1" a="1"/>
  <c r="CC6" i="1" s="1"/>
  <c r="BW6" i="1" a="1"/>
  <c r="BW6" i="1" s="1"/>
  <c r="BR6" i="1"/>
  <c r="BQ6" i="1"/>
  <c r="BP6" i="1"/>
  <c r="BO6" i="1"/>
  <c r="BN6" i="1"/>
  <c r="BM6" i="1"/>
  <c r="BK6" i="1"/>
  <c r="BF6" i="1"/>
  <c r="AZ6" i="1"/>
  <c r="AY6" i="1"/>
  <c r="AX6" i="1"/>
  <c r="AW6" i="1"/>
  <c r="AV6" i="1"/>
  <c r="AT6" i="1"/>
  <c r="AS6" i="1"/>
  <c r="AN6" i="1"/>
  <c r="AL6" i="1"/>
  <c r="AK6" i="1"/>
  <c r="AJ6" i="1"/>
  <c r="AI6" i="1"/>
  <c r="AC6" i="1"/>
  <c r="AB6" i="1"/>
  <c r="AA6" i="1"/>
  <c r="U6" i="1"/>
  <c r="T6" i="1"/>
  <c r="S6" i="1"/>
  <c r="R6" i="1"/>
  <c r="Q6" i="1"/>
  <c r="P6" i="1"/>
  <c r="O6" i="1"/>
  <c r="N6" i="1"/>
  <c r="L6" i="1"/>
  <c r="C6" i="1"/>
  <c r="A6" i="1"/>
  <c r="DW3" i="1"/>
  <c r="DV3" i="1" a="1"/>
  <c r="DV3" i="1" s="1"/>
  <c r="DU3" i="1" a="1"/>
  <c r="DU3" i="1" s="1"/>
  <c r="DT3" i="1"/>
  <c r="DT3" i="1" a="1"/>
  <c r="DS3" i="1" a="1"/>
  <c r="DS3" i="1" s="1"/>
  <c r="DN3" i="1" a="1"/>
  <c r="DN3" i="1" s="1"/>
  <c r="DM3" i="1" a="1"/>
  <c r="DM3" i="1" s="1"/>
  <c r="DL3" i="1"/>
  <c r="DL3" i="1" a="1"/>
  <c r="DK3" i="1" a="1"/>
  <c r="DK3" i="1" s="1"/>
  <c r="DJ3" i="1" a="1"/>
  <c r="DJ3" i="1" s="1"/>
  <c r="DG3" i="1" a="1"/>
  <c r="DG3" i="1" s="1"/>
  <c r="DF3" i="1" a="1"/>
  <c r="DF3" i="1" s="1"/>
  <c r="DE3" i="1" a="1"/>
  <c r="DE3" i="1" s="1"/>
  <c r="DD3" i="1" a="1"/>
  <c r="DD3" i="1" s="1"/>
  <c r="DC3" i="1" a="1"/>
  <c r="DC3" i="1" s="1"/>
  <c r="DB3" i="1" a="1"/>
  <c r="DB3" i="1" s="1"/>
  <c r="DA3" i="1" a="1"/>
  <c r="DA3" i="1" s="1"/>
  <c r="CW3" i="1" a="1"/>
  <c r="CW3" i="1" s="1"/>
  <c r="CV3" i="1" a="1"/>
  <c r="CV3" i="1" s="1"/>
  <c r="CU3" i="1" a="1"/>
  <c r="CU3" i="1" s="1"/>
  <c r="CT3" i="1" a="1"/>
  <c r="CT3" i="1" s="1"/>
  <c r="CS3" i="1" a="1"/>
  <c r="CS3" i="1" s="1"/>
  <c r="CM3" i="1" a="1"/>
  <c r="CM3" i="1" s="1"/>
  <c r="CL3" i="1" a="1"/>
  <c r="CL3" i="1" s="1"/>
  <c r="CK3" i="1" a="1"/>
  <c r="CK3" i="1" s="1"/>
  <c r="CJ3" i="1" a="1"/>
  <c r="CJ3" i="1" s="1"/>
  <c r="CH3" i="1"/>
  <c r="CH3" i="1" a="1"/>
  <c r="CD3" i="1" a="1"/>
  <c r="CD3" i="1" s="1"/>
  <c r="CC3" i="1" a="1"/>
  <c r="CC3" i="1" s="1"/>
  <c r="CB3" i="1" a="1"/>
  <c r="CB3" i="1" s="1"/>
  <c r="BZ3" i="1" a="1"/>
  <c r="BZ3" i="1" s="1"/>
  <c r="BY3" i="1" a="1"/>
  <c r="BY3" i="1" s="1"/>
  <c r="BR3" i="1"/>
  <c r="BQ3" i="1"/>
  <c r="BP3" i="1"/>
  <c r="BO3" i="1"/>
  <c r="BM3" i="1"/>
  <c r="BL3" i="1"/>
  <c r="BK3" i="1"/>
  <c r="BJ3" i="1"/>
  <c r="BI3" i="1"/>
  <c r="BH3" i="1"/>
  <c r="BG3" i="1"/>
  <c r="BC3" i="1"/>
  <c r="BA3" i="1"/>
  <c r="AZ3" i="1"/>
  <c r="AY3" i="1"/>
  <c r="AW3" i="1"/>
  <c r="AV3" i="1"/>
  <c r="AU3" i="1"/>
  <c r="AT3" i="1"/>
  <c r="AS3" i="1"/>
  <c r="AR3" i="1"/>
  <c r="AQ3" i="1"/>
  <c r="AP3" i="1"/>
  <c r="AN3" i="1"/>
  <c r="AK3" i="1"/>
  <c r="AI3" i="1"/>
  <c r="AG3" i="1"/>
  <c r="AF3" i="1"/>
  <c r="AE3" i="1"/>
  <c r="AD3" i="1"/>
  <c r="AC3" i="1"/>
  <c r="AB3" i="1"/>
  <c r="AA3" i="1"/>
  <c r="Z3" i="1"/>
  <c r="Y3" i="1"/>
  <c r="W3" i="1"/>
  <c r="V3" i="1"/>
  <c r="S3" i="1"/>
  <c r="Q3" i="1"/>
  <c r="P3" i="1"/>
  <c r="O3" i="1"/>
  <c r="N3" i="1"/>
  <c r="M3" i="1"/>
  <c r="L3" i="1"/>
  <c r="K3" i="1"/>
  <c r="J3" i="1"/>
  <c r="I3" i="1"/>
  <c r="G3" i="1"/>
  <c r="F3" i="1"/>
  <c r="E3" i="1"/>
  <c r="C3" i="1"/>
  <c r="BB3" i="1" s="1"/>
  <c r="A3" i="1"/>
  <c r="DQ3" i="1" s="1" a="1"/>
  <c r="DQ3" i="1" s="1"/>
  <c r="DW2" i="1"/>
  <c r="DT2" i="1" a="1"/>
  <c r="DT2" i="1" s="1"/>
  <c r="DJ2" i="1" a="1"/>
  <c r="DJ2" i="1" s="1"/>
  <c r="DI2" i="1" a="1"/>
  <c r="DI2" i="1" s="1"/>
  <c r="CZ2" i="1" a="1"/>
  <c r="CZ2" i="1" s="1"/>
  <c r="CM2" i="1" a="1"/>
  <c r="CM2" i="1" s="1"/>
  <c r="CC2" i="1" a="1"/>
  <c r="CC2" i="1" s="1"/>
  <c r="CB2" i="1" a="1"/>
  <c r="CB2" i="1" s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A2" i="1"/>
  <c r="DE2" i="1" s="1" a="1"/>
  <c r="DE2" i="1" s="1"/>
  <c r="CE2" i="1" l="1" a="1"/>
  <c r="CE2" i="1" s="1"/>
  <c r="DL2" i="1" a="1"/>
  <c r="DL2" i="1" s="1"/>
  <c r="DV2" i="1" a="1"/>
  <c r="DV2" i="1" s="1"/>
  <c r="H10" i="1"/>
  <c r="AY10" i="1"/>
  <c r="DA2" i="1" a="1"/>
  <c r="DA2" i="1" s="1"/>
  <c r="DM2" i="1" a="1"/>
  <c r="DM2" i="1" s="1"/>
  <c r="AV10" i="1"/>
  <c r="BW2" i="1" a="1"/>
  <c r="BW2" i="1" s="1"/>
  <c r="DD2" i="1" a="1"/>
  <c r="DD2" i="1" s="1"/>
  <c r="AW10" i="1"/>
  <c r="CU2" i="1" a="1"/>
  <c r="CU2" i="1" s="1"/>
  <c r="Q10" i="1"/>
  <c r="AZ10" i="1"/>
  <c r="DP2" i="1" a="1"/>
  <c r="DP2" i="1" s="1"/>
  <c r="CY2" i="1" a="1"/>
  <c r="CY2" i="1" s="1"/>
  <c r="CG2" i="1" a="1"/>
  <c r="CG2" i="1" s="1"/>
  <c r="DG2" i="1" a="1"/>
  <c r="DG2" i="1" s="1"/>
  <c r="CP2" i="1" a="1"/>
  <c r="CP2" i="1" s="1"/>
  <c r="BX2" i="1" a="1"/>
  <c r="BX2" i="1" s="1"/>
  <c r="DO2" i="1" a="1"/>
  <c r="DO2" i="1" s="1"/>
  <c r="CX2" i="1" a="1"/>
  <c r="CX2" i="1" s="1"/>
  <c r="CF2" i="1" a="1"/>
  <c r="CF2" i="1" s="1"/>
  <c r="CD2" i="1" a="1"/>
  <c r="CD2" i="1" s="1"/>
  <c r="CO2" i="1" a="1"/>
  <c r="CO2" i="1" s="1"/>
  <c r="DK2" i="1" a="1"/>
  <c r="DK2" i="1" s="1"/>
  <c r="DU2" i="1" a="1"/>
  <c r="DU2" i="1" s="1"/>
  <c r="CR2" i="1" a="1"/>
  <c r="CR2" i="1" s="1"/>
  <c r="DB2" i="1" a="1"/>
  <c r="DB2" i="1" s="1"/>
  <c r="F10" i="1"/>
  <c r="BY2" i="1" a="1"/>
  <c r="BY2" i="1" s="1"/>
  <c r="CI2" i="1" a="1"/>
  <c r="CI2" i="1" s="1"/>
  <c r="CT2" i="1" a="1"/>
  <c r="CT2" i="1" s="1"/>
  <c r="BZ2" i="1" a="1"/>
  <c r="BZ2" i="1" s="1"/>
  <c r="CJ2" i="1" a="1"/>
  <c r="CJ2" i="1" s="1"/>
  <c r="DQ2" i="1" a="1"/>
  <c r="DQ2" i="1" s="1"/>
  <c r="CV2" i="1" a="1"/>
  <c r="CV2" i="1" s="1"/>
  <c r="DF2" i="1" a="1"/>
  <c r="DF2" i="1" s="1"/>
  <c r="V10" i="1"/>
  <c r="BB10" i="1"/>
  <c r="DW10" i="1"/>
  <c r="CQ2" i="1" a="1"/>
  <c r="CQ2" i="1" s="1"/>
  <c r="DC2" i="1" a="1"/>
  <c r="DC2" i="1" s="1"/>
  <c r="D10" i="1"/>
  <c r="AX10" i="1"/>
  <c r="CK2" i="1" a="1"/>
  <c r="CK2" i="1" s="1"/>
  <c r="W10" i="1"/>
  <c r="C14" i="1"/>
  <c r="BI10" i="1"/>
  <c r="AS10" i="1"/>
  <c r="AC10" i="1"/>
  <c r="M10" i="1"/>
  <c r="BG10" i="1"/>
  <c r="AQ10" i="1"/>
  <c r="AA10" i="1"/>
  <c r="K10" i="1"/>
  <c r="BF10" i="1"/>
  <c r="AP10" i="1"/>
  <c r="BA10" i="1"/>
  <c r="AH10" i="1"/>
  <c r="P10" i="1"/>
  <c r="BK10" i="1"/>
  <c r="AN10" i="1"/>
  <c r="U10" i="1"/>
  <c r="A10" i="1"/>
  <c r="BJ10" i="1"/>
  <c r="AM10" i="1"/>
  <c r="T10" i="1"/>
  <c r="BH10" i="1"/>
  <c r="AL10" i="1"/>
  <c r="S10" i="1"/>
  <c r="BE10" i="1"/>
  <c r="AK10" i="1"/>
  <c r="R10" i="1"/>
  <c r="BR10" i="1"/>
  <c r="AT10" i="1"/>
  <c r="O10" i="1"/>
  <c r="BQ10" i="1"/>
  <c r="AR10" i="1"/>
  <c r="N10" i="1"/>
  <c r="BP10" i="1"/>
  <c r="AO10" i="1"/>
  <c r="L10" i="1"/>
  <c r="C11" i="1"/>
  <c r="BO10" i="1"/>
  <c r="AJ10" i="1"/>
  <c r="J10" i="1"/>
  <c r="BN10" i="1"/>
  <c r="AI10" i="1"/>
  <c r="I10" i="1"/>
  <c r="AU10" i="1"/>
  <c r="CH2" i="1" a="1"/>
  <c r="CH2" i="1" s="1"/>
  <c r="CS2" i="1" a="1"/>
  <c r="CS2" i="1" s="1"/>
  <c r="E10" i="1"/>
  <c r="BS2" i="1"/>
  <c r="BT2" i="1" s="1"/>
  <c r="BU2" i="1" s="1"/>
  <c r="DN2" i="1" a="1"/>
  <c r="DN2" i="1" s="1"/>
  <c r="G10" i="1"/>
  <c r="CA2" i="1" a="1"/>
  <c r="CA2" i="1" s="1"/>
  <c r="DH2" i="1" a="1"/>
  <c r="DH2" i="1" s="1"/>
  <c r="DR2" i="1" a="1"/>
  <c r="DR2" i="1" s="1"/>
  <c r="CL2" i="1" a="1"/>
  <c r="CL2" i="1" s="1"/>
  <c r="CW2" i="1" a="1"/>
  <c r="CW2" i="1" s="1"/>
  <c r="DS2" i="1" a="1"/>
  <c r="DS2" i="1" s="1"/>
  <c r="X10" i="1"/>
  <c r="BD10" i="1"/>
  <c r="DR6" i="1" a="1"/>
  <c r="DR6" i="1" s="1"/>
  <c r="DA6" i="1" a="1"/>
  <c r="DA6" i="1" s="1"/>
  <c r="CI6" i="1" a="1"/>
  <c r="CI6" i="1" s="1"/>
  <c r="DU6" i="1" a="1"/>
  <c r="DU6" i="1" s="1"/>
  <c r="DL6" i="1" a="1"/>
  <c r="DL6" i="1" s="1"/>
  <c r="DC6" i="1" a="1"/>
  <c r="DC6" i="1" s="1"/>
  <c r="BZ6" i="1" a="1"/>
  <c r="BZ6" i="1" s="1"/>
  <c r="DB6" i="1" a="1"/>
  <c r="DB6" i="1" s="1"/>
  <c r="CS6" i="1" a="1"/>
  <c r="CS6" i="1" s="1"/>
  <c r="DT6" i="1" a="1"/>
  <c r="DT6" i="1" s="1"/>
  <c r="DK6" i="1" a="1"/>
  <c r="DK6" i="1" s="1"/>
  <c r="CR6" i="1" a="1"/>
  <c r="CR6" i="1" s="1"/>
  <c r="CH6" i="1" a="1"/>
  <c r="CH6" i="1" s="1"/>
  <c r="BY6" i="1" a="1"/>
  <c r="BY6" i="1" s="1"/>
  <c r="DJ6" i="1" a="1"/>
  <c r="DJ6" i="1" s="1"/>
  <c r="CK6" i="1" a="1"/>
  <c r="CK6" i="1" s="1"/>
  <c r="BC6" i="1"/>
  <c r="AM6" i="1"/>
  <c r="W6" i="1"/>
  <c r="G6" i="1"/>
  <c r="BL6" i="1"/>
  <c r="AU6" i="1"/>
  <c r="AD6" i="1"/>
  <c r="M6" i="1"/>
  <c r="BJ6" i="1"/>
  <c r="AR6" i="1"/>
  <c r="Z6" i="1"/>
  <c r="H6" i="1"/>
  <c r="BI6" i="1"/>
  <c r="AQ6" i="1"/>
  <c r="Y6" i="1"/>
  <c r="F6" i="1"/>
  <c r="BH6" i="1"/>
  <c r="AP6" i="1"/>
  <c r="X6" i="1"/>
  <c r="E6" i="1"/>
  <c r="BG6" i="1"/>
  <c r="AO6" i="1"/>
  <c r="V6" i="1"/>
  <c r="D6" i="1"/>
  <c r="AE6" i="1"/>
  <c r="BA6" i="1"/>
  <c r="BX6" i="1" a="1"/>
  <c r="BX6" i="1" s="1"/>
  <c r="CL6" i="1" a="1"/>
  <c r="CL6" i="1" s="1"/>
  <c r="CX6" i="1" a="1"/>
  <c r="CX6" i="1" s="1"/>
  <c r="DI6" i="1" a="1"/>
  <c r="DI6" i="1" s="1"/>
  <c r="DW6" i="1"/>
  <c r="I6" i="1"/>
  <c r="AF6" i="1"/>
  <c r="BB6" i="1"/>
  <c r="CA6" i="1" a="1"/>
  <c r="CA6" i="1" s="1"/>
  <c r="J6" i="1"/>
  <c r="AG6" i="1"/>
  <c r="BD6" i="1"/>
  <c r="CM6" i="1" a="1"/>
  <c r="CM6" i="1" s="1"/>
  <c r="CY6" i="1" a="1"/>
  <c r="CY6" i="1" s="1"/>
  <c r="DM6" i="1" a="1"/>
  <c r="DM6" i="1" s="1"/>
  <c r="C7" i="1"/>
  <c r="K6" i="1"/>
  <c r="AH6" i="1"/>
  <c r="BE6" i="1"/>
  <c r="BS6" i="1" s="1"/>
  <c r="BT6" i="1" s="1"/>
  <c r="CB6" i="1" a="1"/>
  <c r="CB6" i="1" s="1"/>
  <c r="R3" i="1"/>
  <c r="AJ3" i="1"/>
  <c r="CE3" i="1" a="1"/>
  <c r="CE3" i="1" s="1"/>
  <c r="CO3" i="1" a="1"/>
  <c r="CO3" i="1" s="1"/>
  <c r="DP3" i="1" a="1"/>
  <c r="DP3" i="1" s="1"/>
  <c r="DH3" i="1" a="1"/>
  <c r="DH3" i="1" s="1"/>
  <c r="CZ3" i="1" a="1"/>
  <c r="CZ3" i="1" s="1"/>
  <c r="CR3" i="1" a="1"/>
  <c r="CR3" i="1" s="1"/>
  <c r="CI3" i="1" a="1"/>
  <c r="CI3" i="1" s="1"/>
  <c r="CA3" i="1" a="1"/>
  <c r="CA3" i="1" s="1"/>
  <c r="DO3" i="1" a="1"/>
  <c r="DO3" i="1" s="1"/>
  <c r="CX3" i="1" a="1"/>
  <c r="CX3" i="1" s="1"/>
  <c r="CF3" i="1" a="1"/>
  <c r="CF3" i="1" s="1"/>
  <c r="CP3" i="1" a="1"/>
  <c r="CP3" i="1" s="1"/>
  <c r="CY3" i="1" a="1"/>
  <c r="CY3" i="1" s="1"/>
  <c r="C4" i="1"/>
  <c r="BN3" i="1"/>
  <c r="AX3" i="1"/>
  <c r="AH3" i="1"/>
  <c r="BF3" i="1"/>
  <c r="AO3" i="1"/>
  <c r="X3" i="1"/>
  <c r="H3" i="1"/>
  <c r="T3" i="1"/>
  <c r="AL3" i="1"/>
  <c r="BD3" i="1"/>
  <c r="BW3" i="1" a="1"/>
  <c r="BW3" i="1" s="1"/>
  <c r="DI3" i="1" a="1"/>
  <c r="DI3" i="1" s="1"/>
  <c r="DR3" i="1" a="1"/>
  <c r="DR3" i="1" s="1"/>
  <c r="D3" i="1"/>
  <c r="U3" i="1"/>
  <c r="AM3" i="1"/>
  <c r="BE3" i="1"/>
  <c r="BX3" i="1" a="1"/>
  <c r="BX3" i="1" s="1"/>
  <c r="CG3" i="1" a="1"/>
  <c r="CG3" i="1" s="1"/>
  <c r="CQ3" i="1" a="1"/>
  <c r="CQ3" i="1" s="1"/>
  <c r="BS3" i="1" l="1"/>
  <c r="BT3" i="1" s="1"/>
  <c r="BU3" i="1" s="1"/>
  <c r="BO14" i="1"/>
  <c r="AY14" i="1"/>
  <c r="AI14" i="1"/>
  <c r="S14" i="1"/>
  <c r="BM14" i="1"/>
  <c r="AW14" i="1"/>
  <c r="AG14" i="1"/>
  <c r="Q14" i="1"/>
  <c r="DW14" i="1"/>
  <c r="BL14" i="1"/>
  <c r="AV14" i="1"/>
  <c r="AF14" i="1"/>
  <c r="P14" i="1"/>
  <c r="BK14" i="1"/>
  <c r="AR14" i="1"/>
  <c r="Y14" i="1"/>
  <c r="F14" i="1"/>
  <c r="BE14" i="1"/>
  <c r="AK14" i="1"/>
  <c r="N14" i="1"/>
  <c r="BD14" i="1"/>
  <c r="AJ14" i="1"/>
  <c r="M14" i="1"/>
  <c r="BC14" i="1"/>
  <c r="AH14" i="1"/>
  <c r="L14" i="1"/>
  <c r="BB14" i="1"/>
  <c r="AE14" i="1"/>
  <c r="K14" i="1"/>
  <c r="AS14" i="1"/>
  <c r="T14" i="1"/>
  <c r="AQ14" i="1"/>
  <c r="R14" i="1"/>
  <c r="BR14" i="1"/>
  <c r="AP14" i="1"/>
  <c r="O14" i="1"/>
  <c r="C15" i="1"/>
  <c r="BQ14" i="1"/>
  <c r="AO14" i="1"/>
  <c r="J14" i="1"/>
  <c r="BP14" i="1"/>
  <c r="AN14" i="1"/>
  <c r="I14" i="1"/>
  <c r="BF14" i="1"/>
  <c r="U14" i="1"/>
  <c r="AT14" i="1"/>
  <c r="AL14" i="1"/>
  <c r="AD14" i="1"/>
  <c r="AC14" i="1"/>
  <c r="BJ14" i="1"/>
  <c r="BH14" i="1"/>
  <c r="BA14" i="1"/>
  <c r="H14" i="1"/>
  <c r="AA14" i="1"/>
  <c r="AZ14" i="1"/>
  <c r="G14" i="1"/>
  <c r="Z14" i="1"/>
  <c r="AX14" i="1"/>
  <c r="E14" i="1"/>
  <c r="C18" i="1"/>
  <c r="A14" i="1"/>
  <c r="BI14" i="1"/>
  <c r="X14" i="1"/>
  <c r="BG14" i="1"/>
  <c r="V14" i="1"/>
  <c r="AU14" i="1"/>
  <c r="D14" i="1"/>
  <c r="AM14" i="1"/>
  <c r="AB14" i="1"/>
  <c r="BN14" i="1"/>
  <c r="W14" i="1"/>
  <c r="BP4" i="1"/>
  <c r="AZ4" i="1"/>
  <c r="AJ4" i="1"/>
  <c r="S4" i="1"/>
  <c r="BC4" i="1"/>
  <c r="AL4" i="1"/>
  <c r="T4" i="1"/>
  <c r="A4" i="1"/>
  <c r="BM4" i="1"/>
  <c r="AU4" i="1"/>
  <c r="AB4" i="1"/>
  <c r="J4" i="1"/>
  <c r="BL4" i="1"/>
  <c r="AT4" i="1"/>
  <c r="AA4" i="1"/>
  <c r="I4" i="1"/>
  <c r="BK4" i="1"/>
  <c r="AS4" i="1"/>
  <c r="Z4" i="1"/>
  <c r="H4" i="1"/>
  <c r="BJ4" i="1"/>
  <c r="AR4" i="1"/>
  <c r="Y4" i="1"/>
  <c r="G4" i="1"/>
  <c r="BQ4" i="1"/>
  <c r="AP4" i="1"/>
  <c r="Q4" i="1"/>
  <c r="BO4" i="1"/>
  <c r="AO4" i="1"/>
  <c r="P4" i="1"/>
  <c r="BN4" i="1"/>
  <c r="AN4" i="1"/>
  <c r="O4" i="1"/>
  <c r="BI4" i="1"/>
  <c r="AM4" i="1"/>
  <c r="N4" i="1"/>
  <c r="BH4" i="1"/>
  <c r="AK4" i="1"/>
  <c r="M4" i="1"/>
  <c r="BA4" i="1"/>
  <c r="R4" i="1"/>
  <c r="AQ4" i="1"/>
  <c r="D4" i="1"/>
  <c r="AH4" i="1"/>
  <c r="AD4" i="1"/>
  <c r="AY4" i="1"/>
  <c r="L4" i="1"/>
  <c r="BG4" i="1"/>
  <c r="BB4" i="1"/>
  <c r="AX4" i="1"/>
  <c r="K4" i="1"/>
  <c r="AV4" i="1"/>
  <c r="E4" i="1"/>
  <c r="W4" i="1"/>
  <c r="AW4" i="1"/>
  <c r="F4" i="1"/>
  <c r="AI4" i="1"/>
  <c r="DW4" i="1"/>
  <c r="AF4" i="1"/>
  <c r="BR4" i="1"/>
  <c r="AE4" i="1"/>
  <c r="BE4" i="1"/>
  <c r="U4" i="1"/>
  <c r="C5" i="1"/>
  <c r="AG4" i="1"/>
  <c r="BF4" i="1"/>
  <c r="X4" i="1"/>
  <c r="BD4" i="1"/>
  <c r="V4" i="1"/>
  <c r="BD7" i="1"/>
  <c r="AN7" i="1"/>
  <c r="X7" i="1"/>
  <c r="H7" i="1"/>
  <c r="BH7" i="1"/>
  <c r="AQ7" i="1"/>
  <c r="Z7" i="1"/>
  <c r="I7" i="1"/>
  <c r="C8" i="1"/>
  <c r="BQ7" i="1"/>
  <c r="AY7" i="1"/>
  <c r="AG7" i="1"/>
  <c r="O7" i="1"/>
  <c r="BP7" i="1"/>
  <c r="AX7" i="1"/>
  <c r="AF7" i="1"/>
  <c r="N7" i="1"/>
  <c r="DW7" i="1"/>
  <c r="BO7" i="1"/>
  <c r="AW7" i="1"/>
  <c r="AE7" i="1"/>
  <c r="M7" i="1"/>
  <c r="BN7" i="1"/>
  <c r="AV7" i="1"/>
  <c r="AD7" i="1"/>
  <c r="L7" i="1"/>
  <c r="BB7" i="1"/>
  <c r="AB7" i="1"/>
  <c r="D7" i="1"/>
  <c r="BA7" i="1"/>
  <c r="AA7" i="1"/>
  <c r="AZ7" i="1"/>
  <c r="Y7" i="1"/>
  <c r="A7" i="1"/>
  <c r="AU7" i="1"/>
  <c r="W7" i="1"/>
  <c r="AT7" i="1"/>
  <c r="V7" i="1"/>
  <c r="AS7" i="1"/>
  <c r="P7" i="1"/>
  <c r="E7" i="1"/>
  <c r="BK7" i="1"/>
  <c r="Q7" i="1"/>
  <c r="AR7" i="1"/>
  <c r="K7" i="1"/>
  <c r="AL7" i="1"/>
  <c r="AI7" i="1"/>
  <c r="AH7" i="1"/>
  <c r="T7" i="1"/>
  <c r="AP7" i="1"/>
  <c r="J7" i="1"/>
  <c r="BR7" i="1"/>
  <c r="BF7" i="1"/>
  <c r="AO7" i="1"/>
  <c r="G7" i="1"/>
  <c r="AJ7" i="1"/>
  <c r="BJ7" i="1"/>
  <c r="AC7" i="1"/>
  <c r="BI7" i="1"/>
  <c r="BG7" i="1"/>
  <c r="S7" i="1"/>
  <c r="BC7" i="1"/>
  <c r="AM7" i="1"/>
  <c r="F7" i="1"/>
  <c r="AK7" i="1"/>
  <c r="BM7" i="1"/>
  <c r="BL7" i="1"/>
  <c r="U7" i="1"/>
  <c r="BE7" i="1"/>
  <c r="R7" i="1"/>
  <c r="DT10" i="1" a="1"/>
  <c r="DT10" i="1" s="1"/>
  <c r="DL10" i="1" a="1"/>
  <c r="DL10" i="1" s="1"/>
  <c r="DD10" i="1" a="1"/>
  <c r="DD10" i="1" s="1"/>
  <c r="CV10" i="1" a="1"/>
  <c r="CV10" i="1" s="1"/>
  <c r="CM10" i="1" a="1"/>
  <c r="CM10" i="1" s="1"/>
  <c r="CE10" i="1" a="1"/>
  <c r="CE10" i="1" s="1"/>
  <c r="BW10" i="1" a="1"/>
  <c r="BW10" i="1" s="1"/>
  <c r="DU10" i="1" a="1"/>
  <c r="DU10" i="1" s="1"/>
  <c r="DA10" i="1" a="1"/>
  <c r="DA10" i="1" s="1"/>
  <c r="CG10" i="1" a="1"/>
  <c r="CG10" i="1" s="1"/>
  <c r="DR10" i="1" a="1"/>
  <c r="DR10" i="1" s="1"/>
  <c r="DH10" i="1" a="1"/>
  <c r="DH10" i="1" s="1"/>
  <c r="CX10" i="1" a="1"/>
  <c r="CX10" i="1" s="1"/>
  <c r="CW10" i="1" a="1"/>
  <c r="CW10" i="1" s="1"/>
  <c r="CK10" i="1" a="1"/>
  <c r="CK10" i="1" s="1"/>
  <c r="CA10" i="1" a="1"/>
  <c r="CA10" i="1" s="1"/>
  <c r="DQ10" i="1" a="1"/>
  <c r="DQ10" i="1" s="1"/>
  <c r="DG10" i="1" a="1"/>
  <c r="DG10" i="1" s="1"/>
  <c r="CU10" i="1" a="1"/>
  <c r="CU10" i="1" s="1"/>
  <c r="CJ10" i="1" a="1"/>
  <c r="CJ10" i="1" s="1"/>
  <c r="BZ10" i="1" a="1"/>
  <c r="BZ10" i="1" s="1"/>
  <c r="DM10" i="1" a="1"/>
  <c r="DM10" i="1" s="1"/>
  <c r="CI10" i="1" a="1"/>
  <c r="CI10" i="1" s="1"/>
  <c r="CY10" i="1" a="1"/>
  <c r="CY10" i="1" s="1"/>
  <c r="DK10" i="1" a="1"/>
  <c r="DK10" i="1" s="1"/>
  <c r="CH10" i="1" a="1"/>
  <c r="CH10" i="1" s="1"/>
  <c r="DJ10" i="1" a="1"/>
  <c r="DJ10" i="1" s="1"/>
  <c r="CT10" i="1" a="1"/>
  <c r="CT10" i="1" s="1"/>
  <c r="CF10" i="1" a="1"/>
  <c r="CF10" i="1" s="1"/>
  <c r="DE10" i="1" a="1"/>
  <c r="DE10" i="1" s="1"/>
  <c r="DN10" i="1" a="1"/>
  <c r="DN10" i="1" s="1"/>
  <c r="CL10" i="1" a="1"/>
  <c r="CL10" i="1" s="1"/>
  <c r="DP10" i="1" a="1"/>
  <c r="DP10" i="1" s="1"/>
  <c r="CB10" i="1" a="1"/>
  <c r="CB10" i="1" s="1"/>
  <c r="CS10" i="1" a="1"/>
  <c r="CS10" i="1" s="1"/>
  <c r="CQ10" i="1" a="1"/>
  <c r="CQ10" i="1" s="1"/>
  <c r="DF10" i="1" a="1"/>
  <c r="DF10" i="1" s="1"/>
  <c r="DC10" i="1" a="1"/>
  <c r="DC10" i="1" s="1"/>
  <c r="CZ10" i="1" a="1"/>
  <c r="CZ10" i="1" s="1"/>
  <c r="DO10" i="1" a="1"/>
  <c r="DO10" i="1" s="1"/>
  <c r="BY10" i="1" a="1"/>
  <c r="BY10" i="1" s="1"/>
  <c r="DI10" i="1" a="1"/>
  <c r="DI10" i="1" s="1"/>
  <c r="CO10" i="1" a="1"/>
  <c r="CO10" i="1" s="1"/>
  <c r="DV10" i="1" a="1"/>
  <c r="DV10" i="1" s="1"/>
  <c r="DB10" i="1" a="1"/>
  <c r="DB10" i="1" s="1"/>
  <c r="CD10" i="1" a="1"/>
  <c r="CD10" i="1" s="1"/>
  <c r="DS10" i="1" a="1"/>
  <c r="DS10" i="1" s="1"/>
  <c r="CC10" i="1" a="1"/>
  <c r="CC10" i="1" s="1"/>
  <c r="CR10" i="1" a="1"/>
  <c r="CR10" i="1" s="1"/>
  <c r="BX10" i="1" a="1"/>
  <c r="BX10" i="1" s="1"/>
  <c r="CP10" i="1" a="1"/>
  <c r="CP10" i="1" s="1"/>
  <c r="BS10" i="1"/>
  <c r="BT10" i="1" s="1"/>
  <c r="BU10" i="1" s="1"/>
  <c r="BJ11" i="1"/>
  <c r="AT11" i="1"/>
  <c r="AD11" i="1"/>
  <c r="N11" i="1"/>
  <c r="BH11" i="1"/>
  <c r="AR11" i="1"/>
  <c r="AB11" i="1"/>
  <c r="L11" i="1"/>
  <c r="BG11" i="1"/>
  <c r="AQ11" i="1"/>
  <c r="AA11" i="1"/>
  <c r="K11" i="1"/>
  <c r="BC11" i="1"/>
  <c r="AJ11" i="1"/>
  <c r="Q11" i="1"/>
  <c r="BB11" i="1"/>
  <c r="AH11" i="1"/>
  <c r="M11" i="1"/>
  <c r="BA11" i="1"/>
  <c r="AG11" i="1"/>
  <c r="J11" i="1"/>
  <c r="AZ11" i="1"/>
  <c r="AF11" i="1"/>
  <c r="I11" i="1"/>
  <c r="C12" i="1"/>
  <c r="AY11" i="1"/>
  <c r="AE11" i="1"/>
  <c r="H11" i="1"/>
  <c r="DW11" i="1"/>
  <c r="BM11" i="1"/>
  <c r="AL11" i="1"/>
  <c r="F11" i="1"/>
  <c r="BL11" i="1"/>
  <c r="AK11" i="1"/>
  <c r="E11" i="1"/>
  <c r="BK11" i="1"/>
  <c r="AI11" i="1"/>
  <c r="D11" i="1"/>
  <c r="BI11" i="1"/>
  <c r="AC11" i="1"/>
  <c r="BF11" i="1"/>
  <c r="Z11" i="1"/>
  <c r="A11" i="1"/>
  <c r="AV11" i="1"/>
  <c r="O11" i="1"/>
  <c r="BR11" i="1"/>
  <c r="X11" i="1"/>
  <c r="W11" i="1"/>
  <c r="BE11" i="1"/>
  <c r="S11" i="1"/>
  <c r="AU11" i="1"/>
  <c r="G11" i="1"/>
  <c r="AM11" i="1"/>
  <c r="BQ11" i="1"/>
  <c r="BP11" i="1"/>
  <c r="T11" i="1"/>
  <c r="AX11" i="1"/>
  <c r="AS11" i="1"/>
  <c r="BO11" i="1"/>
  <c r="AP11" i="1"/>
  <c r="AN11" i="1"/>
  <c r="Y11" i="1"/>
  <c r="V11" i="1"/>
  <c r="BD11" i="1"/>
  <c r="P11" i="1"/>
  <c r="AO11" i="1"/>
  <c r="BN11" i="1"/>
  <c r="U11" i="1"/>
  <c r="R11" i="1"/>
  <c r="AW11" i="1"/>
  <c r="BU6" i="1"/>
  <c r="DO14" i="1" l="1" a="1"/>
  <c r="DO14" i="1" s="1"/>
  <c r="DG14" i="1" a="1"/>
  <c r="DG14" i="1" s="1"/>
  <c r="CY14" i="1" a="1"/>
  <c r="CY14" i="1" s="1"/>
  <c r="CQ14" i="1" a="1"/>
  <c r="CQ14" i="1" s="1"/>
  <c r="CH14" i="1" a="1"/>
  <c r="CH14" i="1" s="1"/>
  <c r="BZ14" i="1" a="1"/>
  <c r="BZ14" i="1" s="1"/>
  <c r="DQ14" i="1" a="1"/>
  <c r="DQ14" i="1" s="1"/>
  <c r="DF14" i="1" a="1"/>
  <c r="DF14" i="1" s="1"/>
  <c r="CL14" i="1" a="1"/>
  <c r="CL14" i="1" s="1"/>
  <c r="DP14" i="1" a="1"/>
  <c r="DP14" i="1" s="1"/>
  <c r="DE14" i="1" a="1"/>
  <c r="DE14" i="1" s="1"/>
  <c r="CU14" i="1" a="1"/>
  <c r="CU14" i="1" s="1"/>
  <c r="CJ14" i="1" a="1"/>
  <c r="CJ14" i="1" s="1"/>
  <c r="CI14" i="1" a="1"/>
  <c r="CI14" i="1" s="1"/>
  <c r="BX14" i="1" a="1"/>
  <c r="BX14" i="1" s="1"/>
  <c r="DN14" i="1" a="1"/>
  <c r="DN14" i="1" s="1"/>
  <c r="DD14" i="1" a="1"/>
  <c r="DD14" i="1" s="1"/>
  <c r="CT14" i="1" a="1"/>
  <c r="CT14" i="1" s="1"/>
  <c r="CG14" i="1" a="1"/>
  <c r="CG14" i="1" s="1"/>
  <c r="BW14" i="1" a="1"/>
  <c r="BW14" i="1" s="1"/>
  <c r="CZ14" i="1" a="1"/>
  <c r="CZ14" i="1" s="1"/>
  <c r="DL14" i="1" a="1"/>
  <c r="DL14" i="1" s="1"/>
  <c r="CK14" i="1" a="1"/>
  <c r="CK14" i="1" s="1"/>
  <c r="CX14" i="1" a="1"/>
  <c r="CX14" i="1" s="1"/>
  <c r="DK14" i="1" a="1"/>
  <c r="DK14" i="1" s="1"/>
  <c r="CW14" i="1" a="1"/>
  <c r="CW14" i="1" s="1"/>
  <c r="CF14" i="1" a="1"/>
  <c r="CF14" i="1" s="1"/>
  <c r="CR14" i="1" a="1"/>
  <c r="CR14" i="1" s="1"/>
  <c r="DM14" i="1" a="1"/>
  <c r="DM14" i="1" s="1"/>
  <c r="DJ14" i="1" a="1"/>
  <c r="DJ14" i="1" s="1"/>
  <c r="DC14" i="1" a="1"/>
  <c r="DC14" i="1" s="1"/>
  <c r="CE14" i="1" a="1"/>
  <c r="CE14" i="1" s="1"/>
  <c r="BY14" i="1" a="1"/>
  <c r="BY14" i="1" s="1"/>
  <c r="CO14" i="1" a="1"/>
  <c r="CO14" i="1" s="1"/>
  <c r="DV14" i="1" a="1"/>
  <c r="DV14" i="1" s="1"/>
  <c r="CB14" i="1" a="1"/>
  <c r="CB14" i="1" s="1"/>
  <c r="CA14" i="1" a="1"/>
  <c r="CA14" i="1" s="1"/>
  <c r="DU14" i="1" a="1"/>
  <c r="DU14" i="1" s="1"/>
  <c r="DB14" i="1" a="1"/>
  <c r="DB14" i="1" s="1"/>
  <c r="CD14" i="1" a="1"/>
  <c r="CD14" i="1" s="1"/>
  <c r="DT14" i="1" a="1"/>
  <c r="DT14" i="1" s="1"/>
  <c r="CC14" i="1" a="1"/>
  <c r="CC14" i="1" s="1"/>
  <c r="DS14" i="1" a="1"/>
  <c r="DS14" i="1" s="1"/>
  <c r="DR14" i="1" a="1"/>
  <c r="DR14" i="1" s="1"/>
  <c r="CP14" i="1" a="1"/>
  <c r="CP14" i="1" s="1"/>
  <c r="DI14" i="1" a="1"/>
  <c r="DI14" i="1" s="1"/>
  <c r="DH14" i="1" a="1"/>
  <c r="DH14" i="1" s="1"/>
  <c r="DA14" i="1" a="1"/>
  <c r="DA14" i="1" s="1"/>
  <c r="CV14" i="1" a="1"/>
  <c r="CV14" i="1" s="1"/>
  <c r="CS14" i="1" a="1"/>
  <c r="CS14" i="1" s="1"/>
  <c r="CM14" i="1" a="1"/>
  <c r="CM14" i="1" s="1"/>
  <c r="DW18" i="1"/>
  <c r="C22" i="1"/>
  <c r="BE18" i="1"/>
  <c r="AO18" i="1"/>
  <c r="Y18" i="1"/>
  <c r="I18" i="1"/>
  <c r="BC18" i="1"/>
  <c r="AM18" i="1"/>
  <c r="W18" i="1"/>
  <c r="G18" i="1"/>
  <c r="C19" i="1"/>
  <c r="BR18" i="1"/>
  <c r="BB18" i="1"/>
  <c r="AL18" i="1"/>
  <c r="V18" i="1"/>
  <c r="F18" i="1"/>
  <c r="BG18" i="1"/>
  <c r="AK18" i="1"/>
  <c r="R18" i="1"/>
  <c r="BF18" i="1"/>
  <c r="AJ18" i="1"/>
  <c r="Q18" i="1"/>
  <c r="BD18" i="1"/>
  <c r="AI18" i="1"/>
  <c r="P18" i="1"/>
  <c r="BA18" i="1"/>
  <c r="AH18" i="1"/>
  <c r="O18" i="1"/>
  <c r="AY18" i="1"/>
  <c r="AB18" i="1"/>
  <c r="A18" i="1"/>
  <c r="AX18" i="1"/>
  <c r="AA18" i="1"/>
  <c r="AW18" i="1"/>
  <c r="Z18" i="1"/>
  <c r="AV18" i="1"/>
  <c r="X18" i="1"/>
  <c r="BM18" i="1"/>
  <c r="AE18" i="1"/>
  <c r="BL18" i="1"/>
  <c r="AD18" i="1"/>
  <c r="BK18" i="1"/>
  <c r="AC18" i="1"/>
  <c r="BJ18" i="1"/>
  <c r="U18" i="1"/>
  <c r="BI18" i="1"/>
  <c r="T18" i="1"/>
  <c r="BH18" i="1"/>
  <c r="S18" i="1"/>
  <c r="AZ18" i="1"/>
  <c r="N18" i="1"/>
  <c r="K18" i="1"/>
  <c r="M18" i="1"/>
  <c r="BQ18" i="1"/>
  <c r="J18" i="1"/>
  <c r="AR18" i="1"/>
  <c r="AG18" i="1"/>
  <c r="BP18" i="1"/>
  <c r="H18" i="1"/>
  <c r="AT18" i="1"/>
  <c r="BO18" i="1"/>
  <c r="E18" i="1"/>
  <c r="AU18" i="1"/>
  <c r="AQ18" i="1"/>
  <c r="AF18" i="1"/>
  <c r="L18" i="1"/>
  <c r="BN18" i="1"/>
  <c r="D18" i="1"/>
  <c r="AS18" i="1"/>
  <c r="AP18" i="1"/>
  <c r="AN18" i="1"/>
  <c r="BS11" i="1"/>
  <c r="BT11" i="1" s="1"/>
  <c r="BU11" i="1" s="1"/>
  <c r="DV11" i="1" a="1"/>
  <c r="DV11" i="1" s="1"/>
  <c r="DN11" i="1" a="1"/>
  <c r="DN11" i="1" s="1"/>
  <c r="DF11" i="1" a="1"/>
  <c r="DF11" i="1" s="1"/>
  <c r="CX11" i="1" a="1"/>
  <c r="CX11" i="1" s="1"/>
  <c r="CP11" i="1" a="1"/>
  <c r="CP11" i="1" s="1"/>
  <c r="CG11" i="1" a="1"/>
  <c r="CG11" i="1" s="1"/>
  <c r="BY11" i="1" a="1"/>
  <c r="BY11" i="1" s="1"/>
  <c r="DU11" i="1" a="1"/>
  <c r="DU11" i="1" s="1"/>
  <c r="DM11" i="1" a="1"/>
  <c r="DM11" i="1" s="1"/>
  <c r="DE11" i="1" a="1"/>
  <c r="DE11" i="1" s="1"/>
  <c r="CW11" i="1" a="1"/>
  <c r="CW11" i="1" s="1"/>
  <c r="CO11" i="1" a="1"/>
  <c r="CO11" i="1" s="1"/>
  <c r="CF11" i="1" a="1"/>
  <c r="CF11" i="1" s="1"/>
  <c r="BX11" i="1" a="1"/>
  <c r="BX11" i="1" s="1"/>
  <c r="DB11" i="1" a="1"/>
  <c r="DB11" i="1" s="1"/>
  <c r="CH11" i="1" a="1"/>
  <c r="CH11" i="1" s="1"/>
  <c r="BW11" i="1" a="1"/>
  <c r="BW11" i="1" s="1"/>
  <c r="DD11" i="1" a="1"/>
  <c r="DD11" i="1" s="1"/>
  <c r="CT11" i="1" a="1"/>
  <c r="CT11" i="1" s="1"/>
  <c r="CI11" i="1" a="1"/>
  <c r="CI11" i="1" s="1"/>
  <c r="DO11" i="1" a="1"/>
  <c r="DO11" i="1" s="1"/>
  <c r="DC11" i="1" a="1"/>
  <c r="DC11" i="1" s="1"/>
  <c r="CS11" i="1" a="1"/>
  <c r="CS11" i="1" s="1"/>
  <c r="CR11" i="1" a="1"/>
  <c r="CR11" i="1" s="1"/>
  <c r="DI11" i="1" a="1"/>
  <c r="DI11" i="1" s="1"/>
  <c r="CU11" i="1" a="1"/>
  <c r="CU11" i="1" s="1"/>
  <c r="CD11" i="1" a="1"/>
  <c r="CD11" i="1" s="1"/>
  <c r="DT11" i="1" a="1"/>
  <c r="DT11" i="1" s="1"/>
  <c r="DH11" i="1" a="1"/>
  <c r="DH11" i="1" s="1"/>
  <c r="CC11" i="1" a="1"/>
  <c r="CC11" i="1" s="1"/>
  <c r="DS11" i="1" a="1"/>
  <c r="DS11" i="1" s="1"/>
  <c r="DG11" i="1" a="1"/>
  <c r="DG11" i="1" s="1"/>
  <c r="CQ11" i="1" a="1"/>
  <c r="CQ11" i="1" s="1"/>
  <c r="CZ11" i="1" a="1"/>
  <c r="CZ11" i="1" s="1"/>
  <c r="CE11" i="1" a="1"/>
  <c r="CE11" i="1" s="1"/>
  <c r="DP11" i="1" a="1"/>
  <c r="DP11" i="1" s="1"/>
  <c r="CM11" i="1" a="1"/>
  <c r="CM11" i="1" s="1"/>
  <c r="CJ11" i="1" a="1"/>
  <c r="CJ11" i="1" s="1"/>
  <c r="DR11" i="1" a="1"/>
  <c r="DR11" i="1" s="1"/>
  <c r="CB11" i="1" a="1"/>
  <c r="CB11" i="1" s="1"/>
  <c r="BZ11" i="1" a="1"/>
  <c r="BZ11" i="1" s="1"/>
  <c r="CK11" i="1" a="1"/>
  <c r="CK11" i="1" s="1"/>
  <c r="CY11" i="1" a="1"/>
  <c r="CY11" i="1" s="1"/>
  <c r="DL11" i="1" a="1"/>
  <c r="DL11" i="1" s="1"/>
  <c r="DQ11" i="1" a="1"/>
  <c r="DQ11" i="1" s="1"/>
  <c r="CA11" i="1" a="1"/>
  <c r="CA11" i="1" s="1"/>
  <c r="CV11" i="1" a="1"/>
  <c r="CV11" i="1" s="1"/>
  <c r="DK11" i="1" a="1"/>
  <c r="DK11" i="1" s="1"/>
  <c r="DJ11" i="1" a="1"/>
  <c r="DJ11" i="1" s="1"/>
  <c r="CL11" i="1" a="1"/>
  <c r="CL11" i="1" s="1"/>
  <c r="DA11" i="1" a="1"/>
  <c r="DA11" i="1" s="1"/>
  <c r="BT4" i="1"/>
  <c r="BU4" i="1" s="1"/>
  <c r="DS7" i="1" a="1"/>
  <c r="DS7" i="1" s="1"/>
  <c r="DK7" i="1" a="1"/>
  <c r="DK7" i="1" s="1"/>
  <c r="DC7" i="1" a="1"/>
  <c r="DC7" i="1" s="1"/>
  <c r="CU7" i="1" a="1"/>
  <c r="CU7" i="1" s="1"/>
  <c r="CL7" i="1" a="1"/>
  <c r="CL7" i="1" s="1"/>
  <c r="CD7" i="1" a="1"/>
  <c r="CD7" i="1" s="1"/>
  <c r="DP7" i="1" a="1"/>
  <c r="DP7" i="1" s="1"/>
  <c r="CY7" i="1" a="1"/>
  <c r="CY7" i="1" s="1"/>
  <c r="CG7" i="1" a="1"/>
  <c r="CG7" i="1" s="1"/>
  <c r="DO7" i="1" a="1"/>
  <c r="DO7" i="1" s="1"/>
  <c r="DF7" i="1" a="1"/>
  <c r="DF7" i="1" s="1"/>
  <c r="CW7" i="1" a="1"/>
  <c r="CW7" i="1" s="1"/>
  <c r="CM7" i="1" a="1"/>
  <c r="CM7" i="1" s="1"/>
  <c r="CC7" i="1" a="1"/>
  <c r="CC7" i="1" s="1"/>
  <c r="DN7" i="1" a="1"/>
  <c r="DN7" i="1" s="1"/>
  <c r="DE7" i="1" a="1"/>
  <c r="DE7" i="1" s="1"/>
  <c r="CV7" i="1" a="1"/>
  <c r="CV7" i="1" s="1"/>
  <c r="CK7" i="1" a="1"/>
  <c r="CK7" i="1" s="1"/>
  <c r="CB7" i="1" a="1"/>
  <c r="CB7" i="1" s="1"/>
  <c r="DJ7" i="1" a="1"/>
  <c r="DJ7" i="1" s="1"/>
  <c r="CJ7" i="1" a="1"/>
  <c r="CJ7" i="1" s="1"/>
  <c r="BY7" i="1" a="1"/>
  <c r="BY7" i="1" s="1"/>
  <c r="DU7" i="1" a="1"/>
  <c r="DU7" i="1" s="1"/>
  <c r="CX7" i="1" a="1"/>
  <c r="CX7" i="1" s="1"/>
  <c r="BX7" i="1" a="1"/>
  <c r="BX7" i="1" s="1"/>
  <c r="DI7" i="1" a="1"/>
  <c r="DI7" i="1" s="1"/>
  <c r="CI7" i="1" a="1"/>
  <c r="CI7" i="1" s="1"/>
  <c r="DT7" i="1" a="1"/>
  <c r="DT7" i="1" s="1"/>
  <c r="BW7" i="1" a="1"/>
  <c r="BW7" i="1" s="1"/>
  <c r="DH7" i="1" a="1"/>
  <c r="DH7" i="1" s="1"/>
  <c r="CT7" i="1" a="1"/>
  <c r="CT7" i="1" s="1"/>
  <c r="CH7" i="1" a="1"/>
  <c r="CH7" i="1" s="1"/>
  <c r="CS7" i="1" a="1"/>
  <c r="CS7" i="1" s="1"/>
  <c r="DL7" i="1" a="1"/>
  <c r="DL7" i="1" s="1"/>
  <c r="CA7" i="1" a="1"/>
  <c r="CA7" i="1" s="1"/>
  <c r="DV7" i="1" a="1"/>
  <c r="DV7" i="1" s="1"/>
  <c r="DQ7" i="1" a="1"/>
  <c r="DQ7" i="1" s="1"/>
  <c r="CF7" i="1" a="1"/>
  <c r="CF7" i="1" s="1"/>
  <c r="DM7" i="1" a="1"/>
  <c r="DM7" i="1" s="1"/>
  <c r="CR7" i="1" a="1"/>
  <c r="CR7" i="1" s="1"/>
  <c r="DB7" i="1" a="1"/>
  <c r="DB7" i="1" s="1"/>
  <c r="CZ7" i="1" a="1"/>
  <c r="CZ7" i="1" s="1"/>
  <c r="BZ7" i="1" a="1"/>
  <c r="BZ7" i="1" s="1"/>
  <c r="CP7" i="1" a="1"/>
  <c r="CP7" i="1" s="1"/>
  <c r="CO7" i="1" a="1"/>
  <c r="CO7" i="1" s="1"/>
  <c r="DR7" i="1" a="1"/>
  <c r="DR7" i="1" s="1"/>
  <c r="DG7" i="1" a="1"/>
  <c r="DG7" i="1" s="1"/>
  <c r="CQ7" i="1" a="1"/>
  <c r="CQ7" i="1" s="1"/>
  <c r="DD7" i="1" a="1"/>
  <c r="DD7" i="1" s="1"/>
  <c r="DA7" i="1" a="1"/>
  <c r="DA7" i="1" s="1"/>
  <c r="CE7" i="1" a="1"/>
  <c r="CE7" i="1" s="1"/>
  <c r="BF8" i="1"/>
  <c r="AP8" i="1"/>
  <c r="Y8" i="1"/>
  <c r="I8" i="1"/>
  <c r="DW8" i="1"/>
  <c r="BD8" i="1"/>
  <c r="AM8" i="1"/>
  <c r="U8" i="1"/>
  <c r="D8" i="1"/>
  <c r="BH8" i="1"/>
  <c r="AO8" i="1"/>
  <c r="V8" i="1"/>
  <c r="BG8" i="1"/>
  <c r="AN8" i="1"/>
  <c r="T8" i="1"/>
  <c r="A8" i="1"/>
  <c r="BE8" i="1"/>
  <c r="AL8" i="1"/>
  <c r="S8" i="1"/>
  <c r="BC8" i="1"/>
  <c r="AK8" i="1"/>
  <c r="R8" i="1"/>
  <c r="AW8" i="1"/>
  <c r="Z8" i="1"/>
  <c r="BR8" i="1"/>
  <c r="AV8" i="1"/>
  <c r="X8" i="1"/>
  <c r="BQ8" i="1"/>
  <c r="AU8" i="1"/>
  <c r="W8" i="1"/>
  <c r="BP8" i="1"/>
  <c r="AT8" i="1"/>
  <c r="Q8" i="1"/>
  <c r="BO8" i="1"/>
  <c r="AS8" i="1"/>
  <c r="P8" i="1"/>
  <c r="AZ8" i="1"/>
  <c r="M8" i="1"/>
  <c r="G8" i="1"/>
  <c r="AG8" i="1"/>
  <c r="BM8" i="1"/>
  <c r="BJ8" i="1"/>
  <c r="BI8" i="1"/>
  <c r="AY8" i="1"/>
  <c r="L8" i="1"/>
  <c r="AJ8" i="1"/>
  <c r="BN8" i="1"/>
  <c r="AF8" i="1"/>
  <c r="AX8" i="1"/>
  <c r="K8" i="1"/>
  <c r="AE8" i="1"/>
  <c r="AA8" i="1"/>
  <c r="AR8" i="1"/>
  <c r="J8" i="1"/>
  <c r="C9" i="1"/>
  <c r="AH8" i="1"/>
  <c r="E8" i="1"/>
  <c r="BL8" i="1"/>
  <c r="AB8" i="1"/>
  <c r="N8" i="1"/>
  <c r="AQ8" i="1"/>
  <c r="H8" i="1"/>
  <c r="AI8" i="1"/>
  <c r="F8" i="1"/>
  <c r="BK8" i="1"/>
  <c r="AD8" i="1"/>
  <c r="BB8" i="1"/>
  <c r="O8" i="1"/>
  <c r="BA8" i="1"/>
  <c r="BS14" i="1"/>
  <c r="BT14" i="1" s="1"/>
  <c r="BU14" i="1" s="1"/>
  <c r="BP15" i="1"/>
  <c r="AZ15" i="1"/>
  <c r="AJ15" i="1"/>
  <c r="T15" i="1"/>
  <c r="D15" i="1"/>
  <c r="C16" i="1"/>
  <c r="BN15" i="1"/>
  <c r="AX15" i="1"/>
  <c r="AH15" i="1"/>
  <c r="R15" i="1"/>
  <c r="A15" i="1"/>
  <c r="BM15" i="1"/>
  <c r="AW15" i="1"/>
  <c r="AG15" i="1"/>
  <c r="Q15" i="1"/>
  <c r="BO15" i="1"/>
  <c r="AT15" i="1"/>
  <c r="AA15" i="1"/>
  <c r="H15" i="1"/>
  <c r="AY15" i="1"/>
  <c r="AC15" i="1"/>
  <c r="I15" i="1"/>
  <c r="AV15" i="1"/>
  <c r="AB15" i="1"/>
  <c r="G15" i="1"/>
  <c r="BR15" i="1"/>
  <c r="AU15" i="1"/>
  <c r="Z15" i="1"/>
  <c r="F15" i="1"/>
  <c r="BQ15" i="1"/>
  <c r="AS15" i="1"/>
  <c r="Y15" i="1"/>
  <c r="E15" i="1"/>
  <c r="BK15" i="1"/>
  <c r="AM15" i="1"/>
  <c r="L15" i="1"/>
  <c r="BJ15" i="1"/>
  <c r="AL15" i="1"/>
  <c r="K15" i="1"/>
  <c r="DW15" i="1"/>
  <c r="BI15" i="1"/>
  <c r="AK15" i="1"/>
  <c r="J15" i="1"/>
  <c r="BH15" i="1"/>
  <c r="AI15" i="1"/>
  <c r="BG15" i="1"/>
  <c r="AF15" i="1"/>
  <c r="BE15" i="1"/>
  <c r="BS15" i="1" s="1"/>
  <c r="AD15" i="1"/>
  <c r="BC15" i="1"/>
  <c r="N15" i="1"/>
  <c r="AE15" i="1"/>
  <c r="X15" i="1"/>
  <c r="S15" i="1"/>
  <c r="BB15" i="1"/>
  <c r="M15" i="1"/>
  <c r="AP15" i="1"/>
  <c r="P15" i="1"/>
  <c r="BA15" i="1"/>
  <c r="AR15" i="1"/>
  <c r="AN15" i="1"/>
  <c r="U15" i="1"/>
  <c r="BL15" i="1"/>
  <c r="BD15" i="1"/>
  <c r="O15" i="1"/>
  <c r="AQ15" i="1"/>
  <c r="AO15" i="1"/>
  <c r="W15" i="1"/>
  <c r="V15" i="1"/>
  <c r="BF15" i="1"/>
  <c r="DW12" i="1"/>
  <c r="BL12" i="1"/>
  <c r="AV12" i="1"/>
  <c r="AF12" i="1"/>
  <c r="O12" i="1"/>
  <c r="BJ12" i="1"/>
  <c r="AT12" i="1"/>
  <c r="AD12" i="1"/>
  <c r="M12" i="1"/>
  <c r="BI12" i="1"/>
  <c r="AS12" i="1"/>
  <c r="AB12" i="1"/>
  <c r="L12" i="1"/>
  <c r="C13" i="1"/>
  <c r="BF12" i="1"/>
  <c r="AM12" i="1"/>
  <c r="S12" i="1"/>
  <c r="BR12" i="1"/>
  <c r="AX12" i="1"/>
  <c r="Z12" i="1"/>
  <c r="F12" i="1"/>
  <c r="BQ12" i="1"/>
  <c r="AW12" i="1"/>
  <c r="Y12" i="1"/>
  <c r="E12" i="1"/>
  <c r="BP12" i="1"/>
  <c r="AU12" i="1"/>
  <c r="X12" i="1"/>
  <c r="D12" i="1"/>
  <c r="BO12" i="1"/>
  <c r="AR12" i="1"/>
  <c r="W12" i="1"/>
  <c r="BE12" i="1"/>
  <c r="AG12" i="1"/>
  <c r="BD12" i="1"/>
  <c r="AE12" i="1"/>
  <c r="BC12" i="1"/>
  <c r="AA12" i="1"/>
  <c r="BB12" i="1"/>
  <c r="V12" i="1"/>
  <c r="BA12" i="1"/>
  <c r="U12" i="1"/>
  <c r="AL12" i="1"/>
  <c r="BH12" i="1"/>
  <c r="BG12" i="1"/>
  <c r="AO12" i="1"/>
  <c r="AK12" i="1"/>
  <c r="AQ12" i="1"/>
  <c r="G12" i="1"/>
  <c r="AJ12" i="1"/>
  <c r="P12" i="1"/>
  <c r="H12" i="1"/>
  <c r="AI12" i="1"/>
  <c r="BN12" i="1"/>
  <c r="T12" i="1"/>
  <c r="BM12" i="1"/>
  <c r="BK12" i="1"/>
  <c r="Q12" i="1"/>
  <c r="N12" i="1"/>
  <c r="AZ12" i="1"/>
  <c r="K12" i="1"/>
  <c r="I12" i="1"/>
  <c r="AN12" i="1"/>
  <c r="A12" i="1"/>
  <c r="AH12" i="1"/>
  <c r="R12" i="1"/>
  <c r="AY12" i="1"/>
  <c r="J12" i="1"/>
  <c r="AP12" i="1"/>
  <c r="BS7" i="1"/>
  <c r="BT7" i="1" s="1"/>
  <c r="BU7" i="1" s="1"/>
  <c r="DQ4" i="1" a="1"/>
  <c r="DQ4" i="1" s="1"/>
  <c r="DI4" i="1" a="1"/>
  <c r="DI4" i="1" s="1"/>
  <c r="DA4" i="1" a="1"/>
  <c r="DA4" i="1" s="1"/>
  <c r="CS4" i="1" a="1"/>
  <c r="CS4" i="1" s="1"/>
  <c r="CJ4" i="1" a="1"/>
  <c r="CJ4" i="1" s="1"/>
  <c r="CB4" i="1" a="1"/>
  <c r="CB4" i="1" s="1"/>
  <c r="DV4" i="1" a="1"/>
  <c r="DV4" i="1" s="1"/>
  <c r="DE4" i="1" a="1"/>
  <c r="DE4" i="1" s="1"/>
  <c r="CM4" i="1" a="1"/>
  <c r="CM4" i="1" s="1"/>
  <c r="DM4" i="1" a="1"/>
  <c r="DM4" i="1" s="1"/>
  <c r="DD4" i="1" a="1"/>
  <c r="DD4" i="1" s="1"/>
  <c r="CU4" i="1" a="1"/>
  <c r="CU4" i="1" s="1"/>
  <c r="CK4" i="1" a="1"/>
  <c r="CK4" i="1" s="1"/>
  <c r="CA4" i="1" a="1"/>
  <c r="CA4" i="1" s="1"/>
  <c r="DU4" i="1" a="1"/>
  <c r="DU4" i="1" s="1"/>
  <c r="DL4" i="1" a="1"/>
  <c r="DL4" i="1" s="1"/>
  <c r="DC4" i="1" a="1"/>
  <c r="DC4" i="1" s="1"/>
  <c r="CT4" i="1" a="1"/>
  <c r="CT4" i="1" s="1"/>
  <c r="CI4" i="1" a="1"/>
  <c r="CI4" i="1" s="1"/>
  <c r="BZ4" i="1" a="1"/>
  <c r="BZ4" i="1" s="1"/>
  <c r="DF4" i="1" a="1"/>
  <c r="DF4" i="1" s="1"/>
  <c r="CR4" i="1" a="1"/>
  <c r="CR4" i="1" s="1"/>
  <c r="CF4" i="1" a="1"/>
  <c r="CF4" i="1" s="1"/>
  <c r="DP4" i="1" a="1"/>
  <c r="DP4" i="1" s="1"/>
  <c r="CQ4" i="1" a="1"/>
  <c r="CQ4" i="1" s="1"/>
  <c r="CE4" i="1" a="1"/>
  <c r="CE4" i="1" s="1"/>
  <c r="DB4" i="1" a="1"/>
  <c r="DB4" i="1" s="1"/>
  <c r="CD4" i="1" a="1"/>
  <c r="CD4" i="1" s="1"/>
  <c r="DO4" i="1" a="1"/>
  <c r="DO4" i="1" s="1"/>
  <c r="CP4" i="1" a="1"/>
  <c r="CP4" i="1" s="1"/>
  <c r="DN4" i="1" a="1"/>
  <c r="DN4" i="1" s="1"/>
  <c r="CC4" i="1" a="1"/>
  <c r="CC4" i="1" s="1"/>
  <c r="DS4" i="1" a="1"/>
  <c r="DS4" i="1" s="1"/>
  <c r="CH4" i="1" a="1"/>
  <c r="CH4" i="1" s="1"/>
  <c r="CX4" i="1" a="1"/>
  <c r="CX4" i="1" s="1"/>
  <c r="DK4" i="1" a="1"/>
  <c r="DK4" i="1" s="1"/>
  <c r="CW4" i="1" a="1"/>
  <c r="CW4" i="1" s="1"/>
  <c r="BX4" i="1" a="1"/>
  <c r="BX4" i="1" s="1"/>
  <c r="CZ4" i="1" a="1"/>
  <c r="CZ4" i="1" s="1"/>
  <c r="CV4" i="1" a="1"/>
  <c r="CV4" i="1" s="1"/>
  <c r="DJ4" i="1" a="1"/>
  <c r="DJ4" i="1" s="1"/>
  <c r="BY4" i="1" a="1"/>
  <c r="BY4" i="1" s="1"/>
  <c r="DH4" i="1" a="1"/>
  <c r="DH4" i="1" s="1"/>
  <c r="CO4" i="1" a="1"/>
  <c r="CO4" i="1" s="1"/>
  <c r="CL4" i="1" a="1"/>
  <c r="CL4" i="1" s="1"/>
  <c r="DT4" i="1" a="1"/>
  <c r="DT4" i="1" s="1"/>
  <c r="CY4" i="1" a="1"/>
  <c r="CY4" i="1" s="1"/>
  <c r="BW4" i="1" a="1"/>
  <c r="BW4" i="1" s="1"/>
  <c r="DG4" i="1" a="1"/>
  <c r="DG4" i="1" s="1"/>
  <c r="DR4" i="1" a="1"/>
  <c r="DR4" i="1" s="1"/>
  <c r="CG4" i="1" a="1"/>
  <c r="CG4" i="1" s="1"/>
  <c r="BR5" i="1"/>
  <c r="BB5" i="1"/>
  <c r="AL5" i="1"/>
  <c r="U5" i="1"/>
  <c r="E5" i="1"/>
  <c r="BP5" i="1"/>
  <c r="AY5" i="1"/>
  <c r="AH5" i="1"/>
  <c r="P5" i="1"/>
  <c r="BD5" i="1"/>
  <c r="AK5" i="1"/>
  <c r="R5" i="1"/>
  <c r="BC5" i="1"/>
  <c r="AJ5" i="1"/>
  <c r="Q5" i="1"/>
  <c r="BA5" i="1"/>
  <c r="AI5" i="1"/>
  <c r="O5" i="1"/>
  <c r="AZ5" i="1"/>
  <c r="AG5" i="1"/>
  <c r="N5" i="1"/>
  <c r="BK5" i="1"/>
  <c r="AO5" i="1"/>
  <c r="L5" i="1"/>
  <c r="BJ5" i="1"/>
  <c r="AN5" i="1"/>
  <c r="K5" i="1"/>
  <c r="BI5" i="1"/>
  <c r="AM5" i="1"/>
  <c r="J5" i="1"/>
  <c r="BH5" i="1"/>
  <c r="AF5" i="1"/>
  <c r="I5" i="1"/>
  <c r="BG5" i="1"/>
  <c r="AE5" i="1"/>
  <c r="H5" i="1"/>
  <c r="AX5" i="1"/>
  <c r="V5" i="1"/>
  <c r="AS5" i="1"/>
  <c r="F5" i="1"/>
  <c r="BM5" i="1"/>
  <c r="AW5" i="1"/>
  <c r="T5" i="1"/>
  <c r="AA5" i="1"/>
  <c r="W5" i="1"/>
  <c r="AV5" i="1"/>
  <c r="S5" i="1"/>
  <c r="AT5" i="1"/>
  <c r="G5" i="1"/>
  <c r="AD5" i="1"/>
  <c r="AU5" i="1"/>
  <c r="M5" i="1"/>
  <c r="AR5" i="1"/>
  <c r="D5" i="1"/>
  <c r="A5" i="1"/>
  <c r="BQ5" i="1"/>
  <c r="BO5" i="1"/>
  <c r="AB5" i="1"/>
  <c r="BN5" i="1"/>
  <c r="BL5" i="1"/>
  <c r="Y5" i="1"/>
  <c r="BE5" i="1"/>
  <c r="DW5" i="1"/>
  <c r="AQ5" i="1"/>
  <c r="AP5" i="1"/>
  <c r="Z5" i="1"/>
  <c r="BF5" i="1"/>
  <c r="X5" i="1"/>
  <c r="BS4" i="1"/>
  <c r="BN13" i="1" l="1"/>
  <c r="AX13" i="1"/>
  <c r="AH13" i="1"/>
  <c r="Q13" i="1"/>
  <c r="DW13" i="1"/>
  <c r="BL13" i="1"/>
  <c r="AV13" i="1"/>
  <c r="AF13" i="1"/>
  <c r="O13" i="1"/>
  <c r="BK13" i="1"/>
  <c r="AU13" i="1"/>
  <c r="AE13" i="1"/>
  <c r="N13" i="1"/>
  <c r="BI13" i="1"/>
  <c r="AP13" i="1"/>
  <c r="V13" i="1"/>
  <c r="BM13" i="1"/>
  <c r="AQ13" i="1"/>
  <c r="U13" i="1"/>
  <c r="BJ13" i="1"/>
  <c r="AO13" i="1"/>
  <c r="T13" i="1"/>
  <c r="BH13" i="1"/>
  <c r="AN13" i="1"/>
  <c r="S13" i="1"/>
  <c r="BG13" i="1"/>
  <c r="AM13" i="1"/>
  <c r="R13" i="1"/>
  <c r="BA13" i="1"/>
  <c r="Y13" i="1"/>
  <c r="AZ13" i="1"/>
  <c r="X13" i="1"/>
  <c r="AY13" i="1"/>
  <c r="W13" i="1"/>
  <c r="AW13" i="1"/>
  <c r="P13" i="1"/>
  <c r="AT13" i="1"/>
  <c r="M13" i="1"/>
  <c r="BQ13" i="1"/>
  <c r="AB13" i="1"/>
  <c r="J13" i="1"/>
  <c r="AS13" i="1"/>
  <c r="F13" i="1"/>
  <c r="A13" i="1"/>
  <c r="AG13" i="1"/>
  <c r="BR13" i="1"/>
  <c r="BP13" i="1"/>
  <c r="AA13" i="1"/>
  <c r="G13" i="1"/>
  <c r="AR13" i="1"/>
  <c r="AJ13" i="1"/>
  <c r="BO13" i="1"/>
  <c r="Z13" i="1"/>
  <c r="BC13" i="1"/>
  <c r="BF13" i="1"/>
  <c r="L13" i="1"/>
  <c r="BD13" i="1"/>
  <c r="BB13" i="1"/>
  <c r="AL13" i="1"/>
  <c r="AI13" i="1"/>
  <c r="AD13" i="1"/>
  <c r="BE13" i="1"/>
  <c r="BS13" i="1" s="1"/>
  <c r="K13" i="1"/>
  <c r="I13" i="1"/>
  <c r="H13" i="1"/>
  <c r="E13" i="1"/>
  <c r="AK13" i="1"/>
  <c r="D13" i="1"/>
  <c r="BH9" i="1"/>
  <c r="AR9" i="1"/>
  <c r="AA9" i="1"/>
  <c r="K9" i="1"/>
  <c r="BR9" i="1"/>
  <c r="BA9" i="1"/>
  <c r="AJ9" i="1"/>
  <c r="R9" i="1"/>
  <c r="BO9" i="1"/>
  <c r="AW9" i="1"/>
  <c r="AE9" i="1"/>
  <c r="L9" i="1"/>
  <c r="DW9" i="1"/>
  <c r="BN9" i="1"/>
  <c r="AV9" i="1"/>
  <c r="AD9" i="1"/>
  <c r="J9" i="1"/>
  <c r="BM9" i="1"/>
  <c r="AU9" i="1"/>
  <c r="AB9" i="1"/>
  <c r="I9" i="1"/>
  <c r="BL9" i="1"/>
  <c r="AT9" i="1"/>
  <c r="Z9" i="1"/>
  <c r="H9" i="1"/>
  <c r="AQ9" i="1"/>
  <c r="T9" i="1"/>
  <c r="BQ9" i="1"/>
  <c r="AP9" i="1"/>
  <c r="S9" i="1"/>
  <c r="BP9" i="1"/>
  <c r="AO9" i="1"/>
  <c r="Q9" i="1"/>
  <c r="BK9" i="1"/>
  <c r="AN9" i="1"/>
  <c r="P9" i="1"/>
  <c r="BJ9" i="1"/>
  <c r="AM9" i="1"/>
  <c r="O9" i="1"/>
  <c r="BC9" i="1"/>
  <c r="U9" i="1"/>
  <c r="E9" i="1"/>
  <c r="A9" i="1"/>
  <c r="BF9" i="1"/>
  <c r="BB9" i="1"/>
  <c r="N9" i="1"/>
  <c r="AS9" i="1"/>
  <c r="AI9" i="1"/>
  <c r="AH9" i="1"/>
  <c r="BG9" i="1"/>
  <c r="AZ9" i="1"/>
  <c r="M9" i="1"/>
  <c r="V9" i="1"/>
  <c r="AY9" i="1"/>
  <c r="G9" i="1"/>
  <c r="AK9" i="1"/>
  <c r="AG9" i="1"/>
  <c r="BI9" i="1"/>
  <c r="Y9" i="1"/>
  <c r="BD9" i="1"/>
  <c r="AX9" i="1"/>
  <c r="F9" i="1"/>
  <c r="AL9" i="1"/>
  <c r="D9" i="1"/>
  <c r="AF9" i="1"/>
  <c r="X9" i="1"/>
  <c r="BE9" i="1"/>
  <c r="W9" i="1"/>
  <c r="BS18" i="1"/>
  <c r="BT18" i="1" s="1"/>
  <c r="BU18" i="1" s="1"/>
  <c r="DT8" i="1" a="1"/>
  <c r="DT8" i="1" s="1"/>
  <c r="DL8" i="1" a="1"/>
  <c r="DL8" i="1" s="1"/>
  <c r="DD8" i="1" a="1"/>
  <c r="DD8" i="1" s="1"/>
  <c r="CV8" i="1" a="1"/>
  <c r="CV8" i="1" s="1"/>
  <c r="CM8" i="1" a="1"/>
  <c r="CM8" i="1" s="1"/>
  <c r="CE8" i="1" a="1"/>
  <c r="CE8" i="1" s="1"/>
  <c r="BW8" i="1" a="1"/>
  <c r="BW8" i="1" s="1"/>
  <c r="DF8" i="1" a="1"/>
  <c r="DF8" i="1" s="1"/>
  <c r="CO8" i="1" a="1"/>
  <c r="CO8" i="1" s="1"/>
  <c r="DS8" i="1" a="1"/>
  <c r="DS8" i="1" s="1"/>
  <c r="DJ8" i="1" a="1"/>
  <c r="DJ8" i="1" s="1"/>
  <c r="DA8" i="1" a="1"/>
  <c r="DA8" i="1" s="1"/>
  <c r="CR8" i="1" a="1"/>
  <c r="CR8" i="1" s="1"/>
  <c r="CH8" i="1" a="1"/>
  <c r="CH8" i="1" s="1"/>
  <c r="BY8" i="1" a="1"/>
  <c r="BY8" i="1" s="1"/>
  <c r="DR8" i="1" a="1"/>
  <c r="DR8" i="1" s="1"/>
  <c r="DI8" i="1" a="1"/>
  <c r="DI8" i="1" s="1"/>
  <c r="CZ8" i="1" a="1"/>
  <c r="CZ8" i="1" s="1"/>
  <c r="CQ8" i="1" a="1"/>
  <c r="CQ8" i="1" s="1"/>
  <c r="CG8" i="1" a="1"/>
  <c r="CG8" i="1" s="1"/>
  <c r="BX8" i="1" a="1"/>
  <c r="BX8" i="1" s="1"/>
  <c r="DU8" i="1" a="1"/>
  <c r="DU8" i="1" s="1"/>
  <c r="DG8" i="1" a="1"/>
  <c r="DG8" i="1" s="1"/>
  <c r="CU8" i="1" a="1"/>
  <c r="CU8" i="1" s="1"/>
  <c r="CI8" i="1" a="1"/>
  <c r="CI8" i="1" s="1"/>
  <c r="DQ8" i="1" a="1"/>
  <c r="DQ8" i="1" s="1"/>
  <c r="CT8" i="1" a="1"/>
  <c r="CT8" i="1" s="1"/>
  <c r="CF8" i="1" a="1"/>
  <c r="CF8" i="1" s="1"/>
  <c r="DE8" i="1" a="1"/>
  <c r="DE8" i="1" s="1"/>
  <c r="CW8" i="1" a="1"/>
  <c r="CW8" i="1" s="1"/>
  <c r="CL8" i="1" a="1"/>
  <c r="CL8" i="1" s="1"/>
  <c r="DM8" i="1" a="1"/>
  <c r="DM8" i="1" s="1"/>
  <c r="CB8" i="1" a="1"/>
  <c r="CB8" i="1" s="1"/>
  <c r="DC8" i="1" a="1"/>
  <c r="DC8" i="1" s="1"/>
  <c r="DP8" i="1" a="1"/>
  <c r="DP8" i="1" s="1"/>
  <c r="CJ8" i="1" a="1"/>
  <c r="CJ8" i="1" s="1"/>
  <c r="CD8" i="1" a="1"/>
  <c r="CD8" i="1" s="1"/>
  <c r="CS8" i="1" a="1"/>
  <c r="CS8" i="1" s="1"/>
  <c r="CY8" i="1" a="1"/>
  <c r="CY8" i="1" s="1"/>
  <c r="CA8" i="1" a="1"/>
  <c r="CA8" i="1" s="1"/>
  <c r="BZ8" i="1" a="1"/>
  <c r="BZ8" i="1" s="1"/>
  <c r="DH8" i="1" a="1"/>
  <c r="DH8" i="1" s="1"/>
  <c r="DV8" i="1" a="1"/>
  <c r="DV8" i="1" s="1"/>
  <c r="CK8" i="1" a="1"/>
  <c r="CK8" i="1" s="1"/>
  <c r="DN8" i="1" a="1"/>
  <c r="DN8" i="1" s="1"/>
  <c r="CX8" i="1" a="1"/>
  <c r="CX8" i="1" s="1"/>
  <c r="CC8" i="1" a="1"/>
  <c r="CC8" i="1" s="1"/>
  <c r="DK8" i="1" a="1"/>
  <c r="DK8" i="1" s="1"/>
  <c r="CP8" i="1" a="1"/>
  <c r="CP8" i="1" s="1"/>
  <c r="DB8" i="1" a="1"/>
  <c r="DB8" i="1" s="1"/>
  <c r="DO8" i="1" a="1"/>
  <c r="DO8" i="1" s="1"/>
  <c r="BQ22" i="1"/>
  <c r="BA22" i="1"/>
  <c r="AK22" i="1"/>
  <c r="U22" i="1"/>
  <c r="E22" i="1"/>
  <c r="BP22" i="1"/>
  <c r="AZ22" i="1"/>
  <c r="AJ22" i="1"/>
  <c r="T22" i="1"/>
  <c r="D22" i="1"/>
  <c r="BO22" i="1"/>
  <c r="AY22" i="1"/>
  <c r="AI22" i="1"/>
  <c r="S22" i="1"/>
  <c r="C23" i="1"/>
  <c r="BN22" i="1"/>
  <c r="AX22" i="1"/>
  <c r="AH22" i="1"/>
  <c r="R22" i="1"/>
  <c r="A22" i="1"/>
  <c r="BE22" i="1"/>
  <c r="AG22" i="1"/>
  <c r="M22" i="1"/>
  <c r="BD22" i="1"/>
  <c r="AF22" i="1"/>
  <c r="L22" i="1"/>
  <c r="BC22" i="1"/>
  <c r="AE22" i="1"/>
  <c r="K22" i="1"/>
  <c r="BB22" i="1"/>
  <c r="AD22" i="1"/>
  <c r="J22" i="1"/>
  <c r="AS22" i="1"/>
  <c r="Q22" i="1"/>
  <c r="AR22" i="1"/>
  <c r="P22" i="1"/>
  <c r="AQ22" i="1"/>
  <c r="O22" i="1"/>
  <c r="BR22" i="1"/>
  <c r="AP22" i="1"/>
  <c r="N22" i="1"/>
  <c r="BM22" i="1"/>
  <c r="DW22" i="1"/>
  <c r="BH22" i="1"/>
  <c r="X22" i="1"/>
  <c r="BG22" i="1"/>
  <c r="W22" i="1"/>
  <c r="BF22" i="1"/>
  <c r="V22" i="1"/>
  <c r="AW22" i="1"/>
  <c r="I22" i="1"/>
  <c r="AA22" i="1"/>
  <c r="Z22" i="1"/>
  <c r="Y22" i="1"/>
  <c r="BL22" i="1"/>
  <c r="H22" i="1"/>
  <c r="BK22" i="1"/>
  <c r="G22" i="1"/>
  <c r="BJ22" i="1"/>
  <c r="F22" i="1"/>
  <c r="BI22" i="1"/>
  <c r="AT22" i="1"/>
  <c r="AV22" i="1"/>
  <c r="AO22" i="1"/>
  <c r="AN22" i="1"/>
  <c r="C26" i="1"/>
  <c r="AB22" i="1"/>
  <c r="AM22" i="1"/>
  <c r="AC22" i="1"/>
  <c r="AU22" i="1"/>
  <c r="AL22" i="1"/>
  <c r="BS5" i="1"/>
  <c r="BT5" i="1" s="1"/>
  <c r="BU5" i="1" s="1"/>
  <c r="DR5" i="1" a="1"/>
  <c r="DR5" i="1" s="1"/>
  <c r="DJ5" i="1" a="1"/>
  <c r="DJ5" i="1" s="1"/>
  <c r="DB5" i="1" a="1"/>
  <c r="DB5" i="1" s="1"/>
  <c r="CT5" i="1" a="1"/>
  <c r="CT5" i="1" s="1"/>
  <c r="CK5" i="1" a="1"/>
  <c r="CK5" i="1" s="1"/>
  <c r="CC5" i="1" a="1"/>
  <c r="CC5" i="1" s="1"/>
  <c r="DL5" i="1" a="1"/>
  <c r="DL5" i="1" s="1"/>
  <c r="CU5" i="1" a="1"/>
  <c r="CU5" i="1" s="1"/>
  <c r="DQ5" i="1" a="1"/>
  <c r="DQ5" i="1" s="1"/>
  <c r="DH5" i="1" a="1"/>
  <c r="DH5" i="1" s="1"/>
  <c r="CY5" i="1" a="1"/>
  <c r="CY5" i="1" s="1"/>
  <c r="CP5" i="1" a="1"/>
  <c r="CP5" i="1" s="1"/>
  <c r="CF5" i="1" a="1"/>
  <c r="CF5" i="1" s="1"/>
  <c r="BW5" i="1" a="1"/>
  <c r="BW5" i="1" s="1"/>
  <c r="DP5" i="1" a="1"/>
  <c r="DP5" i="1" s="1"/>
  <c r="DG5" i="1" a="1"/>
  <c r="DG5" i="1" s="1"/>
  <c r="CX5" i="1" a="1"/>
  <c r="CX5" i="1" s="1"/>
  <c r="CO5" i="1" a="1"/>
  <c r="CO5" i="1" s="1"/>
  <c r="CE5" i="1" a="1"/>
  <c r="CE5" i="1" s="1"/>
  <c r="DC5" i="1" a="1"/>
  <c r="DC5" i="1" s="1"/>
  <c r="DN5" i="1" a="1"/>
  <c r="DN5" i="1" s="1"/>
  <c r="CQ5" i="1" a="1"/>
  <c r="CQ5" i="1" s="1"/>
  <c r="CB5" i="1" a="1"/>
  <c r="CB5" i="1" s="1"/>
  <c r="DM5" i="1" a="1"/>
  <c r="DM5" i="1" s="1"/>
  <c r="DA5" i="1" a="1"/>
  <c r="DA5" i="1" s="1"/>
  <c r="CM5" i="1" a="1"/>
  <c r="CM5" i="1" s="1"/>
  <c r="CA5" i="1" a="1"/>
  <c r="CA5" i="1" s="1"/>
  <c r="CG5" i="1" a="1"/>
  <c r="CG5" i="1" s="1"/>
  <c r="CS5" i="1" a="1"/>
  <c r="CS5" i="1" s="1"/>
  <c r="BY5" i="1" a="1"/>
  <c r="BY5" i="1" s="1"/>
  <c r="DD5" i="1" a="1"/>
  <c r="DD5" i="1" s="1"/>
  <c r="CW5" i="1" a="1"/>
  <c r="CW5" i="1" s="1"/>
  <c r="DO5" i="1" a="1"/>
  <c r="DO5" i="1" s="1"/>
  <c r="CV5" i="1" a="1"/>
  <c r="CV5" i="1" s="1"/>
  <c r="DE5" i="1" a="1"/>
  <c r="DE5" i="1" s="1"/>
  <c r="DU5" i="1" a="1"/>
  <c r="DU5" i="1" s="1"/>
  <c r="CD5" i="1" a="1"/>
  <c r="CD5" i="1" s="1"/>
  <c r="CR5" i="1" a="1"/>
  <c r="CR5" i="1" s="1"/>
  <c r="DT5" i="1" a="1"/>
  <c r="DT5" i="1" s="1"/>
  <c r="DK5" i="1" a="1"/>
  <c r="DK5" i="1" s="1"/>
  <c r="BZ5" i="1" a="1"/>
  <c r="BZ5" i="1" s="1"/>
  <c r="DI5" i="1" a="1"/>
  <c r="DI5" i="1" s="1"/>
  <c r="DV5" i="1" a="1"/>
  <c r="DV5" i="1" s="1"/>
  <c r="CJ5" i="1" a="1"/>
  <c r="CJ5" i="1" s="1"/>
  <c r="CZ5" i="1" a="1"/>
  <c r="CZ5" i="1" s="1"/>
  <c r="BX5" i="1" a="1"/>
  <c r="BX5" i="1" s="1"/>
  <c r="DF5" i="1" a="1"/>
  <c r="DF5" i="1" s="1"/>
  <c r="CL5" i="1" a="1"/>
  <c r="CL5" i="1" s="1"/>
  <c r="CI5" i="1" a="1"/>
  <c r="CI5" i="1" s="1"/>
  <c r="DS5" i="1" a="1"/>
  <c r="DS5" i="1" s="1"/>
  <c r="CH5" i="1" a="1"/>
  <c r="CH5" i="1" s="1"/>
  <c r="BS12" i="1"/>
  <c r="BT12" i="1" s="1"/>
  <c r="BU12" i="1" s="1"/>
  <c r="C20" i="1"/>
  <c r="BN19" i="1"/>
  <c r="AX19" i="1"/>
  <c r="AH19" i="1"/>
  <c r="R19" i="1"/>
  <c r="A19" i="1"/>
  <c r="BM19" i="1"/>
  <c r="AW19" i="1"/>
  <c r="AG19" i="1"/>
  <c r="Q19" i="1"/>
  <c r="DW19" i="1"/>
  <c r="BL19" i="1"/>
  <c r="AV19" i="1"/>
  <c r="AF19" i="1"/>
  <c r="P19" i="1"/>
  <c r="BK19" i="1"/>
  <c r="AU19" i="1"/>
  <c r="AE19" i="1"/>
  <c r="O19" i="1"/>
  <c r="BR19" i="1"/>
  <c r="AT19" i="1"/>
  <c r="Z19" i="1"/>
  <c r="F19" i="1"/>
  <c r="BP19" i="1"/>
  <c r="AR19" i="1"/>
  <c r="X19" i="1"/>
  <c r="D19" i="1"/>
  <c r="BO19" i="1"/>
  <c r="AQ19" i="1"/>
  <c r="W19" i="1"/>
  <c r="BQ19" i="1"/>
  <c r="AN19" i="1"/>
  <c r="M19" i="1"/>
  <c r="BJ19" i="1"/>
  <c r="AM19" i="1"/>
  <c r="L19" i="1"/>
  <c r="BI19" i="1"/>
  <c r="AL19" i="1"/>
  <c r="K19" i="1"/>
  <c r="BH19" i="1"/>
  <c r="AK19" i="1"/>
  <c r="J19" i="1"/>
  <c r="BF19" i="1"/>
  <c r="AA19" i="1"/>
  <c r="BE19" i="1"/>
  <c r="Y19" i="1"/>
  <c r="BD19" i="1"/>
  <c r="V19" i="1"/>
  <c r="BC19" i="1"/>
  <c r="U19" i="1"/>
  <c r="BA19" i="1"/>
  <c r="G19" i="1"/>
  <c r="AZ19" i="1"/>
  <c r="E19" i="1"/>
  <c r="AY19" i="1"/>
  <c r="AS19" i="1"/>
  <c r="AP19" i="1"/>
  <c r="AO19" i="1"/>
  <c r="AJ19" i="1"/>
  <c r="BB19" i="1"/>
  <c r="T19" i="1"/>
  <c r="H19" i="1"/>
  <c r="AI19" i="1"/>
  <c r="I19" i="1"/>
  <c r="AD19" i="1"/>
  <c r="AC19" i="1"/>
  <c r="N19" i="1"/>
  <c r="BG19" i="1"/>
  <c r="AB19" i="1"/>
  <c r="S19" i="1"/>
  <c r="DO18" i="1" a="1"/>
  <c r="DO18" i="1" s="1"/>
  <c r="DG18" i="1" a="1"/>
  <c r="DG18" i="1" s="1"/>
  <c r="DV18" i="1" a="1"/>
  <c r="DV18" i="1" s="1"/>
  <c r="DN18" i="1" a="1"/>
  <c r="DN18" i="1" s="1"/>
  <c r="DF18" i="1" a="1"/>
  <c r="DF18" i="1" s="1"/>
  <c r="DL18" i="1" a="1"/>
  <c r="DL18" i="1" s="1"/>
  <c r="DB18" i="1" a="1"/>
  <c r="DB18" i="1" s="1"/>
  <c r="CT18" i="1" a="1"/>
  <c r="CT18" i="1" s="1"/>
  <c r="CK18" i="1" a="1"/>
  <c r="CK18" i="1" s="1"/>
  <c r="CC18" i="1" a="1"/>
  <c r="CC18" i="1" s="1"/>
  <c r="DD18" i="1" a="1"/>
  <c r="DD18" i="1" s="1"/>
  <c r="CS18" i="1" a="1"/>
  <c r="CS18" i="1" s="1"/>
  <c r="BY18" i="1" a="1"/>
  <c r="BY18" i="1" s="1"/>
  <c r="DQ18" i="1" a="1"/>
  <c r="DQ18" i="1" s="1"/>
  <c r="DC18" i="1" a="1"/>
  <c r="DC18" i="1" s="1"/>
  <c r="CH18" i="1" a="1"/>
  <c r="CH18" i="1" s="1"/>
  <c r="CR18" i="1" a="1"/>
  <c r="CR18" i="1" s="1"/>
  <c r="BX18" i="1" a="1"/>
  <c r="BX18" i="1" s="1"/>
  <c r="DP18" i="1" a="1"/>
  <c r="DP18" i="1" s="1"/>
  <c r="DA18" i="1" a="1"/>
  <c r="DA18" i="1" s="1"/>
  <c r="CG18" i="1" a="1"/>
  <c r="CG18" i="1" s="1"/>
  <c r="DS18" i="1" a="1"/>
  <c r="DS18" i="1" s="1"/>
  <c r="CZ18" i="1" a="1"/>
  <c r="CZ18" i="1" s="1"/>
  <c r="CM18" i="1" a="1"/>
  <c r="CM18" i="1" s="1"/>
  <c r="BZ18" i="1" a="1"/>
  <c r="BZ18" i="1" s="1"/>
  <c r="DR18" i="1" a="1"/>
  <c r="DR18" i="1" s="1"/>
  <c r="CY18" i="1" a="1"/>
  <c r="CY18" i="1" s="1"/>
  <c r="CL18" i="1" a="1"/>
  <c r="CL18" i="1" s="1"/>
  <c r="DM18" i="1" a="1"/>
  <c r="DM18" i="1" s="1"/>
  <c r="BW18" i="1" a="1"/>
  <c r="BW18" i="1" s="1"/>
  <c r="DE18" i="1" a="1"/>
  <c r="DE18" i="1" s="1"/>
  <c r="CI18" i="1" a="1"/>
  <c r="CI18" i="1" s="1"/>
  <c r="DU18" i="1" a="1"/>
  <c r="DU18" i="1" s="1"/>
  <c r="CX18" i="1" a="1"/>
  <c r="CX18" i="1" s="1"/>
  <c r="CF18" i="1" a="1"/>
  <c r="CF18" i="1" s="1"/>
  <c r="DT18" i="1" a="1"/>
  <c r="DT18" i="1" s="1"/>
  <c r="CW18" i="1" a="1"/>
  <c r="CW18" i="1" s="1"/>
  <c r="CE18" i="1" a="1"/>
  <c r="CE18" i="1" s="1"/>
  <c r="CD18" i="1" a="1"/>
  <c r="CD18" i="1" s="1"/>
  <c r="CP18" i="1" a="1"/>
  <c r="CP18" i="1" s="1"/>
  <c r="DJ18" i="1" a="1"/>
  <c r="DJ18" i="1" s="1"/>
  <c r="DH18" i="1" a="1"/>
  <c r="DH18" i="1" s="1"/>
  <c r="CO18" i="1" a="1"/>
  <c r="CO18" i="1" s="1"/>
  <c r="CB18" i="1" a="1"/>
  <c r="CB18" i="1" s="1"/>
  <c r="CV18" i="1" a="1"/>
  <c r="CV18" i="1" s="1"/>
  <c r="DI18" i="1" a="1"/>
  <c r="DI18" i="1" s="1"/>
  <c r="CA18" i="1" a="1"/>
  <c r="CA18" i="1" s="1"/>
  <c r="CU18" i="1" a="1"/>
  <c r="CU18" i="1" s="1"/>
  <c r="CQ18" i="1" a="1"/>
  <c r="CQ18" i="1" s="1"/>
  <c r="DK18" i="1" a="1"/>
  <c r="DK18" i="1" s="1"/>
  <c r="CJ18" i="1" a="1"/>
  <c r="CJ18" i="1" s="1"/>
  <c r="DQ15" i="1" a="1"/>
  <c r="DQ15" i="1" s="1"/>
  <c r="DI15" i="1" a="1"/>
  <c r="DI15" i="1" s="1"/>
  <c r="DA15" i="1" a="1"/>
  <c r="DA15" i="1" s="1"/>
  <c r="CS15" i="1" a="1"/>
  <c r="CS15" i="1" s="1"/>
  <c r="CJ15" i="1" a="1"/>
  <c r="CJ15" i="1" s="1"/>
  <c r="CB15" i="1" a="1"/>
  <c r="CB15" i="1" s="1"/>
  <c r="DP15" i="1" a="1"/>
  <c r="DP15" i="1" s="1"/>
  <c r="DH15" i="1" a="1"/>
  <c r="DH15" i="1" s="1"/>
  <c r="CZ15" i="1" a="1"/>
  <c r="CZ15" i="1" s="1"/>
  <c r="CR15" i="1" a="1"/>
  <c r="CR15" i="1" s="1"/>
  <c r="CI15" i="1" a="1"/>
  <c r="CI15" i="1" s="1"/>
  <c r="CA15" i="1" a="1"/>
  <c r="CA15" i="1" s="1"/>
  <c r="DR15" i="1" a="1"/>
  <c r="DR15" i="1" s="1"/>
  <c r="DG15" i="1" a="1"/>
  <c r="DG15" i="1" s="1"/>
  <c r="CM15" i="1" a="1"/>
  <c r="CM15" i="1" s="1"/>
  <c r="CQ15" i="1" a="1"/>
  <c r="CQ15" i="1" s="1"/>
  <c r="CF15" i="1" a="1"/>
  <c r="CF15" i="1" s="1"/>
  <c r="DV15" i="1" a="1"/>
  <c r="DV15" i="1" s="1"/>
  <c r="DL15" i="1" a="1"/>
  <c r="DL15" i="1" s="1"/>
  <c r="DB15" i="1" a="1"/>
  <c r="DB15" i="1" s="1"/>
  <c r="CP15" i="1" a="1"/>
  <c r="CP15" i="1" s="1"/>
  <c r="CE15" i="1" a="1"/>
  <c r="CE15" i="1" s="1"/>
  <c r="DU15" i="1" a="1"/>
  <c r="DU15" i="1" s="1"/>
  <c r="DK15" i="1" a="1"/>
  <c r="DK15" i="1" s="1"/>
  <c r="DJ15" i="1" a="1"/>
  <c r="DJ15" i="1" s="1"/>
  <c r="CV15" i="1" a="1"/>
  <c r="CV15" i="1" s="1"/>
  <c r="CG15" i="1" a="1"/>
  <c r="CG15" i="1" s="1"/>
  <c r="CU15" i="1" a="1"/>
  <c r="CU15" i="1" s="1"/>
  <c r="CD15" i="1" a="1"/>
  <c r="CD15" i="1" s="1"/>
  <c r="DT15" i="1" a="1"/>
  <c r="DT15" i="1" s="1"/>
  <c r="DF15" i="1" a="1"/>
  <c r="DF15" i="1" s="1"/>
  <c r="CT15" i="1" a="1"/>
  <c r="CT15" i="1" s="1"/>
  <c r="CC15" i="1" a="1"/>
  <c r="CC15" i="1" s="1"/>
  <c r="DS15" i="1" a="1"/>
  <c r="DS15" i="1" s="1"/>
  <c r="DE15" i="1" a="1"/>
  <c r="DE15" i="1" s="1"/>
  <c r="CY15" i="1" a="1"/>
  <c r="CY15" i="1" s="1"/>
  <c r="CX15" i="1" a="1"/>
  <c r="CX15" i="1" s="1"/>
  <c r="CO15" i="1" a="1"/>
  <c r="CO15" i="1" s="1"/>
  <c r="DM15" i="1" a="1"/>
  <c r="DM15" i="1" s="1"/>
  <c r="CK15" i="1" a="1"/>
  <c r="CK15" i="1" s="1"/>
  <c r="BX15" i="1" a="1"/>
  <c r="BX15" i="1" s="1"/>
  <c r="DC15" i="1" a="1"/>
  <c r="DC15" i="1" s="1"/>
  <c r="DO15" i="1" a="1"/>
  <c r="DO15" i="1" s="1"/>
  <c r="BZ15" i="1" a="1"/>
  <c r="BZ15" i="1" s="1"/>
  <c r="BY15" i="1" a="1"/>
  <c r="BY15" i="1" s="1"/>
  <c r="CW15" i="1" a="1"/>
  <c r="CW15" i="1" s="1"/>
  <c r="DN15" i="1" a="1"/>
  <c r="DN15" i="1" s="1"/>
  <c r="CL15" i="1" a="1"/>
  <c r="CL15" i="1" s="1"/>
  <c r="DD15" i="1" a="1"/>
  <c r="DD15" i="1" s="1"/>
  <c r="CH15" i="1" a="1"/>
  <c r="CH15" i="1" s="1"/>
  <c r="BW15" i="1" a="1"/>
  <c r="BW15" i="1" s="1"/>
  <c r="BT15" i="1"/>
  <c r="BU15" i="1" s="1"/>
  <c r="BS8" i="1"/>
  <c r="BT8" i="1" s="1"/>
  <c r="BU8" i="1" s="1"/>
  <c r="DO12" i="1" a="1"/>
  <c r="DO12" i="1" s="1"/>
  <c r="DG12" i="1" a="1"/>
  <c r="DG12" i="1" s="1"/>
  <c r="CY12" i="1" a="1"/>
  <c r="CY12" i="1" s="1"/>
  <c r="CQ12" i="1" a="1"/>
  <c r="CQ12" i="1" s="1"/>
  <c r="CH12" i="1" a="1"/>
  <c r="CH12" i="1" s="1"/>
  <c r="BZ12" i="1" a="1"/>
  <c r="BZ12" i="1" s="1"/>
  <c r="DV12" i="1" a="1"/>
  <c r="DV12" i="1" s="1"/>
  <c r="DN12" i="1" a="1"/>
  <c r="DN12" i="1" s="1"/>
  <c r="DF12" i="1" a="1"/>
  <c r="DF12" i="1" s="1"/>
  <c r="CX12" i="1" a="1"/>
  <c r="CX12" i="1" s="1"/>
  <c r="CP12" i="1" a="1"/>
  <c r="CP12" i="1" s="1"/>
  <c r="CG12" i="1" a="1"/>
  <c r="CG12" i="1" s="1"/>
  <c r="BY12" i="1" a="1"/>
  <c r="BY12" i="1" s="1"/>
  <c r="DM12" i="1" a="1"/>
  <c r="DM12" i="1" s="1"/>
  <c r="CT12" i="1" a="1"/>
  <c r="CT12" i="1" s="1"/>
  <c r="CE12" i="1" a="1"/>
  <c r="CE12" i="1" s="1"/>
  <c r="DU12" i="1" a="1"/>
  <c r="DU12" i="1" s="1"/>
  <c r="DK12" i="1" a="1"/>
  <c r="DK12" i="1" s="1"/>
  <c r="DA12" i="1" a="1"/>
  <c r="DA12" i="1" s="1"/>
  <c r="CO12" i="1" a="1"/>
  <c r="CO12" i="1" s="1"/>
  <c r="CD12" i="1" a="1"/>
  <c r="CD12" i="1" s="1"/>
  <c r="DT12" i="1" a="1"/>
  <c r="DT12" i="1" s="1"/>
  <c r="DJ12" i="1" a="1"/>
  <c r="DJ12" i="1" s="1"/>
  <c r="CZ12" i="1" a="1"/>
  <c r="CZ12" i="1" s="1"/>
  <c r="DS12" i="1" a="1"/>
  <c r="DS12" i="1" s="1"/>
  <c r="CS12" i="1" a="1"/>
  <c r="CS12" i="1" s="1"/>
  <c r="DE12" i="1" a="1"/>
  <c r="DE12" i="1" s="1"/>
  <c r="CB12" i="1" a="1"/>
  <c r="CB12" i="1" s="1"/>
  <c r="DR12" i="1" a="1"/>
  <c r="DR12" i="1" s="1"/>
  <c r="CR12" i="1" a="1"/>
  <c r="CR12" i="1" s="1"/>
  <c r="DD12" i="1" a="1"/>
  <c r="DD12" i="1" s="1"/>
  <c r="CM12" i="1" a="1"/>
  <c r="CM12" i="1" s="1"/>
  <c r="CA12" i="1" a="1"/>
  <c r="CA12" i="1" s="1"/>
  <c r="DQ12" i="1" a="1"/>
  <c r="DQ12" i="1" s="1"/>
  <c r="DC12" i="1" a="1"/>
  <c r="DC12" i="1" s="1"/>
  <c r="CF12" i="1" a="1"/>
  <c r="CF12" i="1" s="1"/>
  <c r="CU12" i="1" a="1"/>
  <c r="CU12" i="1" s="1"/>
  <c r="BW12" i="1" a="1"/>
  <c r="BW12" i="1" s="1"/>
  <c r="DH12" i="1" a="1"/>
  <c r="DH12" i="1" s="1"/>
  <c r="CJ12" i="1" a="1"/>
  <c r="CJ12" i="1" s="1"/>
  <c r="CI12" i="1" a="1"/>
  <c r="CI12" i="1" s="1"/>
  <c r="DP12" i="1" a="1"/>
  <c r="DP12" i="1" s="1"/>
  <c r="DL12" i="1" a="1"/>
  <c r="DL12" i="1" s="1"/>
  <c r="DI12" i="1" a="1"/>
  <c r="DI12" i="1" s="1"/>
  <c r="DB12" i="1" a="1"/>
  <c r="DB12" i="1" s="1"/>
  <c r="CW12" i="1" a="1"/>
  <c r="CW12" i="1" s="1"/>
  <c r="CV12" i="1" a="1"/>
  <c r="CV12" i="1" s="1"/>
  <c r="BX12" i="1" a="1"/>
  <c r="BX12" i="1" s="1"/>
  <c r="CL12" i="1" a="1"/>
  <c r="CL12" i="1" s="1"/>
  <c r="CK12" i="1" a="1"/>
  <c r="CK12" i="1" s="1"/>
  <c r="CC12" i="1" a="1"/>
  <c r="CC12" i="1" s="1"/>
  <c r="BR16" i="1"/>
  <c r="BB16" i="1"/>
  <c r="AL16" i="1"/>
  <c r="U16" i="1"/>
  <c r="E16" i="1"/>
  <c r="BP16" i="1"/>
  <c r="AZ16" i="1"/>
  <c r="AJ16" i="1"/>
  <c r="S16" i="1"/>
  <c r="BO16" i="1"/>
  <c r="AY16" i="1"/>
  <c r="AI16" i="1"/>
  <c r="R16" i="1"/>
  <c r="A16" i="1"/>
  <c r="AW16" i="1"/>
  <c r="AD16" i="1"/>
  <c r="J16" i="1"/>
  <c r="BL16" i="1"/>
  <c r="AR16" i="1"/>
  <c r="W16" i="1"/>
  <c r="BK16" i="1"/>
  <c r="AQ16" i="1"/>
  <c r="V16" i="1"/>
  <c r="BJ16" i="1"/>
  <c r="AP16" i="1"/>
  <c r="T16" i="1"/>
  <c r="BI16" i="1"/>
  <c r="AO16" i="1"/>
  <c r="Q16" i="1"/>
  <c r="DW16" i="1"/>
  <c r="BG16" i="1"/>
  <c r="AF16" i="1"/>
  <c r="F16" i="1"/>
  <c r="BF16" i="1"/>
  <c r="AE16" i="1"/>
  <c r="D16" i="1"/>
  <c r="BE16" i="1"/>
  <c r="AB16" i="1"/>
  <c r="BD16" i="1"/>
  <c r="AA16" i="1"/>
  <c r="BC16" i="1"/>
  <c r="Z16" i="1"/>
  <c r="BA16" i="1"/>
  <c r="Y16" i="1"/>
  <c r="AX16" i="1"/>
  <c r="X16" i="1"/>
  <c r="AG16" i="1"/>
  <c r="L16" i="1"/>
  <c r="AN16" i="1"/>
  <c r="AM16" i="1"/>
  <c r="P16" i="1"/>
  <c r="AV16" i="1"/>
  <c r="H16" i="1"/>
  <c r="G16" i="1"/>
  <c r="C17" i="1"/>
  <c r="O16" i="1"/>
  <c r="N16" i="1"/>
  <c r="BN16" i="1"/>
  <c r="BM16" i="1"/>
  <c r="I16" i="1"/>
  <c r="AU16" i="1"/>
  <c r="AH16" i="1"/>
  <c r="BQ16" i="1"/>
  <c r="M16" i="1"/>
  <c r="K16" i="1"/>
  <c r="BH16" i="1"/>
  <c r="AT16" i="1"/>
  <c r="AS16" i="1"/>
  <c r="AK16" i="1"/>
  <c r="BR23" i="1" l="1"/>
  <c r="BB23" i="1"/>
  <c r="AL23" i="1"/>
  <c r="V23" i="1"/>
  <c r="F23" i="1"/>
  <c r="BQ23" i="1"/>
  <c r="BA23" i="1"/>
  <c r="AK23" i="1"/>
  <c r="U23" i="1"/>
  <c r="E23" i="1"/>
  <c r="BP23" i="1"/>
  <c r="AZ23" i="1"/>
  <c r="AJ23" i="1"/>
  <c r="T23" i="1"/>
  <c r="D23" i="1"/>
  <c r="BO23" i="1"/>
  <c r="AY23" i="1"/>
  <c r="AI23" i="1"/>
  <c r="S23" i="1"/>
  <c r="C24" i="1"/>
  <c r="AX23" i="1"/>
  <c r="AD23" i="1"/>
  <c r="J23" i="1"/>
  <c r="AW23" i="1"/>
  <c r="AC23" i="1"/>
  <c r="I23" i="1"/>
  <c r="DW23" i="1"/>
  <c r="AV23" i="1"/>
  <c r="AB23" i="1"/>
  <c r="H23" i="1"/>
  <c r="AU23" i="1"/>
  <c r="AA23" i="1"/>
  <c r="G23" i="1"/>
  <c r="BN23" i="1"/>
  <c r="AP23" i="1"/>
  <c r="N23" i="1"/>
  <c r="BM23" i="1"/>
  <c r="AO23" i="1"/>
  <c r="M23" i="1"/>
  <c r="BL23" i="1"/>
  <c r="AN23" i="1"/>
  <c r="L23" i="1"/>
  <c r="BK23" i="1"/>
  <c r="AM23" i="1"/>
  <c r="K23" i="1"/>
  <c r="BJ23" i="1"/>
  <c r="AH23" i="1"/>
  <c r="A23" i="1"/>
  <c r="BC23" i="1"/>
  <c r="AT23" i="1"/>
  <c r="AS23" i="1"/>
  <c r="AR23" i="1"/>
  <c r="Q23" i="1"/>
  <c r="BI23" i="1"/>
  <c r="P23" i="1"/>
  <c r="BH23" i="1"/>
  <c r="O23" i="1"/>
  <c r="BG23" i="1"/>
  <c r="BF23" i="1"/>
  <c r="BE23" i="1"/>
  <c r="BS23" i="1" s="1"/>
  <c r="BD23" i="1"/>
  <c r="Y23" i="1"/>
  <c r="X23" i="1"/>
  <c r="W23" i="1"/>
  <c r="AQ23" i="1"/>
  <c r="AF23" i="1"/>
  <c r="Z23" i="1"/>
  <c r="AG23" i="1"/>
  <c r="AE23" i="1"/>
  <c r="R23" i="1"/>
  <c r="DP13" i="1" a="1"/>
  <c r="DP13" i="1" s="1"/>
  <c r="DH13" i="1" a="1"/>
  <c r="DH13" i="1" s="1"/>
  <c r="CZ13" i="1" a="1"/>
  <c r="CZ13" i="1" s="1"/>
  <c r="CR13" i="1" a="1"/>
  <c r="CR13" i="1" s="1"/>
  <c r="CI13" i="1" a="1"/>
  <c r="CI13" i="1" s="1"/>
  <c r="CA13" i="1" a="1"/>
  <c r="CA13" i="1" s="1"/>
  <c r="DO13" i="1" a="1"/>
  <c r="DO13" i="1" s="1"/>
  <c r="DG13" i="1" a="1"/>
  <c r="DG13" i="1" s="1"/>
  <c r="CY13" i="1" a="1"/>
  <c r="CY13" i="1" s="1"/>
  <c r="CQ13" i="1" a="1"/>
  <c r="CQ13" i="1" s="1"/>
  <c r="CH13" i="1" a="1"/>
  <c r="CH13" i="1" s="1"/>
  <c r="BZ13" i="1" a="1"/>
  <c r="BZ13" i="1" s="1"/>
  <c r="DE13" i="1" a="1"/>
  <c r="DE13" i="1" s="1"/>
  <c r="CK13" i="1" a="1"/>
  <c r="CK13" i="1" s="1"/>
  <c r="CX13" i="1" a="1"/>
  <c r="CX13" i="1" s="1"/>
  <c r="CM13" i="1" a="1"/>
  <c r="CM13" i="1" s="1"/>
  <c r="CC13" i="1" a="1"/>
  <c r="CC13" i="1" s="1"/>
  <c r="DS13" i="1" a="1"/>
  <c r="DS13" i="1" s="1"/>
  <c r="DI13" i="1" a="1"/>
  <c r="DI13" i="1" s="1"/>
  <c r="CW13" i="1" a="1"/>
  <c r="CW13" i="1" s="1"/>
  <c r="CL13" i="1" a="1"/>
  <c r="CL13" i="1" s="1"/>
  <c r="CB13" i="1" a="1"/>
  <c r="CB13" i="1" s="1"/>
  <c r="DR13" i="1" a="1"/>
  <c r="DR13" i="1" s="1"/>
  <c r="DQ13" i="1" a="1"/>
  <c r="DQ13" i="1" s="1"/>
  <c r="DC13" i="1" a="1"/>
  <c r="DC13" i="1" s="1"/>
  <c r="CO13" i="1" a="1"/>
  <c r="CO13" i="1" s="1"/>
  <c r="BX13" i="1" a="1"/>
  <c r="BX13" i="1" s="1"/>
  <c r="DN13" i="1" a="1"/>
  <c r="DN13" i="1" s="1"/>
  <c r="DB13" i="1" a="1"/>
  <c r="DB13" i="1" s="1"/>
  <c r="BW13" i="1" a="1"/>
  <c r="BW13" i="1" s="1"/>
  <c r="DM13" i="1" a="1"/>
  <c r="DM13" i="1" s="1"/>
  <c r="DA13" i="1" a="1"/>
  <c r="DA13" i="1" s="1"/>
  <c r="CJ13" i="1" a="1"/>
  <c r="CJ13" i="1" s="1"/>
  <c r="CV13" i="1" a="1"/>
  <c r="CV13" i="1" s="1"/>
  <c r="BY13" i="1" a="1"/>
  <c r="BY13" i="1" s="1"/>
  <c r="DL13" i="1" a="1"/>
  <c r="DL13" i="1" s="1"/>
  <c r="DJ13" i="1" a="1"/>
  <c r="DJ13" i="1" s="1"/>
  <c r="CP13" i="1" a="1"/>
  <c r="CP13" i="1" s="1"/>
  <c r="DD13" i="1" a="1"/>
  <c r="DD13" i="1" s="1"/>
  <c r="DU13" i="1" a="1"/>
  <c r="DU13" i="1" s="1"/>
  <c r="CE13" i="1" a="1"/>
  <c r="CE13" i="1" s="1"/>
  <c r="DF13" i="1" a="1"/>
  <c r="DF13" i="1" s="1"/>
  <c r="CD13" i="1" a="1"/>
  <c r="CD13" i="1" s="1"/>
  <c r="DV13" i="1" a="1"/>
  <c r="DV13" i="1" s="1"/>
  <c r="DT13" i="1" a="1"/>
  <c r="DT13" i="1" s="1"/>
  <c r="CU13" i="1" a="1"/>
  <c r="CU13" i="1" s="1"/>
  <c r="CT13" i="1" a="1"/>
  <c r="CT13" i="1" s="1"/>
  <c r="DK13" i="1" a="1"/>
  <c r="DK13" i="1" s="1"/>
  <c r="CG13" i="1" a="1"/>
  <c r="CG13" i="1" s="1"/>
  <c r="CF13" i="1" a="1"/>
  <c r="CF13" i="1" s="1"/>
  <c r="CS13" i="1" a="1"/>
  <c r="CS13" i="1" s="1"/>
  <c r="BT22" i="1"/>
  <c r="BU22" i="1" s="1"/>
  <c r="BS16" i="1"/>
  <c r="BT16" i="1" s="1"/>
  <c r="BU16" i="1" s="1"/>
  <c r="DR16" i="1" a="1"/>
  <c r="DR16" i="1" s="1"/>
  <c r="DJ16" i="1" a="1"/>
  <c r="DJ16" i="1" s="1"/>
  <c r="DB16" i="1" a="1"/>
  <c r="DB16" i="1" s="1"/>
  <c r="CT16" i="1" a="1"/>
  <c r="CT16" i="1" s="1"/>
  <c r="CK16" i="1" a="1"/>
  <c r="CK16" i="1" s="1"/>
  <c r="CC16" i="1" a="1"/>
  <c r="CC16" i="1" s="1"/>
  <c r="DQ16" i="1" a="1"/>
  <c r="DQ16" i="1" s="1"/>
  <c r="DI16" i="1" a="1"/>
  <c r="DI16" i="1" s="1"/>
  <c r="DA16" i="1" a="1"/>
  <c r="DA16" i="1" s="1"/>
  <c r="CS16" i="1" a="1"/>
  <c r="CS16" i="1" s="1"/>
  <c r="CJ16" i="1" a="1"/>
  <c r="CJ16" i="1" s="1"/>
  <c r="CB16" i="1" a="1"/>
  <c r="CB16" i="1" s="1"/>
  <c r="DT16" i="1" a="1"/>
  <c r="DT16" i="1" s="1"/>
  <c r="CY16" i="1" a="1"/>
  <c r="CY16" i="1" s="1"/>
  <c r="CE16" i="1" a="1"/>
  <c r="CE16" i="1" s="1"/>
  <c r="DS16" i="1" a="1"/>
  <c r="DS16" i="1" s="1"/>
  <c r="DU16" i="1" a="1"/>
  <c r="DU16" i="1" s="1"/>
  <c r="DH16" i="1" a="1"/>
  <c r="DH16" i="1" s="1"/>
  <c r="CX16" i="1" a="1"/>
  <c r="CX16" i="1" s="1"/>
  <c r="CM16" i="1" a="1"/>
  <c r="CM16" i="1" s="1"/>
  <c r="CA16" i="1" a="1"/>
  <c r="CA16" i="1" s="1"/>
  <c r="DG16" i="1" a="1"/>
  <c r="DG16" i="1" s="1"/>
  <c r="CW16" i="1" a="1"/>
  <c r="CW16" i="1" s="1"/>
  <c r="CL16" i="1" a="1"/>
  <c r="CL16" i="1" s="1"/>
  <c r="DF16" i="1" a="1"/>
  <c r="DF16" i="1" s="1"/>
  <c r="CR16" i="1" a="1"/>
  <c r="CR16" i="1" s="1"/>
  <c r="DV16" i="1" a="1"/>
  <c r="DV16" i="1" s="1"/>
  <c r="DE16" i="1" a="1"/>
  <c r="DE16" i="1" s="1"/>
  <c r="CD16" i="1" a="1"/>
  <c r="CD16" i="1" s="1"/>
  <c r="CQ16" i="1" a="1"/>
  <c r="CQ16" i="1" s="1"/>
  <c r="BZ16" i="1" a="1"/>
  <c r="BZ16" i="1" s="1"/>
  <c r="DP16" i="1" a="1"/>
  <c r="DP16" i="1" s="1"/>
  <c r="DD16" i="1" a="1"/>
  <c r="DD16" i="1" s="1"/>
  <c r="CP16" i="1" a="1"/>
  <c r="CP16" i="1" s="1"/>
  <c r="BY16" i="1" a="1"/>
  <c r="BY16" i="1" s="1"/>
  <c r="DO16" i="1" a="1"/>
  <c r="DO16" i="1" s="1"/>
  <c r="DC16" i="1" a="1"/>
  <c r="DC16" i="1" s="1"/>
  <c r="CO16" i="1" a="1"/>
  <c r="CO16" i="1" s="1"/>
  <c r="CI16" i="1" a="1"/>
  <c r="CI16" i="1" s="1"/>
  <c r="DL16" i="1" a="1"/>
  <c r="DL16" i="1" s="1"/>
  <c r="BW16" i="1" a="1"/>
  <c r="BW16" i="1" s="1"/>
  <c r="CG16" i="1" a="1"/>
  <c r="CG16" i="1" s="1"/>
  <c r="CV16" i="1" a="1"/>
  <c r="CV16" i="1" s="1"/>
  <c r="CH16" i="1" a="1"/>
  <c r="CH16" i="1" s="1"/>
  <c r="DN16" i="1" a="1"/>
  <c r="DN16" i="1" s="1"/>
  <c r="DM16" i="1" a="1"/>
  <c r="DM16" i="1" s="1"/>
  <c r="CZ16" i="1" a="1"/>
  <c r="CZ16" i="1" s="1"/>
  <c r="BX16" i="1" a="1"/>
  <c r="BX16" i="1" s="1"/>
  <c r="CU16" i="1" a="1"/>
  <c r="CU16" i="1" s="1"/>
  <c r="DK16" i="1" a="1"/>
  <c r="DK16" i="1" s="1"/>
  <c r="CF16" i="1" a="1"/>
  <c r="CF16" i="1" s="1"/>
  <c r="BS22" i="1"/>
  <c r="BO20" i="1"/>
  <c r="AY20" i="1"/>
  <c r="AI20" i="1"/>
  <c r="S20" i="1"/>
  <c r="C21" i="1"/>
  <c r="BN20" i="1"/>
  <c r="AX20" i="1"/>
  <c r="AH20" i="1"/>
  <c r="R20" i="1"/>
  <c r="A20" i="1"/>
  <c r="BM20" i="1"/>
  <c r="AW20" i="1"/>
  <c r="AG20" i="1"/>
  <c r="Q20" i="1"/>
  <c r="DW20" i="1"/>
  <c r="BL20" i="1"/>
  <c r="AV20" i="1"/>
  <c r="AF20" i="1"/>
  <c r="P20" i="1"/>
  <c r="BK20" i="1"/>
  <c r="AQ20" i="1"/>
  <c r="W20" i="1"/>
  <c r="BJ20" i="1"/>
  <c r="AP20" i="1"/>
  <c r="V20" i="1"/>
  <c r="BI20" i="1"/>
  <c r="AO20" i="1"/>
  <c r="U20" i="1"/>
  <c r="BH20" i="1"/>
  <c r="AN20" i="1"/>
  <c r="T20" i="1"/>
  <c r="BC20" i="1"/>
  <c r="AA20" i="1"/>
  <c r="BB20" i="1"/>
  <c r="Z20" i="1"/>
  <c r="BA20" i="1"/>
  <c r="Y20" i="1"/>
  <c r="AZ20" i="1"/>
  <c r="X20" i="1"/>
  <c r="BR20" i="1"/>
  <c r="BT20" i="1" s="1"/>
  <c r="AD20" i="1"/>
  <c r="BQ20" i="1"/>
  <c r="AC20" i="1"/>
  <c r="BP20" i="1"/>
  <c r="AB20" i="1"/>
  <c r="BG20" i="1"/>
  <c r="O20" i="1"/>
  <c r="M20" i="1"/>
  <c r="L20" i="1"/>
  <c r="K20" i="1"/>
  <c r="BF20" i="1"/>
  <c r="J20" i="1"/>
  <c r="BE20" i="1"/>
  <c r="BS20" i="1" s="1"/>
  <c r="I20" i="1"/>
  <c r="BD20" i="1"/>
  <c r="H20" i="1"/>
  <c r="AU20" i="1"/>
  <c r="G20" i="1"/>
  <c r="AM20" i="1"/>
  <c r="D20" i="1"/>
  <c r="AT20" i="1"/>
  <c r="AS20" i="1"/>
  <c r="AL20" i="1"/>
  <c r="AK20" i="1"/>
  <c r="AJ20" i="1"/>
  <c r="N20" i="1"/>
  <c r="E20" i="1"/>
  <c r="AR20" i="1"/>
  <c r="AE20" i="1"/>
  <c r="F20" i="1"/>
  <c r="BS19" i="1"/>
  <c r="BT19" i="1" s="1"/>
  <c r="BU19" i="1" s="1"/>
  <c r="BD17" i="1"/>
  <c r="AN17" i="1"/>
  <c r="W17" i="1"/>
  <c r="G17" i="1"/>
  <c r="BR17" i="1"/>
  <c r="BT17" i="1" s="1"/>
  <c r="BB17" i="1"/>
  <c r="AL17" i="1"/>
  <c r="U17" i="1"/>
  <c r="E17" i="1"/>
  <c r="BQ17" i="1"/>
  <c r="BA17" i="1"/>
  <c r="AK17" i="1"/>
  <c r="T17" i="1"/>
  <c r="D17" i="1"/>
  <c r="BC17" i="1"/>
  <c r="AH17" i="1"/>
  <c r="N17" i="1"/>
  <c r="AZ17" i="1"/>
  <c r="AG17" i="1"/>
  <c r="M17" i="1"/>
  <c r="AY17" i="1"/>
  <c r="AF17" i="1"/>
  <c r="L17" i="1"/>
  <c r="BP17" i="1"/>
  <c r="AT17" i="1"/>
  <c r="V17" i="1"/>
  <c r="DW17" i="1"/>
  <c r="BO17" i="1"/>
  <c r="AS17" i="1"/>
  <c r="S17" i="1"/>
  <c r="BN17" i="1"/>
  <c r="AR17" i="1"/>
  <c r="R17" i="1"/>
  <c r="BM17" i="1"/>
  <c r="AQ17" i="1"/>
  <c r="Q17" i="1"/>
  <c r="BK17" i="1"/>
  <c r="AE17" i="1"/>
  <c r="BJ17" i="1"/>
  <c r="AD17" i="1"/>
  <c r="BI17" i="1"/>
  <c r="AB17" i="1"/>
  <c r="BH17" i="1"/>
  <c r="AA17" i="1"/>
  <c r="BG17" i="1"/>
  <c r="Z17" i="1"/>
  <c r="BF17" i="1"/>
  <c r="Y17" i="1"/>
  <c r="BE17" i="1"/>
  <c r="BS17" i="1" s="1"/>
  <c r="X17" i="1"/>
  <c r="H17" i="1"/>
  <c r="AM17" i="1"/>
  <c r="O17" i="1"/>
  <c r="BL17" i="1"/>
  <c r="F17" i="1"/>
  <c r="J17" i="1"/>
  <c r="AX17" i="1"/>
  <c r="AJ17" i="1"/>
  <c r="K17" i="1"/>
  <c r="AW17" i="1"/>
  <c r="A17" i="1"/>
  <c r="AU17" i="1"/>
  <c r="AO17" i="1"/>
  <c r="P17" i="1"/>
  <c r="I17" i="1"/>
  <c r="AV17" i="1"/>
  <c r="AP17" i="1"/>
  <c r="AI17" i="1"/>
  <c r="DQ22" i="1" a="1"/>
  <c r="DQ22" i="1" s="1"/>
  <c r="DI22" i="1" a="1"/>
  <c r="DI22" i="1" s="1"/>
  <c r="DA22" i="1" a="1"/>
  <c r="DA22" i="1" s="1"/>
  <c r="CS22" i="1" a="1"/>
  <c r="CS22" i="1" s="1"/>
  <c r="CJ22" i="1" a="1"/>
  <c r="CJ22" i="1" s="1"/>
  <c r="CB22" i="1" a="1"/>
  <c r="CB22" i="1" s="1"/>
  <c r="DP22" i="1" a="1"/>
  <c r="DP22" i="1" s="1"/>
  <c r="DH22" i="1" a="1"/>
  <c r="DH22" i="1" s="1"/>
  <c r="CZ22" i="1" a="1"/>
  <c r="CZ22" i="1" s="1"/>
  <c r="CR22" i="1" a="1"/>
  <c r="CR22" i="1" s="1"/>
  <c r="CI22" i="1" a="1"/>
  <c r="CI22" i="1" s="1"/>
  <c r="CA22" i="1" a="1"/>
  <c r="CA22" i="1" s="1"/>
  <c r="DO22" i="1" a="1"/>
  <c r="DO22" i="1" s="1"/>
  <c r="DE22" i="1" a="1"/>
  <c r="DE22" i="1" s="1"/>
  <c r="CU22" i="1" a="1"/>
  <c r="CU22" i="1" s="1"/>
  <c r="CH22" i="1" a="1"/>
  <c r="CH22" i="1" s="1"/>
  <c r="BX22" i="1" a="1"/>
  <c r="BX22" i="1" s="1"/>
  <c r="DN22" i="1" a="1"/>
  <c r="DN22" i="1" s="1"/>
  <c r="DD22" i="1" a="1"/>
  <c r="DD22" i="1" s="1"/>
  <c r="CT22" i="1" a="1"/>
  <c r="CT22" i="1" s="1"/>
  <c r="CG22" i="1" a="1"/>
  <c r="CG22" i="1" s="1"/>
  <c r="BW22" i="1" a="1"/>
  <c r="BW22" i="1" s="1"/>
  <c r="DM22" i="1" a="1"/>
  <c r="DM22" i="1" s="1"/>
  <c r="CY22" i="1" a="1"/>
  <c r="CY22" i="1" s="1"/>
  <c r="CL22" i="1" a="1"/>
  <c r="CL22" i="1" s="1"/>
  <c r="DL22" i="1" a="1"/>
  <c r="DL22" i="1" s="1"/>
  <c r="CX22" i="1" a="1"/>
  <c r="CX22" i="1" s="1"/>
  <c r="CK22" i="1" a="1"/>
  <c r="CK22" i="1" s="1"/>
  <c r="CM22" i="1" a="1"/>
  <c r="CM22" i="1" s="1"/>
  <c r="DF22" i="1" a="1"/>
  <c r="DF22" i="1" s="1"/>
  <c r="CF22" i="1" a="1"/>
  <c r="CF22" i="1" s="1"/>
  <c r="DV22" i="1" a="1"/>
  <c r="DV22" i="1" s="1"/>
  <c r="DC22" i="1" a="1"/>
  <c r="DC22" i="1" s="1"/>
  <c r="CE22" i="1" a="1"/>
  <c r="CE22" i="1" s="1"/>
  <c r="DB22" i="1" a="1"/>
  <c r="DB22" i="1" s="1"/>
  <c r="BZ22" i="1" a="1"/>
  <c r="BZ22" i="1" s="1"/>
  <c r="CW22" i="1" a="1"/>
  <c r="CW22" i="1" s="1"/>
  <c r="BY22" i="1" a="1"/>
  <c r="BY22" i="1" s="1"/>
  <c r="DU22" i="1" a="1"/>
  <c r="DU22" i="1" s="1"/>
  <c r="CV22" i="1" a="1"/>
  <c r="CV22" i="1" s="1"/>
  <c r="DT22" i="1" a="1"/>
  <c r="DT22" i="1" s="1"/>
  <c r="CQ22" i="1" a="1"/>
  <c r="CQ22" i="1" s="1"/>
  <c r="DS22" i="1" a="1"/>
  <c r="DS22" i="1" s="1"/>
  <c r="DJ22" i="1" a="1"/>
  <c r="DJ22" i="1" s="1"/>
  <c r="CC22" i="1" a="1"/>
  <c r="CC22" i="1" s="1"/>
  <c r="DR22" i="1" a="1"/>
  <c r="DR22" i="1" s="1"/>
  <c r="DG22" i="1" a="1"/>
  <c r="DG22" i="1" s="1"/>
  <c r="CP22" i="1" a="1"/>
  <c r="CP22" i="1" s="1"/>
  <c r="DK22" i="1" a="1"/>
  <c r="DK22" i="1" s="1"/>
  <c r="CO22" i="1" a="1"/>
  <c r="CO22" i="1" s="1"/>
  <c r="CD22" i="1" a="1"/>
  <c r="CD22" i="1" s="1"/>
  <c r="DP19" i="1" a="1"/>
  <c r="DP19" i="1" s="1"/>
  <c r="DH19" i="1" a="1"/>
  <c r="DH19" i="1" s="1"/>
  <c r="CZ19" i="1" a="1"/>
  <c r="CZ19" i="1" s="1"/>
  <c r="CR19" i="1" a="1"/>
  <c r="CR19" i="1" s="1"/>
  <c r="CI19" i="1" a="1"/>
  <c r="CI19" i="1" s="1"/>
  <c r="CA19" i="1" a="1"/>
  <c r="CA19" i="1" s="1"/>
  <c r="DO19" i="1" a="1"/>
  <c r="DO19" i="1" s="1"/>
  <c r="DG19" i="1" a="1"/>
  <c r="DG19" i="1" s="1"/>
  <c r="CY19" i="1" a="1"/>
  <c r="CY19" i="1" s="1"/>
  <c r="CQ19" i="1" a="1"/>
  <c r="CQ19" i="1" s="1"/>
  <c r="CH19" i="1" a="1"/>
  <c r="CH19" i="1" s="1"/>
  <c r="BZ19" i="1" a="1"/>
  <c r="BZ19" i="1" s="1"/>
  <c r="DV19" i="1" a="1"/>
  <c r="DV19" i="1" s="1"/>
  <c r="DL19" i="1" a="1"/>
  <c r="DL19" i="1" s="1"/>
  <c r="DB19" i="1" a="1"/>
  <c r="DB19" i="1" s="1"/>
  <c r="CP19" i="1" a="1"/>
  <c r="CP19" i="1" s="1"/>
  <c r="CE19" i="1" a="1"/>
  <c r="CE19" i="1" s="1"/>
  <c r="DU19" i="1" a="1"/>
  <c r="DU19" i="1" s="1"/>
  <c r="DK19" i="1" a="1"/>
  <c r="DK19" i="1" s="1"/>
  <c r="DA19" i="1" a="1"/>
  <c r="DA19" i="1" s="1"/>
  <c r="CO19" i="1" a="1"/>
  <c r="CO19" i="1" s="1"/>
  <c r="CD19" i="1" a="1"/>
  <c r="CD19" i="1" s="1"/>
  <c r="DT19" i="1" a="1"/>
  <c r="DT19" i="1" s="1"/>
  <c r="CU19" i="1" a="1"/>
  <c r="CU19" i="1" s="1"/>
  <c r="DF19" i="1" a="1"/>
  <c r="DF19" i="1" s="1"/>
  <c r="CF19" i="1" a="1"/>
  <c r="CF19" i="1" s="1"/>
  <c r="DS19" i="1" a="1"/>
  <c r="DS19" i="1" s="1"/>
  <c r="CT19" i="1" a="1"/>
  <c r="CT19" i="1" s="1"/>
  <c r="DE19" i="1" a="1"/>
  <c r="DE19" i="1" s="1"/>
  <c r="CJ19" i="1" a="1"/>
  <c r="CJ19" i="1" s="1"/>
  <c r="DQ19" i="1" a="1"/>
  <c r="DQ19" i="1" s="1"/>
  <c r="CX19" i="1" a="1"/>
  <c r="CX19" i="1" s="1"/>
  <c r="CG19" i="1" a="1"/>
  <c r="CG19" i="1" s="1"/>
  <c r="DN19" i="1" a="1"/>
  <c r="DN19" i="1" s="1"/>
  <c r="CW19" i="1" a="1"/>
  <c r="CW19" i="1" s="1"/>
  <c r="CC19" i="1" a="1"/>
  <c r="CC19" i="1" s="1"/>
  <c r="DI19" i="1" a="1"/>
  <c r="DI19" i="1" s="1"/>
  <c r="CK19" i="1" a="1"/>
  <c r="CK19" i="1" s="1"/>
  <c r="DD19" i="1" a="1"/>
  <c r="DD19" i="1" s="1"/>
  <c r="CB19" i="1" a="1"/>
  <c r="CB19" i="1" s="1"/>
  <c r="DC19" i="1" a="1"/>
  <c r="DC19" i="1" s="1"/>
  <c r="BY19" i="1" a="1"/>
  <c r="BY19" i="1" s="1"/>
  <c r="CV19" i="1" a="1"/>
  <c r="CV19" i="1" s="1"/>
  <c r="BX19" i="1" a="1"/>
  <c r="BX19" i="1" s="1"/>
  <c r="CS19" i="1" a="1"/>
  <c r="CS19" i="1" s="1"/>
  <c r="CM19" i="1" a="1"/>
  <c r="CM19" i="1" s="1"/>
  <c r="CL19" i="1" a="1"/>
  <c r="CL19" i="1" s="1"/>
  <c r="DR19" i="1" a="1"/>
  <c r="DR19" i="1" s="1"/>
  <c r="DM19" i="1" a="1"/>
  <c r="DM19" i="1" s="1"/>
  <c r="BW19" i="1" a="1"/>
  <c r="BW19" i="1" s="1"/>
  <c r="DJ19" i="1" a="1"/>
  <c r="DJ19" i="1" s="1"/>
  <c r="DU9" i="1" a="1"/>
  <c r="DU9" i="1" s="1"/>
  <c r="DM9" i="1" a="1"/>
  <c r="DM9" i="1" s="1"/>
  <c r="DE9" i="1" a="1"/>
  <c r="DE9" i="1" s="1"/>
  <c r="CW9" i="1" a="1"/>
  <c r="CW9" i="1" s="1"/>
  <c r="CO9" i="1" a="1"/>
  <c r="CO9" i="1" s="1"/>
  <c r="CF9" i="1" a="1"/>
  <c r="CF9" i="1" s="1"/>
  <c r="BX9" i="1" a="1"/>
  <c r="BX9" i="1" s="1"/>
  <c r="DD9" i="1" a="1"/>
  <c r="DD9" i="1" s="1"/>
  <c r="CL9" i="1" a="1"/>
  <c r="CL9" i="1" s="1"/>
  <c r="CV9" i="1" a="1"/>
  <c r="CV9" i="1" s="1"/>
  <c r="DN9" i="1" a="1"/>
  <c r="DN9" i="1" s="1"/>
  <c r="CU9" i="1" a="1"/>
  <c r="CU9" i="1" s="1"/>
  <c r="CK9" i="1" a="1"/>
  <c r="CK9" i="1" s="1"/>
  <c r="CB9" i="1" a="1"/>
  <c r="CB9" i="1" s="1"/>
  <c r="DV9" i="1" a="1"/>
  <c r="DV9" i="1" s="1"/>
  <c r="DL9" i="1" a="1"/>
  <c r="DL9" i="1" s="1"/>
  <c r="DC9" i="1" a="1"/>
  <c r="DC9" i="1" s="1"/>
  <c r="CT9" i="1" a="1"/>
  <c r="CT9" i="1" s="1"/>
  <c r="CJ9" i="1" a="1"/>
  <c r="CJ9" i="1" s="1"/>
  <c r="CA9" i="1" a="1"/>
  <c r="CA9" i="1" s="1"/>
  <c r="DR9" i="1" a="1"/>
  <c r="DR9" i="1" s="1"/>
  <c r="DG9" i="1" a="1"/>
  <c r="DG9" i="1" s="1"/>
  <c r="CS9" i="1" a="1"/>
  <c r="CS9" i="1" s="1"/>
  <c r="CG9" i="1" a="1"/>
  <c r="CG9" i="1" s="1"/>
  <c r="DQ9" i="1" a="1"/>
  <c r="DQ9" i="1" s="1"/>
  <c r="DF9" i="1" a="1"/>
  <c r="DF9" i="1" s="1"/>
  <c r="CR9" i="1" a="1"/>
  <c r="CR9" i="1" s="1"/>
  <c r="CE9" i="1" a="1"/>
  <c r="CE9" i="1" s="1"/>
  <c r="DP9" i="1" a="1"/>
  <c r="DP9" i="1" s="1"/>
  <c r="DB9" i="1" a="1"/>
  <c r="DB9" i="1" s="1"/>
  <c r="CQ9" i="1" a="1"/>
  <c r="CQ9" i="1" s="1"/>
  <c r="DO9" i="1" a="1"/>
  <c r="DO9" i="1" s="1"/>
  <c r="CD9" i="1" a="1"/>
  <c r="CD9" i="1" s="1"/>
  <c r="DH9" i="1" a="1"/>
  <c r="DH9" i="1" s="1"/>
  <c r="BW9" i="1" a="1"/>
  <c r="BW9" i="1" s="1"/>
  <c r="DT9" i="1" a="1"/>
  <c r="DT9" i="1" s="1"/>
  <c r="DS9" i="1" a="1"/>
  <c r="DS9" i="1" s="1"/>
  <c r="CX9" i="1" a="1"/>
  <c r="CX9" i="1" s="1"/>
  <c r="CC9" i="1" a="1"/>
  <c r="CC9" i="1" s="1"/>
  <c r="CM9" i="1" a="1"/>
  <c r="CM9" i="1" s="1"/>
  <c r="DA9" i="1" a="1"/>
  <c r="DA9" i="1" s="1"/>
  <c r="CI9" i="1" a="1"/>
  <c r="CI9" i="1" s="1"/>
  <c r="DK9" i="1" a="1"/>
  <c r="DK9" i="1" s="1"/>
  <c r="CZ9" i="1" a="1"/>
  <c r="CZ9" i="1" s="1"/>
  <c r="BZ9" i="1" a="1"/>
  <c r="BZ9" i="1" s="1"/>
  <c r="BY9" i="1" a="1"/>
  <c r="BY9" i="1" s="1"/>
  <c r="CY9" i="1" a="1"/>
  <c r="CY9" i="1" s="1"/>
  <c r="DJ9" i="1" a="1"/>
  <c r="DJ9" i="1" s="1"/>
  <c r="DI9" i="1" a="1"/>
  <c r="DI9" i="1" s="1"/>
  <c r="CP9" i="1" a="1"/>
  <c r="CP9" i="1" s="1"/>
  <c r="CH9" i="1" a="1"/>
  <c r="CH9" i="1" s="1"/>
  <c r="BT13" i="1"/>
  <c r="BU13" i="1" s="1"/>
  <c r="BS9" i="1"/>
  <c r="BT9" i="1" s="1"/>
  <c r="BU9" i="1" s="1"/>
  <c r="BE26" i="1"/>
  <c r="BS26" i="1" s="1"/>
  <c r="AO26" i="1"/>
  <c r="Y26" i="1"/>
  <c r="I26" i="1"/>
  <c r="BD26" i="1"/>
  <c r="AN26" i="1"/>
  <c r="X26" i="1"/>
  <c r="H26" i="1"/>
  <c r="BC26" i="1"/>
  <c r="AM26" i="1"/>
  <c r="W26" i="1"/>
  <c r="G26" i="1"/>
  <c r="BR26" i="1"/>
  <c r="BB26" i="1"/>
  <c r="AL26" i="1"/>
  <c r="V26" i="1"/>
  <c r="F26" i="1"/>
  <c r="BI26" i="1"/>
  <c r="AK26" i="1"/>
  <c r="Q26" i="1"/>
  <c r="BH26" i="1"/>
  <c r="AJ26" i="1"/>
  <c r="P26" i="1"/>
  <c r="BG26" i="1"/>
  <c r="AI26" i="1"/>
  <c r="O26" i="1"/>
  <c r="BF26" i="1"/>
  <c r="AH26" i="1"/>
  <c r="N26" i="1"/>
  <c r="BA26" i="1"/>
  <c r="AC26" i="1"/>
  <c r="AZ26" i="1"/>
  <c r="AB26" i="1"/>
  <c r="AY26" i="1"/>
  <c r="AA26" i="1"/>
  <c r="AX26" i="1"/>
  <c r="Z26" i="1"/>
  <c r="AW26" i="1"/>
  <c r="U26" i="1"/>
  <c r="BM26" i="1"/>
  <c r="S26" i="1"/>
  <c r="BL26" i="1"/>
  <c r="R26" i="1"/>
  <c r="BK26" i="1"/>
  <c r="M26" i="1"/>
  <c r="C27" i="1"/>
  <c r="BJ26" i="1"/>
  <c r="L26" i="1"/>
  <c r="AQ26" i="1"/>
  <c r="AP26" i="1"/>
  <c r="AG26" i="1"/>
  <c r="AF26" i="1"/>
  <c r="AE26" i="1"/>
  <c r="AD26" i="1"/>
  <c r="T26" i="1"/>
  <c r="AS26" i="1"/>
  <c r="AR26" i="1"/>
  <c r="D26" i="1"/>
  <c r="DW26" i="1"/>
  <c r="BQ26" i="1"/>
  <c r="BN26" i="1"/>
  <c r="K26" i="1"/>
  <c r="BP26" i="1"/>
  <c r="AV26" i="1"/>
  <c r="J26" i="1"/>
  <c r="C30" i="1"/>
  <c r="A26" i="1"/>
  <c r="AT26" i="1"/>
  <c r="E26" i="1"/>
  <c r="BO26" i="1"/>
  <c r="AU26" i="1"/>
  <c r="BI30" i="1" l="1"/>
  <c r="AS30" i="1"/>
  <c r="AC30" i="1"/>
  <c r="M30" i="1"/>
  <c r="BH30" i="1"/>
  <c r="AR30" i="1"/>
  <c r="AB30" i="1"/>
  <c r="L30" i="1"/>
  <c r="BG30" i="1"/>
  <c r="AQ30" i="1"/>
  <c r="AA30" i="1"/>
  <c r="K30" i="1"/>
  <c r="BF30" i="1"/>
  <c r="AP30" i="1"/>
  <c r="Z30" i="1"/>
  <c r="J30" i="1"/>
  <c r="BM30" i="1"/>
  <c r="AO30" i="1"/>
  <c r="U30" i="1"/>
  <c r="BL30" i="1"/>
  <c r="AN30" i="1"/>
  <c r="T30" i="1"/>
  <c r="C34" i="1"/>
  <c r="BK30" i="1"/>
  <c r="AM30" i="1"/>
  <c r="S30" i="1"/>
  <c r="BJ30" i="1"/>
  <c r="AL30" i="1"/>
  <c r="R30" i="1"/>
  <c r="BQ30" i="1"/>
  <c r="AK30" i="1"/>
  <c r="I30" i="1"/>
  <c r="BP30" i="1"/>
  <c r="AJ30" i="1"/>
  <c r="H30" i="1"/>
  <c r="BO30" i="1"/>
  <c r="AI30" i="1"/>
  <c r="G30" i="1"/>
  <c r="C31" i="1"/>
  <c r="BN30" i="1"/>
  <c r="AH30" i="1"/>
  <c r="F30" i="1"/>
  <c r="BE30" i="1"/>
  <c r="AG30" i="1"/>
  <c r="E30" i="1"/>
  <c r="BR30" i="1"/>
  <c r="X30" i="1"/>
  <c r="BD30" i="1"/>
  <c r="W30" i="1"/>
  <c r="BC30" i="1"/>
  <c r="V30" i="1"/>
  <c r="BB30" i="1"/>
  <c r="Q30" i="1"/>
  <c r="AZ30" i="1"/>
  <c r="A30" i="1"/>
  <c r="AY30" i="1"/>
  <c r="AX30" i="1"/>
  <c r="AW30" i="1"/>
  <c r="AV30" i="1"/>
  <c r="AU30" i="1"/>
  <c r="AT30" i="1"/>
  <c r="Y30" i="1"/>
  <c r="BA30" i="1"/>
  <c r="AE30" i="1"/>
  <c r="P30" i="1"/>
  <c r="DW30" i="1"/>
  <c r="O30" i="1"/>
  <c r="N30" i="1"/>
  <c r="AF30" i="1"/>
  <c r="AD30" i="1"/>
  <c r="D30" i="1"/>
  <c r="DS17" i="1" a="1"/>
  <c r="DS17" i="1" s="1"/>
  <c r="DK17" i="1" a="1"/>
  <c r="DK17" i="1" s="1"/>
  <c r="DC17" i="1" a="1"/>
  <c r="DC17" i="1" s="1"/>
  <c r="CU17" i="1" a="1"/>
  <c r="CU17" i="1" s="1"/>
  <c r="CL17" i="1" a="1"/>
  <c r="CL17" i="1" s="1"/>
  <c r="CD17" i="1" a="1"/>
  <c r="CD17" i="1" s="1"/>
  <c r="DR17" i="1" a="1"/>
  <c r="DR17" i="1" s="1"/>
  <c r="DJ17" i="1" a="1"/>
  <c r="DJ17" i="1" s="1"/>
  <c r="DB17" i="1" a="1"/>
  <c r="DB17" i="1" s="1"/>
  <c r="CT17" i="1" a="1"/>
  <c r="CT17" i="1" s="1"/>
  <c r="CK17" i="1" a="1"/>
  <c r="CK17" i="1" s="1"/>
  <c r="CC17" i="1" a="1"/>
  <c r="CC17" i="1" s="1"/>
  <c r="DV17" i="1" a="1"/>
  <c r="DV17" i="1" s="1"/>
  <c r="CR17" i="1" a="1"/>
  <c r="CR17" i="1" s="1"/>
  <c r="BX17" i="1" a="1"/>
  <c r="BX17" i="1" s="1"/>
  <c r="DL17" i="1" a="1"/>
  <c r="DL17" i="1" s="1"/>
  <c r="DA17" i="1" a="1"/>
  <c r="DA17" i="1" s="1"/>
  <c r="CG17" i="1" a="1"/>
  <c r="CG17" i="1" s="1"/>
  <c r="DU17" i="1" a="1"/>
  <c r="DU17" i="1" s="1"/>
  <c r="CQ17" i="1" a="1"/>
  <c r="CQ17" i="1" s="1"/>
  <c r="BW17" i="1" a="1"/>
  <c r="BW17" i="1" s="1"/>
  <c r="CZ17" i="1" a="1"/>
  <c r="CZ17" i="1" s="1"/>
  <c r="CF17" i="1" a="1"/>
  <c r="CF17" i="1" s="1"/>
  <c r="CW17" i="1" a="1"/>
  <c r="CW17" i="1" s="1"/>
  <c r="CI17" i="1" a="1"/>
  <c r="CI17" i="1" s="1"/>
  <c r="DH17" i="1" a="1"/>
  <c r="DH17" i="1" s="1"/>
  <c r="CV17" i="1" a="1"/>
  <c r="CV17" i="1" s="1"/>
  <c r="CH17" i="1" a="1"/>
  <c r="CH17" i="1" s="1"/>
  <c r="DT17" i="1" a="1"/>
  <c r="DT17" i="1" s="1"/>
  <c r="DG17" i="1" a="1"/>
  <c r="DG17" i="1" s="1"/>
  <c r="DD17" i="1" a="1"/>
  <c r="DD17" i="1" s="1"/>
  <c r="DQ17" i="1" a="1"/>
  <c r="DQ17" i="1" s="1"/>
  <c r="CJ17" i="1" a="1"/>
  <c r="CJ17" i="1" s="1"/>
  <c r="DP17" i="1" a="1"/>
  <c r="DP17" i="1" s="1"/>
  <c r="CY17" i="1" a="1"/>
  <c r="CY17" i="1" s="1"/>
  <c r="CE17" i="1" a="1"/>
  <c r="CE17" i="1" s="1"/>
  <c r="DO17" i="1" a="1"/>
  <c r="DO17" i="1" s="1"/>
  <c r="CX17" i="1" a="1"/>
  <c r="CX17" i="1" s="1"/>
  <c r="CB17" i="1" a="1"/>
  <c r="CB17" i="1" s="1"/>
  <c r="CM17" i="1" a="1"/>
  <c r="CM17" i="1" s="1"/>
  <c r="DM17" i="1" a="1"/>
  <c r="DM17" i="1" s="1"/>
  <c r="DF17" i="1" a="1"/>
  <c r="DF17" i="1" s="1"/>
  <c r="CS17" i="1" a="1"/>
  <c r="CS17" i="1" s="1"/>
  <c r="CO17" i="1" a="1"/>
  <c r="CO17" i="1" s="1"/>
  <c r="BZ17" i="1" a="1"/>
  <c r="BZ17" i="1" s="1"/>
  <c r="CA17" i="1" a="1"/>
  <c r="CA17" i="1" s="1"/>
  <c r="CP17" i="1" a="1"/>
  <c r="CP17" i="1" s="1"/>
  <c r="DN17" i="1" a="1"/>
  <c r="DN17" i="1" s="1"/>
  <c r="DI17" i="1" a="1"/>
  <c r="DI17" i="1" s="1"/>
  <c r="DE17" i="1" a="1"/>
  <c r="DE17" i="1" s="1"/>
  <c r="BY17" i="1" a="1"/>
  <c r="BY17" i="1" s="1"/>
  <c r="DP20" i="1" a="1"/>
  <c r="DP20" i="1" s="1"/>
  <c r="DH20" i="1" a="1"/>
  <c r="DH20" i="1" s="1"/>
  <c r="CZ20" i="1" a="1"/>
  <c r="CZ20" i="1" s="1"/>
  <c r="CR20" i="1" a="1"/>
  <c r="CR20" i="1" s="1"/>
  <c r="CI20" i="1" a="1"/>
  <c r="CI20" i="1" s="1"/>
  <c r="CA20" i="1" a="1"/>
  <c r="CA20" i="1" s="1"/>
  <c r="DO20" i="1" a="1"/>
  <c r="DO20" i="1" s="1"/>
  <c r="DG20" i="1" a="1"/>
  <c r="DG20" i="1" s="1"/>
  <c r="CY20" i="1" a="1"/>
  <c r="CY20" i="1" s="1"/>
  <c r="CQ20" i="1" a="1"/>
  <c r="CQ20" i="1" s="1"/>
  <c r="CH20" i="1" a="1"/>
  <c r="CH20" i="1" s="1"/>
  <c r="BZ20" i="1" a="1"/>
  <c r="BZ20" i="1" s="1"/>
  <c r="DT20" i="1" a="1"/>
  <c r="DT20" i="1" s="1"/>
  <c r="DJ20" i="1" a="1"/>
  <c r="DJ20" i="1" s="1"/>
  <c r="CX20" i="1" a="1"/>
  <c r="CX20" i="1" s="1"/>
  <c r="CM20" i="1" a="1"/>
  <c r="CM20" i="1" s="1"/>
  <c r="CC20" i="1" a="1"/>
  <c r="CC20" i="1" s="1"/>
  <c r="DS20" i="1" a="1"/>
  <c r="DS20" i="1" s="1"/>
  <c r="DI20" i="1" a="1"/>
  <c r="DI20" i="1" s="1"/>
  <c r="CW20" i="1" a="1"/>
  <c r="CW20" i="1" s="1"/>
  <c r="CL20" i="1" a="1"/>
  <c r="CL20" i="1" s="1"/>
  <c r="CB20" i="1" a="1"/>
  <c r="CB20" i="1" s="1"/>
  <c r="DR20" i="1" a="1"/>
  <c r="DR20" i="1" s="1"/>
  <c r="DD20" i="1" a="1"/>
  <c r="DD20" i="1" s="1"/>
  <c r="CP20" i="1" a="1"/>
  <c r="CP20" i="1" s="1"/>
  <c r="BY20" i="1" a="1"/>
  <c r="BY20" i="1" s="1"/>
  <c r="DQ20" i="1" a="1"/>
  <c r="DQ20" i="1" s="1"/>
  <c r="DC20" i="1" a="1"/>
  <c r="DC20" i="1" s="1"/>
  <c r="CO20" i="1" a="1"/>
  <c r="CO20" i="1" s="1"/>
  <c r="BX20" i="1" a="1"/>
  <c r="BX20" i="1" s="1"/>
  <c r="DF20" i="1" a="1"/>
  <c r="DF20" i="1" s="1"/>
  <c r="CK20" i="1" a="1"/>
  <c r="CK20" i="1" s="1"/>
  <c r="DE20" i="1" a="1"/>
  <c r="DE20" i="1" s="1"/>
  <c r="CJ20" i="1" a="1"/>
  <c r="CJ20" i="1" s="1"/>
  <c r="DU20" i="1" a="1"/>
  <c r="DU20" i="1" s="1"/>
  <c r="CU20" i="1" a="1"/>
  <c r="CU20" i="1" s="1"/>
  <c r="DN20" i="1" a="1"/>
  <c r="DN20" i="1" s="1"/>
  <c r="CT20" i="1" a="1"/>
  <c r="CT20" i="1" s="1"/>
  <c r="DM20" i="1" a="1"/>
  <c r="DM20" i="1" s="1"/>
  <c r="CS20" i="1" a="1"/>
  <c r="CS20" i="1" s="1"/>
  <c r="CD20" i="1" a="1"/>
  <c r="CD20" i="1" s="1"/>
  <c r="BW20" i="1" a="1"/>
  <c r="BW20" i="1" s="1"/>
  <c r="DA20" i="1" a="1"/>
  <c r="DA20" i="1" s="1"/>
  <c r="DV20" i="1" a="1"/>
  <c r="DV20" i="1" s="1"/>
  <c r="CV20" i="1" a="1"/>
  <c r="CV20" i="1" s="1"/>
  <c r="CF20" i="1" a="1"/>
  <c r="CF20" i="1" s="1"/>
  <c r="CE20" i="1" a="1"/>
  <c r="CE20" i="1" s="1"/>
  <c r="DK20" i="1" a="1"/>
  <c r="DK20" i="1" s="1"/>
  <c r="DB20" i="1" a="1"/>
  <c r="DB20" i="1" s="1"/>
  <c r="CG20" i="1" a="1"/>
  <c r="CG20" i="1" s="1"/>
  <c r="DL20" i="1" a="1"/>
  <c r="DL20" i="1" s="1"/>
  <c r="BU20" i="1"/>
  <c r="BC24" i="1"/>
  <c r="AM24" i="1"/>
  <c r="W24" i="1"/>
  <c r="G24" i="1"/>
  <c r="BR24" i="1"/>
  <c r="BB24" i="1"/>
  <c r="AL24" i="1"/>
  <c r="V24" i="1"/>
  <c r="F24" i="1"/>
  <c r="BQ24" i="1"/>
  <c r="BA24" i="1"/>
  <c r="AK24" i="1"/>
  <c r="U24" i="1"/>
  <c r="E24" i="1"/>
  <c r="BP24" i="1"/>
  <c r="AZ24" i="1"/>
  <c r="AJ24" i="1"/>
  <c r="T24" i="1"/>
  <c r="D24" i="1"/>
  <c r="BO24" i="1"/>
  <c r="AU24" i="1"/>
  <c r="AA24" i="1"/>
  <c r="BN24" i="1"/>
  <c r="AT24" i="1"/>
  <c r="Z24" i="1"/>
  <c r="A24" i="1"/>
  <c r="BM24" i="1"/>
  <c r="AS24" i="1"/>
  <c r="Y24" i="1"/>
  <c r="BL24" i="1"/>
  <c r="AR24" i="1"/>
  <c r="X24" i="1"/>
  <c r="BK24" i="1"/>
  <c r="AI24" i="1"/>
  <c r="K24" i="1"/>
  <c r="C25" i="1"/>
  <c r="BJ24" i="1"/>
  <c r="AH24" i="1"/>
  <c r="J24" i="1"/>
  <c r="BI24" i="1"/>
  <c r="AG24" i="1"/>
  <c r="I24" i="1"/>
  <c r="DW24" i="1"/>
  <c r="BH24" i="1"/>
  <c r="AF24" i="1"/>
  <c r="H24" i="1"/>
  <c r="BG24" i="1"/>
  <c r="AE24" i="1"/>
  <c r="AP24" i="1"/>
  <c r="AO24" i="1"/>
  <c r="AN24" i="1"/>
  <c r="AD24" i="1"/>
  <c r="BE24" i="1"/>
  <c r="L24" i="1"/>
  <c r="BD24" i="1"/>
  <c r="AY24" i="1"/>
  <c r="AX24" i="1"/>
  <c r="AW24" i="1"/>
  <c r="AV24" i="1"/>
  <c r="AQ24" i="1"/>
  <c r="M24" i="1"/>
  <c r="AC24" i="1"/>
  <c r="P24" i="1"/>
  <c r="S24" i="1"/>
  <c r="O24" i="1"/>
  <c r="BF24" i="1"/>
  <c r="AB24" i="1"/>
  <c r="Q24" i="1"/>
  <c r="N24" i="1"/>
  <c r="R24" i="1"/>
  <c r="BF27" i="1"/>
  <c r="AP27" i="1"/>
  <c r="Z27" i="1"/>
  <c r="J27" i="1"/>
  <c r="BE27" i="1"/>
  <c r="AO27" i="1"/>
  <c r="Y27" i="1"/>
  <c r="I27" i="1"/>
  <c r="BD27" i="1"/>
  <c r="AN27" i="1"/>
  <c r="X27" i="1"/>
  <c r="H27" i="1"/>
  <c r="BC27" i="1"/>
  <c r="AM27" i="1"/>
  <c r="W27" i="1"/>
  <c r="G27" i="1"/>
  <c r="BB27" i="1"/>
  <c r="AH27" i="1"/>
  <c r="N27" i="1"/>
  <c r="BA27" i="1"/>
  <c r="AG27" i="1"/>
  <c r="M27" i="1"/>
  <c r="AZ27" i="1"/>
  <c r="AF27" i="1"/>
  <c r="L27" i="1"/>
  <c r="AY27" i="1"/>
  <c r="AE27" i="1"/>
  <c r="K27" i="1"/>
  <c r="AX27" i="1"/>
  <c r="V27" i="1"/>
  <c r="AW27" i="1"/>
  <c r="U27" i="1"/>
  <c r="AV27" i="1"/>
  <c r="T27" i="1"/>
  <c r="AU27" i="1"/>
  <c r="S27" i="1"/>
  <c r="BR27" i="1"/>
  <c r="AT27" i="1"/>
  <c r="R27" i="1"/>
  <c r="DW27" i="1"/>
  <c r="BH27" i="1"/>
  <c r="F27" i="1"/>
  <c r="BG27" i="1"/>
  <c r="E27" i="1"/>
  <c r="AS27" i="1"/>
  <c r="D27" i="1"/>
  <c r="AR27" i="1"/>
  <c r="AD27" i="1"/>
  <c r="AC27" i="1"/>
  <c r="BQ27" i="1"/>
  <c r="AB27" i="1"/>
  <c r="BP27" i="1"/>
  <c r="AA27" i="1"/>
  <c r="BO27" i="1"/>
  <c r="Q27" i="1"/>
  <c r="C28" i="1"/>
  <c r="BN27" i="1"/>
  <c r="P27" i="1"/>
  <c r="BM27" i="1"/>
  <c r="O27" i="1"/>
  <c r="BJ27" i="1"/>
  <c r="BL27" i="1"/>
  <c r="BI27" i="1"/>
  <c r="BK27" i="1"/>
  <c r="AQ27" i="1"/>
  <c r="A27" i="1"/>
  <c r="AL27" i="1"/>
  <c r="AJ27" i="1"/>
  <c r="AI27" i="1"/>
  <c r="AK27" i="1"/>
  <c r="BT26" i="1"/>
  <c r="BU26" i="1" s="1"/>
  <c r="BU17" i="1"/>
  <c r="DS26" i="1" a="1"/>
  <c r="DS26" i="1" s="1"/>
  <c r="DK26" i="1" a="1"/>
  <c r="DK26" i="1" s="1"/>
  <c r="DC26" i="1" a="1"/>
  <c r="DC26" i="1" s="1"/>
  <c r="CU26" i="1" a="1"/>
  <c r="CU26" i="1" s="1"/>
  <c r="CL26" i="1" a="1"/>
  <c r="CL26" i="1" s="1"/>
  <c r="CD26" i="1" a="1"/>
  <c r="CD26" i="1" s="1"/>
  <c r="DR26" i="1" a="1"/>
  <c r="DR26" i="1" s="1"/>
  <c r="DJ26" i="1" a="1"/>
  <c r="DJ26" i="1" s="1"/>
  <c r="DB26" i="1" a="1"/>
  <c r="DB26" i="1" s="1"/>
  <c r="CT26" i="1" a="1"/>
  <c r="CT26" i="1" s="1"/>
  <c r="CK26" i="1" a="1"/>
  <c r="CK26" i="1" s="1"/>
  <c r="CC26" i="1" a="1"/>
  <c r="CC26" i="1" s="1"/>
  <c r="DQ26" i="1" a="1"/>
  <c r="DQ26" i="1" s="1"/>
  <c r="DG26" i="1" a="1"/>
  <c r="DG26" i="1" s="1"/>
  <c r="CW26" i="1" a="1"/>
  <c r="CW26" i="1" s="1"/>
  <c r="CJ26" i="1" a="1"/>
  <c r="CJ26" i="1" s="1"/>
  <c r="BZ26" i="1" a="1"/>
  <c r="BZ26" i="1" s="1"/>
  <c r="DP26" i="1" a="1"/>
  <c r="DP26" i="1" s="1"/>
  <c r="DF26" i="1" a="1"/>
  <c r="DF26" i="1" s="1"/>
  <c r="CV26" i="1" a="1"/>
  <c r="CV26" i="1" s="1"/>
  <c r="CI26" i="1" a="1"/>
  <c r="CI26" i="1" s="1"/>
  <c r="BY26" i="1" a="1"/>
  <c r="BY26" i="1" s="1"/>
  <c r="DU26" i="1" a="1"/>
  <c r="DU26" i="1" s="1"/>
  <c r="DE26" i="1" a="1"/>
  <c r="DE26" i="1" s="1"/>
  <c r="CQ26" i="1" a="1"/>
  <c r="CQ26" i="1" s="1"/>
  <c r="CB26" i="1" a="1"/>
  <c r="CB26" i="1" s="1"/>
  <c r="DT26" i="1" a="1"/>
  <c r="DT26" i="1" s="1"/>
  <c r="DD26" i="1" a="1"/>
  <c r="DD26" i="1" s="1"/>
  <c r="CP26" i="1" a="1"/>
  <c r="CP26" i="1" s="1"/>
  <c r="CA26" i="1" a="1"/>
  <c r="CA26" i="1" s="1"/>
  <c r="DI26" i="1" a="1"/>
  <c r="DI26" i="1" s="1"/>
  <c r="CM26" i="1" a="1"/>
  <c r="CM26" i="1" s="1"/>
  <c r="DH26" i="1" a="1"/>
  <c r="DH26" i="1" s="1"/>
  <c r="CH26" i="1" a="1"/>
  <c r="CH26" i="1" s="1"/>
  <c r="DA26" i="1" a="1"/>
  <c r="DA26" i="1" s="1"/>
  <c r="DL26" i="1" a="1"/>
  <c r="DL26" i="1" s="1"/>
  <c r="CF26" i="1" a="1"/>
  <c r="CF26" i="1" s="1"/>
  <c r="CE26" i="1" a="1"/>
  <c r="CE26" i="1" s="1"/>
  <c r="CZ26" i="1" a="1"/>
  <c r="CZ26" i="1" s="1"/>
  <c r="BX26" i="1" a="1"/>
  <c r="BX26" i="1" s="1"/>
  <c r="CY26" i="1" a="1"/>
  <c r="CY26" i="1" s="1"/>
  <c r="BW26" i="1" a="1"/>
  <c r="BW26" i="1" s="1"/>
  <c r="CG26" i="1" a="1"/>
  <c r="CG26" i="1" s="1"/>
  <c r="CX26" i="1" a="1"/>
  <c r="CX26" i="1" s="1"/>
  <c r="CS26" i="1" a="1"/>
  <c r="CS26" i="1" s="1"/>
  <c r="CR26" i="1" a="1"/>
  <c r="CR26" i="1" s="1"/>
  <c r="DN26" i="1" a="1"/>
  <c r="DN26" i="1" s="1"/>
  <c r="DM26" i="1" a="1"/>
  <c r="DM26" i="1" s="1"/>
  <c r="CO26" i="1" a="1"/>
  <c r="CO26" i="1" s="1"/>
  <c r="DV26" i="1" a="1"/>
  <c r="DV26" i="1" s="1"/>
  <c r="DO26" i="1" a="1"/>
  <c r="DO26" i="1" s="1"/>
  <c r="BP21" i="1"/>
  <c r="AZ21" i="1"/>
  <c r="AJ21" i="1"/>
  <c r="T21" i="1"/>
  <c r="D21" i="1"/>
  <c r="BO21" i="1"/>
  <c r="AY21" i="1"/>
  <c r="AI21" i="1"/>
  <c r="S21" i="1"/>
  <c r="BN21" i="1"/>
  <c r="AX21" i="1"/>
  <c r="AH21" i="1"/>
  <c r="R21" i="1"/>
  <c r="A21" i="1"/>
  <c r="BM21" i="1"/>
  <c r="AW21" i="1"/>
  <c r="AG21" i="1"/>
  <c r="Q21" i="1"/>
  <c r="BH21" i="1"/>
  <c r="AN21" i="1"/>
  <c r="P21" i="1"/>
  <c r="BG21" i="1"/>
  <c r="AM21" i="1"/>
  <c r="O21" i="1"/>
  <c r="BF21" i="1"/>
  <c r="AL21" i="1"/>
  <c r="N21" i="1"/>
  <c r="BE21" i="1"/>
  <c r="AK21" i="1"/>
  <c r="M21" i="1"/>
  <c r="AV21" i="1"/>
  <c r="X21" i="1"/>
  <c r="AU21" i="1"/>
  <c r="W21" i="1"/>
  <c r="AT21" i="1"/>
  <c r="V21" i="1"/>
  <c r="AS21" i="1"/>
  <c r="U21" i="1"/>
  <c r="AQ21" i="1"/>
  <c r="G21" i="1"/>
  <c r="AP21" i="1"/>
  <c r="F21" i="1"/>
  <c r="AO21" i="1"/>
  <c r="E21" i="1"/>
  <c r="AF21" i="1"/>
  <c r="BB21" i="1"/>
  <c r="BA21" i="1"/>
  <c r="AR21" i="1"/>
  <c r="AE21" i="1"/>
  <c r="AD21" i="1"/>
  <c r="AC21" i="1"/>
  <c r="DW21" i="1"/>
  <c r="AB21" i="1"/>
  <c r="BD21" i="1"/>
  <c r="BC21" i="1"/>
  <c r="I21" i="1"/>
  <c r="H21" i="1"/>
  <c r="AA21" i="1"/>
  <c r="BK21" i="1"/>
  <c r="Z21" i="1"/>
  <c r="L21" i="1"/>
  <c r="J21" i="1"/>
  <c r="BR21" i="1"/>
  <c r="BL21" i="1"/>
  <c r="Y21" i="1"/>
  <c r="K21" i="1"/>
  <c r="BQ21" i="1"/>
  <c r="BJ21" i="1"/>
  <c r="BI21" i="1"/>
  <c r="BT23" i="1"/>
  <c r="BU23" i="1" s="1"/>
  <c r="DR23" i="1" a="1"/>
  <c r="DR23" i="1" s="1"/>
  <c r="DJ23" i="1" a="1"/>
  <c r="DJ23" i="1" s="1"/>
  <c r="DB23" i="1" a="1"/>
  <c r="DB23" i="1" s="1"/>
  <c r="CT23" i="1" a="1"/>
  <c r="CT23" i="1" s="1"/>
  <c r="CK23" i="1" a="1"/>
  <c r="CK23" i="1" s="1"/>
  <c r="CC23" i="1" a="1"/>
  <c r="CC23" i="1" s="1"/>
  <c r="DQ23" i="1" a="1"/>
  <c r="DQ23" i="1" s="1"/>
  <c r="DI23" i="1" a="1"/>
  <c r="DI23" i="1" s="1"/>
  <c r="DA23" i="1" a="1"/>
  <c r="DA23" i="1" s="1"/>
  <c r="CS23" i="1" a="1"/>
  <c r="CS23" i="1" s="1"/>
  <c r="CJ23" i="1" a="1"/>
  <c r="CJ23" i="1" s="1"/>
  <c r="CB23" i="1" a="1"/>
  <c r="CB23" i="1" s="1"/>
  <c r="DN23" i="1" a="1"/>
  <c r="DN23" i="1" s="1"/>
  <c r="DD23" i="1" a="1"/>
  <c r="DD23" i="1" s="1"/>
  <c r="CR23" i="1" a="1"/>
  <c r="CR23" i="1" s="1"/>
  <c r="CG23" i="1" a="1"/>
  <c r="CG23" i="1" s="1"/>
  <c r="BW23" i="1" a="1"/>
  <c r="BW23" i="1" s="1"/>
  <c r="DM23" i="1" a="1"/>
  <c r="DM23" i="1" s="1"/>
  <c r="DC23" i="1" a="1"/>
  <c r="DC23" i="1" s="1"/>
  <c r="CQ23" i="1" a="1"/>
  <c r="CQ23" i="1" s="1"/>
  <c r="CF23" i="1" a="1"/>
  <c r="CF23" i="1" s="1"/>
  <c r="DL23" i="1" a="1"/>
  <c r="DL23" i="1" s="1"/>
  <c r="CX23" i="1" a="1"/>
  <c r="CX23" i="1" s="1"/>
  <c r="CI23" i="1" a="1"/>
  <c r="CI23" i="1" s="1"/>
  <c r="DK23" i="1" a="1"/>
  <c r="DK23" i="1" s="1"/>
  <c r="CW23" i="1" a="1"/>
  <c r="CW23" i="1" s="1"/>
  <c r="CH23" i="1" a="1"/>
  <c r="CH23" i="1" s="1"/>
  <c r="DV23" i="1" a="1"/>
  <c r="DV23" i="1" s="1"/>
  <c r="DH23" i="1" a="1"/>
  <c r="DH23" i="1" s="1"/>
  <c r="CV23" i="1" a="1"/>
  <c r="CV23" i="1" s="1"/>
  <c r="CE23" i="1" a="1"/>
  <c r="CE23" i="1" s="1"/>
  <c r="CZ23" i="1" a="1"/>
  <c r="CZ23" i="1" s="1"/>
  <c r="CD23" i="1" a="1"/>
  <c r="CD23" i="1" s="1"/>
  <c r="DT23" i="1" a="1"/>
  <c r="DT23" i="1" s="1"/>
  <c r="CY23" i="1" a="1"/>
  <c r="CY23" i="1" s="1"/>
  <c r="CA23" i="1" a="1"/>
  <c r="CA23" i="1" s="1"/>
  <c r="DS23" i="1" a="1"/>
  <c r="DS23" i="1" s="1"/>
  <c r="CU23" i="1" a="1"/>
  <c r="CU23" i="1" s="1"/>
  <c r="DU23" i="1" a="1"/>
  <c r="DU23" i="1" s="1"/>
  <c r="CP23" i="1" a="1"/>
  <c r="CP23" i="1" s="1"/>
  <c r="DP23" i="1" a="1"/>
  <c r="DP23" i="1" s="1"/>
  <c r="CO23" i="1" a="1"/>
  <c r="CO23" i="1" s="1"/>
  <c r="DO23" i="1" a="1"/>
  <c r="DO23" i="1" s="1"/>
  <c r="CM23" i="1" a="1"/>
  <c r="CM23" i="1" s="1"/>
  <c r="BY23" i="1" a="1"/>
  <c r="BY23" i="1" s="1"/>
  <c r="BX23" i="1" a="1"/>
  <c r="BX23" i="1" s="1"/>
  <c r="DG23" i="1" a="1"/>
  <c r="DG23" i="1" s="1"/>
  <c r="DF23" i="1" a="1"/>
  <c r="DF23" i="1" s="1"/>
  <c r="DE23" i="1" a="1"/>
  <c r="DE23" i="1" s="1"/>
  <c r="CL23" i="1" a="1"/>
  <c r="CL23" i="1" s="1"/>
  <c r="BZ23" i="1" a="1"/>
  <c r="BZ23" i="1" s="1"/>
  <c r="BS21" i="1" l="1"/>
  <c r="BS27" i="1"/>
  <c r="BM34" i="1"/>
  <c r="AW34" i="1"/>
  <c r="AG34" i="1"/>
  <c r="Q34" i="1"/>
  <c r="DW34" i="1"/>
  <c r="BL34" i="1"/>
  <c r="AV34" i="1"/>
  <c r="AF34" i="1"/>
  <c r="P34" i="1"/>
  <c r="C38" i="1"/>
  <c r="BK34" i="1"/>
  <c r="AU34" i="1"/>
  <c r="AE34" i="1"/>
  <c r="O34" i="1"/>
  <c r="BJ34" i="1"/>
  <c r="AT34" i="1"/>
  <c r="AD34" i="1"/>
  <c r="N34" i="1"/>
  <c r="BQ34" i="1"/>
  <c r="AS34" i="1"/>
  <c r="Y34" i="1"/>
  <c r="E34" i="1"/>
  <c r="BP34" i="1"/>
  <c r="AR34" i="1"/>
  <c r="X34" i="1"/>
  <c r="D34" i="1"/>
  <c r="BO34" i="1"/>
  <c r="AQ34" i="1"/>
  <c r="W34" i="1"/>
  <c r="BN34" i="1"/>
  <c r="AP34" i="1"/>
  <c r="V34" i="1"/>
  <c r="A34" i="1"/>
  <c r="BA34" i="1"/>
  <c r="U34" i="1"/>
  <c r="AZ34" i="1"/>
  <c r="T34" i="1"/>
  <c r="AY34" i="1"/>
  <c r="S34" i="1"/>
  <c r="AX34" i="1"/>
  <c r="R34" i="1"/>
  <c r="AO34" i="1"/>
  <c r="M34" i="1"/>
  <c r="BR34" i="1"/>
  <c r="BT34" i="1" s="1"/>
  <c r="AC34" i="1"/>
  <c r="BI34" i="1"/>
  <c r="AB34" i="1"/>
  <c r="BH34" i="1"/>
  <c r="AA34" i="1"/>
  <c r="BG34" i="1"/>
  <c r="Z34" i="1"/>
  <c r="BF34" i="1"/>
  <c r="L34" i="1"/>
  <c r="J34" i="1"/>
  <c r="I34" i="1"/>
  <c r="H34" i="1"/>
  <c r="G34" i="1"/>
  <c r="BE34" i="1"/>
  <c r="BS34" i="1" s="1"/>
  <c r="F34" i="1"/>
  <c r="BD34" i="1"/>
  <c r="C35" i="1"/>
  <c r="BC34" i="1"/>
  <c r="AH34" i="1"/>
  <c r="BB34" i="1"/>
  <c r="AN34" i="1"/>
  <c r="AK34" i="1"/>
  <c r="AJ34" i="1"/>
  <c r="AM34" i="1"/>
  <c r="AI34" i="1"/>
  <c r="K34" i="1"/>
  <c r="AL34" i="1"/>
  <c r="DQ21" i="1" a="1"/>
  <c r="DQ21" i="1" s="1"/>
  <c r="DI21" i="1" a="1"/>
  <c r="DI21" i="1" s="1"/>
  <c r="DA21" i="1" a="1"/>
  <c r="DA21" i="1" s="1"/>
  <c r="CS21" i="1" a="1"/>
  <c r="CS21" i="1" s="1"/>
  <c r="CJ21" i="1" a="1"/>
  <c r="CJ21" i="1" s="1"/>
  <c r="CB21" i="1" a="1"/>
  <c r="CB21" i="1" s="1"/>
  <c r="DP21" i="1" a="1"/>
  <c r="DP21" i="1" s="1"/>
  <c r="DH21" i="1" a="1"/>
  <c r="DH21" i="1" s="1"/>
  <c r="CZ21" i="1" a="1"/>
  <c r="CZ21" i="1" s="1"/>
  <c r="CR21" i="1" a="1"/>
  <c r="CR21" i="1" s="1"/>
  <c r="CI21" i="1" a="1"/>
  <c r="CI21" i="1" s="1"/>
  <c r="CA21" i="1" a="1"/>
  <c r="CA21" i="1" s="1"/>
  <c r="DS21" i="1" a="1"/>
  <c r="DS21" i="1" s="1"/>
  <c r="DG21" i="1" a="1"/>
  <c r="DG21" i="1" s="1"/>
  <c r="CW21" i="1" a="1"/>
  <c r="CW21" i="1" s="1"/>
  <c r="CL21" i="1" a="1"/>
  <c r="CL21" i="1" s="1"/>
  <c r="BZ21" i="1" a="1"/>
  <c r="BZ21" i="1" s="1"/>
  <c r="DR21" i="1" a="1"/>
  <c r="DR21" i="1" s="1"/>
  <c r="DF21" i="1" a="1"/>
  <c r="DF21" i="1" s="1"/>
  <c r="CV21" i="1" a="1"/>
  <c r="CV21" i="1" s="1"/>
  <c r="CK21" i="1" a="1"/>
  <c r="CK21" i="1" s="1"/>
  <c r="BY21" i="1" a="1"/>
  <c r="BY21" i="1" s="1"/>
  <c r="DO21" i="1" a="1"/>
  <c r="DO21" i="1" s="1"/>
  <c r="DC21" i="1" a="1"/>
  <c r="DC21" i="1" s="1"/>
  <c r="CO21" i="1" a="1"/>
  <c r="CO21" i="1" s="1"/>
  <c r="BX21" i="1" a="1"/>
  <c r="BX21" i="1" s="1"/>
  <c r="DN21" i="1" a="1"/>
  <c r="DN21" i="1" s="1"/>
  <c r="DB21" i="1" a="1"/>
  <c r="DB21" i="1" s="1"/>
  <c r="CM21" i="1" a="1"/>
  <c r="CM21" i="1" s="1"/>
  <c r="BW21" i="1" a="1"/>
  <c r="BW21" i="1" s="1"/>
  <c r="DL21" i="1" a="1"/>
  <c r="DL21" i="1" s="1"/>
  <c r="CT21" i="1" a="1"/>
  <c r="CT21" i="1" s="1"/>
  <c r="CC21" i="1" a="1"/>
  <c r="CC21" i="1" s="1"/>
  <c r="DK21" i="1" a="1"/>
  <c r="DK21" i="1" s="1"/>
  <c r="CQ21" i="1" a="1"/>
  <c r="CQ21" i="1" s="1"/>
  <c r="DJ21" i="1" a="1"/>
  <c r="DJ21" i="1" s="1"/>
  <c r="CG21" i="1" a="1"/>
  <c r="CG21" i="1" s="1"/>
  <c r="DE21" i="1" a="1"/>
  <c r="DE21" i="1" s="1"/>
  <c r="CF21" i="1" a="1"/>
  <c r="CF21" i="1" s="1"/>
  <c r="DD21" i="1" a="1"/>
  <c r="DD21" i="1" s="1"/>
  <c r="CE21" i="1" a="1"/>
  <c r="CE21" i="1" s="1"/>
  <c r="CY21" i="1" a="1"/>
  <c r="CY21" i="1" s="1"/>
  <c r="CD21" i="1" a="1"/>
  <c r="CD21" i="1" s="1"/>
  <c r="DV21" i="1" a="1"/>
  <c r="DV21" i="1" s="1"/>
  <c r="DT21" i="1" a="1"/>
  <c r="DT21" i="1" s="1"/>
  <c r="CX21" i="1" a="1"/>
  <c r="CX21" i="1" s="1"/>
  <c r="DU21" i="1" a="1"/>
  <c r="DU21" i="1" s="1"/>
  <c r="CU21" i="1" a="1"/>
  <c r="CU21" i="1" s="1"/>
  <c r="CP21" i="1" a="1"/>
  <c r="CP21" i="1" s="1"/>
  <c r="CH21" i="1" a="1"/>
  <c r="CH21" i="1" s="1"/>
  <c r="DM21" i="1" a="1"/>
  <c r="DM21" i="1" s="1"/>
  <c r="BU30" i="1"/>
  <c r="DU30" i="1" a="1"/>
  <c r="DU30" i="1" s="1"/>
  <c r="DM30" i="1" a="1"/>
  <c r="DM30" i="1" s="1"/>
  <c r="DE30" i="1" a="1"/>
  <c r="DE30" i="1" s="1"/>
  <c r="CW30" i="1" a="1"/>
  <c r="CW30" i="1" s="1"/>
  <c r="CO30" i="1" a="1"/>
  <c r="CO30" i="1" s="1"/>
  <c r="CF30" i="1" a="1"/>
  <c r="CF30" i="1" s="1"/>
  <c r="BX30" i="1" a="1"/>
  <c r="BX30" i="1" s="1"/>
  <c r="DT30" i="1" a="1"/>
  <c r="DT30" i="1" s="1"/>
  <c r="DL30" i="1" a="1"/>
  <c r="DL30" i="1" s="1"/>
  <c r="DD30" i="1" a="1"/>
  <c r="DD30" i="1" s="1"/>
  <c r="CV30" i="1" a="1"/>
  <c r="CV30" i="1" s="1"/>
  <c r="CM30" i="1" a="1"/>
  <c r="CM30" i="1" s="1"/>
  <c r="CE30" i="1" a="1"/>
  <c r="CE30" i="1" s="1"/>
  <c r="BW30" i="1" a="1"/>
  <c r="BW30" i="1" s="1"/>
  <c r="DS30" i="1" a="1"/>
  <c r="DS30" i="1" s="1"/>
  <c r="DI30" i="1" a="1"/>
  <c r="DI30" i="1" s="1"/>
  <c r="CY30" i="1" a="1"/>
  <c r="CY30" i="1" s="1"/>
  <c r="CL30" i="1" a="1"/>
  <c r="CL30" i="1" s="1"/>
  <c r="CB30" i="1" a="1"/>
  <c r="CB30" i="1" s="1"/>
  <c r="DR30" i="1" a="1"/>
  <c r="DR30" i="1" s="1"/>
  <c r="DH30" i="1" a="1"/>
  <c r="DH30" i="1" s="1"/>
  <c r="CX30" i="1" a="1"/>
  <c r="CX30" i="1" s="1"/>
  <c r="CK30" i="1" a="1"/>
  <c r="CK30" i="1" s="1"/>
  <c r="CA30" i="1" a="1"/>
  <c r="CA30" i="1" s="1"/>
  <c r="DK30" i="1" a="1"/>
  <c r="DK30" i="1" s="1"/>
  <c r="CU30" i="1" a="1"/>
  <c r="CU30" i="1" s="1"/>
  <c r="CH30" i="1" a="1"/>
  <c r="CH30" i="1" s="1"/>
  <c r="DJ30" i="1" a="1"/>
  <c r="DJ30" i="1" s="1"/>
  <c r="CT30" i="1" a="1"/>
  <c r="CT30" i="1" s="1"/>
  <c r="CG30" i="1" a="1"/>
  <c r="CG30" i="1" s="1"/>
  <c r="DG30" i="1" a="1"/>
  <c r="DG30" i="1" s="1"/>
  <c r="CP30" i="1" a="1"/>
  <c r="CP30" i="1" s="1"/>
  <c r="DF30" i="1" a="1"/>
  <c r="DF30" i="1" s="1"/>
  <c r="CJ30" i="1" a="1"/>
  <c r="CJ30" i="1" s="1"/>
  <c r="DC30" i="1" a="1"/>
  <c r="DC30" i="1" s="1"/>
  <c r="DV30" i="1" a="1"/>
  <c r="DV30" i="1" s="1"/>
  <c r="CR30" i="1" a="1"/>
  <c r="CR30" i="1" s="1"/>
  <c r="DQ30" i="1" a="1"/>
  <c r="DQ30" i="1" s="1"/>
  <c r="CQ30" i="1" a="1"/>
  <c r="CQ30" i="1" s="1"/>
  <c r="DP30" i="1" a="1"/>
  <c r="DP30" i="1" s="1"/>
  <c r="CI30" i="1" a="1"/>
  <c r="CI30" i="1" s="1"/>
  <c r="CD30" i="1" a="1"/>
  <c r="CD30" i="1" s="1"/>
  <c r="DO30" i="1" a="1"/>
  <c r="DO30" i="1" s="1"/>
  <c r="DA30" i="1" a="1"/>
  <c r="DA30" i="1" s="1"/>
  <c r="BY30" i="1" a="1"/>
  <c r="BY30" i="1" s="1"/>
  <c r="DN30" i="1" a="1"/>
  <c r="DN30" i="1" s="1"/>
  <c r="CZ30" i="1" a="1"/>
  <c r="CZ30" i="1" s="1"/>
  <c r="CS30" i="1" a="1"/>
  <c r="CS30" i="1" s="1"/>
  <c r="CC30" i="1" a="1"/>
  <c r="CC30" i="1" s="1"/>
  <c r="BZ30" i="1" a="1"/>
  <c r="BZ30" i="1" s="1"/>
  <c r="DB30" i="1" a="1"/>
  <c r="DB30" i="1" s="1"/>
  <c r="BJ31" i="1"/>
  <c r="AT31" i="1"/>
  <c r="AD31" i="1"/>
  <c r="N31" i="1"/>
  <c r="BI31" i="1"/>
  <c r="AS31" i="1"/>
  <c r="AC31" i="1"/>
  <c r="M31" i="1"/>
  <c r="BH31" i="1"/>
  <c r="AR31" i="1"/>
  <c r="AB31" i="1"/>
  <c r="L31" i="1"/>
  <c r="BG31" i="1"/>
  <c r="AQ31" i="1"/>
  <c r="AA31" i="1"/>
  <c r="K31" i="1"/>
  <c r="BF31" i="1"/>
  <c r="AL31" i="1"/>
  <c r="R31" i="1"/>
  <c r="BE31" i="1"/>
  <c r="AK31" i="1"/>
  <c r="Q31" i="1"/>
  <c r="BD31" i="1"/>
  <c r="AJ31" i="1"/>
  <c r="P31" i="1"/>
  <c r="BC31" i="1"/>
  <c r="AI31" i="1"/>
  <c r="O31" i="1"/>
  <c r="C32" i="1"/>
  <c r="BN31" i="1"/>
  <c r="AH31" i="1"/>
  <c r="F31" i="1"/>
  <c r="BM31" i="1"/>
  <c r="AG31" i="1"/>
  <c r="E31" i="1"/>
  <c r="DW31" i="1"/>
  <c r="BL31" i="1"/>
  <c r="AF31" i="1"/>
  <c r="D31" i="1"/>
  <c r="BK31" i="1"/>
  <c r="AE31" i="1"/>
  <c r="BB31" i="1"/>
  <c r="Z31" i="1"/>
  <c r="A31" i="1"/>
  <c r="AZ31" i="1"/>
  <c r="S31" i="1"/>
  <c r="AY31" i="1"/>
  <c r="J31" i="1"/>
  <c r="AX31" i="1"/>
  <c r="I31" i="1"/>
  <c r="AW31" i="1"/>
  <c r="H31" i="1"/>
  <c r="AV31" i="1"/>
  <c r="G31" i="1"/>
  <c r="BP31" i="1"/>
  <c r="BO31" i="1"/>
  <c r="BA31" i="1"/>
  <c r="AU31" i="1"/>
  <c r="AP31" i="1"/>
  <c r="AO31" i="1"/>
  <c r="AN31" i="1"/>
  <c r="BR31" i="1"/>
  <c r="BQ31" i="1"/>
  <c r="T31" i="1"/>
  <c r="AM31" i="1"/>
  <c r="Y31" i="1"/>
  <c r="W31" i="1"/>
  <c r="U31" i="1"/>
  <c r="X31" i="1"/>
  <c r="V31" i="1"/>
  <c r="BT21" i="1"/>
  <c r="BU21" i="1"/>
  <c r="BT27" i="1"/>
  <c r="BS24" i="1"/>
  <c r="BT24" i="1"/>
  <c r="BU24" i="1" s="1"/>
  <c r="BT30" i="1"/>
  <c r="BG28" i="1"/>
  <c r="AQ28" i="1"/>
  <c r="AA28" i="1"/>
  <c r="K28" i="1"/>
  <c r="BF28" i="1"/>
  <c r="AP28" i="1"/>
  <c r="Z28" i="1"/>
  <c r="J28" i="1"/>
  <c r="BE28" i="1"/>
  <c r="AO28" i="1"/>
  <c r="Y28" i="1"/>
  <c r="I28" i="1"/>
  <c r="BD28" i="1"/>
  <c r="AN28" i="1"/>
  <c r="X28" i="1"/>
  <c r="H28" i="1"/>
  <c r="AY28" i="1"/>
  <c r="AE28" i="1"/>
  <c r="G28" i="1"/>
  <c r="C29" i="1"/>
  <c r="BR28" i="1"/>
  <c r="AX28" i="1"/>
  <c r="AD28" i="1"/>
  <c r="F28" i="1"/>
  <c r="BQ28" i="1"/>
  <c r="AW28" i="1"/>
  <c r="AC28" i="1"/>
  <c r="E28" i="1"/>
  <c r="DW28" i="1"/>
  <c r="BP28" i="1"/>
  <c r="AV28" i="1"/>
  <c r="AB28" i="1"/>
  <c r="D28" i="1"/>
  <c r="AU28" i="1"/>
  <c r="S28" i="1"/>
  <c r="AT28" i="1"/>
  <c r="R28" i="1"/>
  <c r="AS28" i="1"/>
  <c r="Q28" i="1"/>
  <c r="AR28" i="1"/>
  <c r="P28" i="1"/>
  <c r="BO28" i="1"/>
  <c r="AM28" i="1"/>
  <c r="O28" i="1"/>
  <c r="AL28" i="1"/>
  <c r="AK28" i="1"/>
  <c r="AJ28" i="1"/>
  <c r="AI28" i="1"/>
  <c r="BN28" i="1"/>
  <c r="U28" i="1"/>
  <c r="BM28" i="1"/>
  <c r="T28" i="1"/>
  <c r="BL28" i="1"/>
  <c r="N28" i="1"/>
  <c r="BK28" i="1"/>
  <c r="M28" i="1"/>
  <c r="BJ28" i="1"/>
  <c r="L28" i="1"/>
  <c r="BI28" i="1"/>
  <c r="BH28" i="1"/>
  <c r="A28" i="1"/>
  <c r="AG28" i="1"/>
  <c r="AF28" i="1"/>
  <c r="BC28" i="1"/>
  <c r="BA28" i="1"/>
  <c r="AH28" i="1"/>
  <c r="W28" i="1"/>
  <c r="BB28" i="1"/>
  <c r="AZ28" i="1"/>
  <c r="V28" i="1"/>
  <c r="BS30" i="1"/>
  <c r="DR24" i="1" a="1"/>
  <c r="DR24" i="1" s="1"/>
  <c r="DJ24" i="1" a="1"/>
  <c r="DJ24" i="1" s="1"/>
  <c r="DB24" i="1" a="1"/>
  <c r="DB24" i="1" s="1"/>
  <c r="CT24" i="1" a="1"/>
  <c r="CT24" i="1" s="1"/>
  <c r="CK24" i="1" a="1"/>
  <c r="CK24" i="1" s="1"/>
  <c r="CC24" i="1" a="1"/>
  <c r="CC24" i="1" s="1"/>
  <c r="DQ24" i="1" a="1"/>
  <c r="DQ24" i="1" s="1"/>
  <c r="DI24" i="1" a="1"/>
  <c r="DI24" i="1" s="1"/>
  <c r="DA24" i="1" a="1"/>
  <c r="DA24" i="1" s="1"/>
  <c r="CS24" i="1" a="1"/>
  <c r="CS24" i="1" s="1"/>
  <c r="CJ24" i="1" a="1"/>
  <c r="CJ24" i="1" s="1"/>
  <c r="CB24" i="1" a="1"/>
  <c r="CB24" i="1" s="1"/>
  <c r="DV24" i="1" a="1"/>
  <c r="DV24" i="1" s="1"/>
  <c r="DL24" i="1" a="1"/>
  <c r="DL24" i="1" s="1"/>
  <c r="CZ24" i="1" a="1"/>
  <c r="CZ24" i="1" s="1"/>
  <c r="CP24" i="1" a="1"/>
  <c r="CP24" i="1" s="1"/>
  <c r="CE24" i="1" a="1"/>
  <c r="CE24" i="1" s="1"/>
  <c r="DU24" i="1" a="1"/>
  <c r="DU24" i="1" s="1"/>
  <c r="DK24" i="1" a="1"/>
  <c r="DK24" i="1" s="1"/>
  <c r="CY24" i="1" a="1"/>
  <c r="CY24" i="1" s="1"/>
  <c r="CO24" i="1" a="1"/>
  <c r="CO24" i="1" s="1"/>
  <c r="CD24" i="1" a="1"/>
  <c r="CD24" i="1" s="1"/>
  <c r="DH24" i="1" a="1"/>
  <c r="DH24" i="1" s="1"/>
  <c r="CV24" i="1" a="1"/>
  <c r="CV24" i="1" s="1"/>
  <c r="CG24" i="1" a="1"/>
  <c r="CG24" i="1" s="1"/>
  <c r="DG24" i="1" a="1"/>
  <c r="DG24" i="1" s="1"/>
  <c r="CU24" i="1" a="1"/>
  <c r="CU24" i="1" s="1"/>
  <c r="CF24" i="1" a="1"/>
  <c r="CF24" i="1" s="1"/>
  <c r="DP24" i="1" a="1"/>
  <c r="DP24" i="1" s="1"/>
  <c r="CW24" i="1" a="1"/>
  <c r="CW24" i="1" s="1"/>
  <c r="BY24" i="1" a="1"/>
  <c r="BY24" i="1" s="1"/>
  <c r="DO24" i="1" a="1"/>
  <c r="DO24" i="1" s="1"/>
  <c r="CR24" i="1" a="1"/>
  <c r="CR24" i="1" s="1"/>
  <c r="BX24" i="1" a="1"/>
  <c r="BX24" i="1" s="1"/>
  <c r="DS24" i="1" a="1"/>
  <c r="DS24" i="1" s="1"/>
  <c r="CM24" i="1" a="1"/>
  <c r="CM24" i="1" s="1"/>
  <c r="DN24" i="1" a="1"/>
  <c r="DN24" i="1" s="1"/>
  <c r="CL24" i="1" a="1"/>
  <c r="CL24" i="1" s="1"/>
  <c r="DM24" i="1" a="1"/>
  <c r="DM24" i="1" s="1"/>
  <c r="CI24" i="1" a="1"/>
  <c r="CI24" i="1" s="1"/>
  <c r="DF24" i="1" a="1"/>
  <c r="DF24" i="1" s="1"/>
  <c r="CA24" i="1" a="1"/>
  <c r="CA24" i="1" s="1"/>
  <c r="DE24" i="1" a="1"/>
  <c r="DE24" i="1" s="1"/>
  <c r="BZ24" i="1" a="1"/>
  <c r="BZ24" i="1" s="1"/>
  <c r="DD24" i="1" a="1"/>
  <c r="DD24" i="1" s="1"/>
  <c r="CX24" i="1" a="1"/>
  <c r="CX24" i="1" s="1"/>
  <c r="CH24" i="1" a="1"/>
  <c r="CH24" i="1" s="1"/>
  <c r="DT24" i="1" a="1"/>
  <c r="DT24" i="1" s="1"/>
  <c r="BW24" i="1" a="1"/>
  <c r="BW24" i="1" s="1"/>
  <c r="DC24" i="1" a="1"/>
  <c r="DC24" i="1" s="1"/>
  <c r="CQ24" i="1" a="1"/>
  <c r="CQ24" i="1" s="1"/>
  <c r="DT27" i="1" a="1"/>
  <c r="DT27" i="1" s="1"/>
  <c r="DL27" i="1" a="1"/>
  <c r="DL27" i="1" s="1"/>
  <c r="DD27" i="1" a="1"/>
  <c r="DD27" i="1" s="1"/>
  <c r="CV27" i="1" a="1"/>
  <c r="CV27" i="1" s="1"/>
  <c r="CM27" i="1" a="1"/>
  <c r="CM27" i="1" s="1"/>
  <c r="CE27" i="1" a="1"/>
  <c r="CE27" i="1" s="1"/>
  <c r="BW27" i="1" a="1"/>
  <c r="BW27" i="1" s="1"/>
  <c r="DS27" i="1" a="1"/>
  <c r="DS27" i="1" s="1"/>
  <c r="DK27" i="1" a="1"/>
  <c r="DK27" i="1" s="1"/>
  <c r="DC27" i="1" a="1"/>
  <c r="DC27" i="1" s="1"/>
  <c r="CU27" i="1" a="1"/>
  <c r="CU27" i="1" s="1"/>
  <c r="CL27" i="1" a="1"/>
  <c r="CL27" i="1" s="1"/>
  <c r="CD27" i="1" a="1"/>
  <c r="CD27" i="1" s="1"/>
  <c r="DP27" i="1" a="1"/>
  <c r="DP27" i="1" s="1"/>
  <c r="DF27" i="1" a="1"/>
  <c r="DF27" i="1" s="1"/>
  <c r="CT27" i="1" a="1"/>
  <c r="CT27" i="1" s="1"/>
  <c r="CI27" i="1" a="1"/>
  <c r="CI27" i="1" s="1"/>
  <c r="BY27" i="1" a="1"/>
  <c r="BY27" i="1" s="1"/>
  <c r="DO27" i="1" a="1"/>
  <c r="DO27" i="1" s="1"/>
  <c r="DE27" i="1" a="1"/>
  <c r="DE27" i="1" s="1"/>
  <c r="CS27" i="1" a="1"/>
  <c r="CS27" i="1" s="1"/>
  <c r="CH27" i="1" a="1"/>
  <c r="CH27" i="1" s="1"/>
  <c r="BX27" i="1" a="1"/>
  <c r="BX27" i="1" s="1"/>
  <c r="DR27" i="1" a="1"/>
  <c r="DR27" i="1" s="1"/>
  <c r="DB27" i="1" a="1"/>
  <c r="DB27" i="1" s="1"/>
  <c r="CP27" i="1" a="1"/>
  <c r="CP27" i="1" s="1"/>
  <c r="CA27" i="1" a="1"/>
  <c r="CA27" i="1" s="1"/>
  <c r="DQ27" i="1" a="1"/>
  <c r="DQ27" i="1" s="1"/>
  <c r="DA27" i="1" a="1"/>
  <c r="DA27" i="1" s="1"/>
  <c r="CO27" i="1" a="1"/>
  <c r="CO27" i="1" s="1"/>
  <c r="BZ27" i="1" a="1"/>
  <c r="BZ27" i="1" s="1"/>
  <c r="DN27" i="1" a="1"/>
  <c r="DN27" i="1" s="1"/>
  <c r="CZ27" i="1" a="1"/>
  <c r="CZ27" i="1" s="1"/>
  <c r="CK27" i="1" a="1"/>
  <c r="CK27" i="1" s="1"/>
  <c r="CF27" i="1" a="1"/>
  <c r="CF27" i="1" s="1"/>
  <c r="DV27" i="1" a="1"/>
  <c r="DV27" i="1" s="1"/>
  <c r="CY27" i="1" a="1"/>
  <c r="CY27" i="1" s="1"/>
  <c r="CC27" i="1" a="1"/>
  <c r="CC27" i="1" s="1"/>
  <c r="DH27" i="1" a="1"/>
  <c r="DH27" i="1" s="1"/>
  <c r="CB27" i="1" a="1"/>
  <c r="CB27" i="1" s="1"/>
  <c r="DG27" i="1" a="1"/>
  <c r="DG27" i="1" s="1"/>
  <c r="CX27" i="1" a="1"/>
  <c r="CX27" i="1" s="1"/>
  <c r="CW27" i="1" a="1"/>
  <c r="CW27" i="1" s="1"/>
  <c r="CG27" i="1" a="1"/>
  <c r="CG27" i="1" s="1"/>
  <c r="DJ27" i="1" a="1"/>
  <c r="DJ27" i="1" s="1"/>
  <c r="DU27" i="1" a="1"/>
  <c r="DU27" i="1" s="1"/>
  <c r="CJ27" i="1" a="1"/>
  <c r="CJ27" i="1" s="1"/>
  <c r="DI27" i="1" a="1"/>
  <c r="DI27" i="1" s="1"/>
  <c r="CR27" i="1" a="1"/>
  <c r="CR27" i="1" s="1"/>
  <c r="DM27" i="1" a="1"/>
  <c r="DM27" i="1" s="1"/>
  <c r="CQ27" i="1" a="1"/>
  <c r="CQ27" i="1" s="1"/>
  <c r="BD25" i="1"/>
  <c r="AN25" i="1"/>
  <c r="X25" i="1"/>
  <c r="H25" i="1"/>
  <c r="BC25" i="1"/>
  <c r="AM25" i="1"/>
  <c r="W25" i="1"/>
  <c r="G25" i="1"/>
  <c r="BR25" i="1"/>
  <c r="BB25" i="1"/>
  <c r="AL25" i="1"/>
  <c r="V25" i="1"/>
  <c r="F25" i="1"/>
  <c r="BQ25" i="1"/>
  <c r="BA25" i="1"/>
  <c r="AK25" i="1"/>
  <c r="U25" i="1"/>
  <c r="E25" i="1"/>
  <c r="BL25" i="1"/>
  <c r="AR25" i="1"/>
  <c r="T25" i="1"/>
  <c r="BK25" i="1"/>
  <c r="AQ25" i="1"/>
  <c r="S25" i="1"/>
  <c r="BJ25" i="1"/>
  <c r="AP25" i="1"/>
  <c r="R25" i="1"/>
  <c r="BI25" i="1"/>
  <c r="AO25" i="1"/>
  <c r="Q25" i="1"/>
  <c r="DW25" i="1"/>
  <c r="BH25" i="1"/>
  <c r="AF25" i="1"/>
  <c r="D25" i="1"/>
  <c r="BG25" i="1"/>
  <c r="AE25" i="1"/>
  <c r="BF25" i="1"/>
  <c r="AD25" i="1"/>
  <c r="A25" i="1"/>
  <c r="BE25" i="1"/>
  <c r="AC25" i="1"/>
  <c r="AZ25" i="1"/>
  <c r="AB25" i="1"/>
  <c r="AG25" i="1"/>
  <c r="AA25" i="1"/>
  <c r="BP25" i="1"/>
  <c r="Z25" i="1"/>
  <c r="BO25" i="1"/>
  <c r="Y25" i="1"/>
  <c r="AV25" i="1"/>
  <c r="AU25" i="1"/>
  <c r="AT25" i="1"/>
  <c r="AS25" i="1"/>
  <c r="AJ25" i="1"/>
  <c r="AI25" i="1"/>
  <c r="AH25" i="1"/>
  <c r="M25" i="1"/>
  <c r="BN25" i="1"/>
  <c r="AW25" i="1"/>
  <c r="O25" i="1"/>
  <c r="L25" i="1"/>
  <c r="K25" i="1"/>
  <c r="AY25" i="1"/>
  <c r="AX25" i="1"/>
  <c r="J25" i="1"/>
  <c r="P25" i="1"/>
  <c r="N25" i="1"/>
  <c r="I25" i="1"/>
  <c r="BM25" i="1"/>
  <c r="BU27" i="1"/>
  <c r="BS28" i="1" l="1"/>
  <c r="C36" i="1"/>
  <c r="BN35" i="1"/>
  <c r="AX35" i="1"/>
  <c r="AH35" i="1"/>
  <c r="R35" i="1"/>
  <c r="A35" i="1"/>
  <c r="BM35" i="1"/>
  <c r="AW35" i="1"/>
  <c r="AG35" i="1"/>
  <c r="Q35" i="1"/>
  <c r="DW35" i="1"/>
  <c r="BL35" i="1"/>
  <c r="AV35" i="1"/>
  <c r="AF35" i="1"/>
  <c r="P35" i="1"/>
  <c r="BK35" i="1"/>
  <c r="AU35" i="1"/>
  <c r="AE35" i="1"/>
  <c r="O35" i="1"/>
  <c r="BJ35" i="1"/>
  <c r="AP35" i="1"/>
  <c r="V35" i="1"/>
  <c r="BI35" i="1"/>
  <c r="AO35" i="1"/>
  <c r="U35" i="1"/>
  <c r="BH35" i="1"/>
  <c r="AN35" i="1"/>
  <c r="T35" i="1"/>
  <c r="BG35" i="1"/>
  <c r="AM35" i="1"/>
  <c r="S35" i="1"/>
  <c r="AT35" i="1"/>
  <c r="N35" i="1"/>
  <c r="AS35" i="1"/>
  <c r="M35" i="1"/>
  <c r="AR35" i="1"/>
  <c r="L35" i="1"/>
  <c r="AQ35" i="1"/>
  <c r="K35" i="1"/>
  <c r="BR35" i="1"/>
  <c r="AL35" i="1"/>
  <c r="J35" i="1"/>
  <c r="BE35" i="1"/>
  <c r="X35" i="1"/>
  <c r="BD35" i="1"/>
  <c r="W35" i="1"/>
  <c r="BC35" i="1"/>
  <c r="I35" i="1"/>
  <c r="BB35" i="1"/>
  <c r="H35" i="1"/>
  <c r="BA35" i="1"/>
  <c r="G35" i="1"/>
  <c r="AA35" i="1"/>
  <c r="Z35" i="1"/>
  <c r="Y35" i="1"/>
  <c r="F35" i="1"/>
  <c r="BQ35" i="1"/>
  <c r="E35" i="1"/>
  <c r="BP35" i="1"/>
  <c r="D35" i="1"/>
  <c r="BO35" i="1"/>
  <c r="AY35" i="1"/>
  <c r="AK35" i="1"/>
  <c r="AD35" i="1"/>
  <c r="AJ35" i="1"/>
  <c r="BF35" i="1"/>
  <c r="AZ35" i="1"/>
  <c r="AC35" i="1"/>
  <c r="AI35" i="1"/>
  <c r="AB35" i="1"/>
  <c r="BK32" i="1"/>
  <c r="AU32" i="1"/>
  <c r="AE32" i="1"/>
  <c r="O32" i="1"/>
  <c r="BJ32" i="1"/>
  <c r="AT32" i="1"/>
  <c r="AD32" i="1"/>
  <c r="N32" i="1"/>
  <c r="BI32" i="1"/>
  <c r="AS32" i="1"/>
  <c r="AC32" i="1"/>
  <c r="M32" i="1"/>
  <c r="BH32" i="1"/>
  <c r="AR32" i="1"/>
  <c r="AB32" i="1"/>
  <c r="L32" i="1"/>
  <c r="BC32" i="1"/>
  <c r="AI32" i="1"/>
  <c r="K32" i="1"/>
  <c r="BB32" i="1"/>
  <c r="AH32" i="1"/>
  <c r="J32" i="1"/>
  <c r="BA32" i="1"/>
  <c r="AG32" i="1"/>
  <c r="I32" i="1"/>
  <c r="AZ32" i="1"/>
  <c r="AF32" i="1"/>
  <c r="H32" i="1"/>
  <c r="BG32" i="1"/>
  <c r="AA32" i="1"/>
  <c r="BF32" i="1"/>
  <c r="Z32" i="1"/>
  <c r="A32" i="1"/>
  <c r="BE32" i="1"/>
  <c r="Y32" i="1"/>
  <c r="BD32" i="1"/>
  <c r="X32" i="1"/>
  <c r="AY32" i="1"/>
  <c r="W32" i="1"/>
  <c r="DW32" i="1"/>
  <c r="AQ32" i="1"/>
  <c r="F32" i="1"/>
  <c r="AP32" i="1"/>
  <c r="E32" i="1"/>
  <c r="AO32" i="1"/>
  <c r="D32" i="1"/>
  <c r="AN32" i="1"/>
  <c r="AM32" i="1"/>
  <c r="BO32" i="1"/>
  <c r="P32" i="1"/>
  <c r="BN32" i="1"/>
  <c r="G32" i="1"/>
  <c r="BM32" i="1"/>
  <c r="BL32" i="1"/>
  <c r="C33" i="1"/>
  <c r="AX32" i="1"/>
  <c r="AW32" i="1"/>
  <c r="AV32" i="1"/>
  <c r="AJ32" i="1"/>
  <c r="T32" i="1"/>
  <c r="S32" i="1"/>
  <c r="AK32" i="1"/>
  <c r="V32" i="1"/>
  <c r="R32" i="1"/>
  <c r="BQ32" i="1"/>
  <c r="AL32" i="1"/>
  <c r="Q32" i="1"/>
  <c r="BR32" i="1"/>
  <c r="BP32" i="1"/>
  <c r="U32" i="1"/>
  <c r="BQ38" i="1"/>
  <c r="BA38" i="1"/>
  <c r="AK38" i="1"/>
  <c r="U38" i="1"/>
  <c r="E38" i="1"/>
  <c r="BP38" i="1"/>
  <c r="AZ38" i="1"/>
  <c r="AJ38" i="1"/>
  <c r="T38" i="1"/>
  <c r="D38" i="1"/>
  <c r="BO38" i="1"/>
  <c r="AY38" i="1"/>
  <c r="AI38" i="1"/>
  <c r="S38" i="1"/>
  <c r="C39" i="1"/>
  <c r="BN38" i="1"/>
  <c r="AX38" i="1"/>
  <c r="AH38" i="1"/>
  <c r="R38" i="1"/>
  <c r="A38" i="1"/>
  <c r="AW38" i="1"/>
  <c r="AC38" i="1"/>
  <c r="I38" i="1"/>
  <c r="DW38" i="1"/>
  <c r="AV38" i="1"/>
  <c r="AB38" i="1"/>
  <c r="H38" i="1"/>
  <c r="AU38" i="1"/>
  <c r="AA38" i="1"/>
  <c r="G38" i="1"/>
  <c r="BR38" i="1"/>
  <c r="BT38" i="1" s="1"/>
  <c r="AT38" i="1"/>
  <c r="Z38" i="1"/>
  <c r="F38" i="1"/>
  <c r="BI38" i="1"/>
  <c r="AG38" i="1"/>
  <c r="C42" i="1"/>
  <c r="BH38" i="1"/>
  <c r="AF38" i="1"/>
  <c r="BG38" i="1"/>
  <c r="AE38" i="1"/>
  <c r="BF38" i="1"/>
  <c r="AD38" i="1"/>
  <c r="BE38" i="1"/>
  <c r="BS38" i="1" s="1"/>
  <c r="Y38" i="1"/>
  <c r="AL38" i="1"/>
  <c r="X38" i="1"/>
  <c r="BM38" i="1"/>
  <c r="W38" i="1"/>
  <c r="BL38" i="1"/>
  <c r="V38" i="1"/>
  <c r="BK38" i="1"/>
  <c r="Q38" i="1"/>
  <c r="BJ38" i="1"/>
  <c r="P38" i="1"/>
  <c r="BD38" i="1"/>
  <c r="O38" i="1"/>
  <c r="BC38" i="1"/>
  <c r="BB38" i="1"/>
  <c r="AS38" i="1"/>
  <c r="AR38" i="1"/>
  <c r="AQ38" i="1"/>
  <c r="AP38" i="1"/>
  <c r="AO38" i="1"/>
  <c r="AN38" i="1"/>
  <c r="AM38" i="1"/>
  <c r="N38" i="1"/>
  <c r="J38" i="1"/>
  <c r="M38" i="1"/>
  <c r="K38" i="1"/>
  <c r="L38" i="1"/>
  <c r="DT28" i="1" a="1"/>
  <c r="DT28" i="1" s="1"/>
  <c r="DL28" i="1" a="1"/>
  <c r="DL28" i="1" s="1"/>
  <c r="DD28" i="1" a="1"/>
  <c r="DD28" i="1" s="1"/>
  <c r="CV28" i="1" a="1"/>
  <c r="CV28" i="1" s="1"/>
  <c r="CM28" i="1" a="1"/>
  <c r="CM28" i="1" s="1"/>
  <c r="CE28" i="1" a="1"/>
  <c r="CE28" i="1" s="1"/>
  <c r="BW28" i="1" a="1"/>
  <c r="BW28" i="1" s="1"/>
  <c r="DS28" i="1" a="1"/>
  <c r="DS28" i="1" s="1"/>
  <c r="DK28" i="1" a="1"/>
  <c r="DK28" i="1" s="1"/>
  <c r="DC28" i="1" a="1"/>
  <c r="DC28" i="1" s="1"/>
  <c r="CU28" i="1" a="1"/>
  <c r="CU28" i="1" s="1"/>
  <c r="CL28" i="1" a="1"/>
  <c r="CL28" i="1" s="1"/>
  <c r="CD28" i="1" a="1"/>
  <c r="CD28" i="1" s="1"/>
  <c r="DN28" i="1" a="1"/>
  <c r="DN28" i="1" s="1"/>
  <c r="DB28" i="1" a="1"/>
  <c r="DB28" i="1" s="1"/>
  <c r="CR28" i="1" a="1"/>
  <c r="CR28" i="1" s="1"/>
  <c r="CG28" i="1" a="1"/>
  <c r="CG28" i="1" s="1"/>
  <c r="DM28" i="1" a="1"/>
  <c r="DM28" i="1" s="1"/>
  <c r="DA28" i="1" a="1"/>
  <c r="DA28" i="1" s="1"/>
  <c r="CQ28" i="1" a="1"/>
  <c r="CQ28" i="1" s="1"/>
  <c r="CF28" i="1" a="1"/>
  <c r="CF28" i="1" s="1"/>
  <c r="DP28" i="1" a="1"/>
  <c r="DP28" i="1" s="1"/>
  <c r="CZ28" i="1" a="1"/>
  <c r="CZ28" i="1" s="1"/>
  <c r="CK28" i="1" a="1"/>
  <c r="CK28" i="1" s="1"/>
  <c r="BY28" i="1" a="1"/>
  <c r="BY28" i="1" s="1"/>
  <c r="DO28" i="1" a="1"/>
  <c r="DO28" i="1" s="1"/>
  <c r="CY28" i="1" a="1"/>
  <c r="CY28" i="1" s="1"/>
  <c r="CJ28" i="1" a="1"/>
  <c r="CJ28" i="1" s="1"/>
  <c r="BX28" i="1" a="1"/>
  <c r="BX28" i="1" s="1"/>
  <c r="CB28" i="1" a="1"/>
  <c r="CB28" i="1" s="1"/>
  <c r="DR28" i="1" a="1"/>
  <c r="DR28" i="1" s="1"/>
  <c r="CW28" i="1" a="1"/>
  <c r="CW28" i="1" s="1"/>
  <c r="CA28" i="1" a="1"/>
  <c r="CA28" i="1" s="1"/>
  <c r="DQ28" i="1" a="1"/>
  <c r="DQ28" i="1" s="1"/>
  <c r="CT28" i="1" a="1"/>
  <c r="CT28" i="1" s="1"/>
  <c r="DE28" i="1" a="1"/>
  <c r="DE28" i="1" s="1"/>
  <c r="CX28" i="1" a="1"/>
  <c r="CX28" i="1" s="1"/>
  <c r="DV28" i="1" a="1"/>
  <c r="DV28" i="1" s="1"/>
  <c r="CS28" i="1" a="1"/>
  <c r="CS28" i="1" s="1"/>
  <c r="DU28" i="1" a="1"/>
  <c r="DU28" i="1" s="1"/>
  <c r="CP28" i="1" a="1"/>
  <c r="CP28" i="1" s="1"/>
  <c r="CC28" i="1" a="1"/>
  <c r="CC28" i="1" s="1"/>
  <c r="CI28" i="1" a="1"/>
  <c r="CI28" i="1" s="1"/>
  <c r="DJ28" i="1" a="1"/>
  <c r="DJ28" i="1" s="1"/>
  <c r="CH28" i="1" a="1"/>
  <c r="CH28" i="1" s="1"/>
  <c r="BZ28" i="1" a="1"/>
  <c r="BZ28" i="1" s="1"/>
  <c r="DI28" i="1" a="1"/>
  <c r="DI28" i="1" s="1"/>
  <c r="DH28" i="1" a="1"/>
  <c r="DH28" i="1" s="1"/>
  <c r="DG28" i="1" a="1"/>
  <c r="DG28" i="1" s="1"/>
  <c r="DF28" i="1" a="1"/>
  <c r="DF28" i="1" s="1"/>
  <c r="CO28" i="1" a="1"/>
  <c r="CO28" i="1" s="1"/>
  <c r="BS31" i="1"/>
  <c r="BT31" i="1" s="1"/>
  <c r="BU31" i="1" s="1"/>
  <c r="BT25" i="1"/>
  <c r="BU25" i="1" s="1"/>
  <c r="DO34" i="1" a="1"/>
  <c r="DO34" i="1" s="1"/>
  <c r="DG34" i="1" a="1"/>
  <c r="DG34" i="1" s="1"/>
  <c r="CY34" i="1" a="1"/>
  <c r="CY34" i="1" s="1"/>
  <c r="CQ34" i="1" a="1"/>
  <c r="CQ34" i="1" s="1"/>
  <c r="CH34" i="1" a="1"/>
  <c r="CH34" i="1" s="1"/>
  <c r="BZ34" i="1" a="1"/>
  <c r="BZ34" i="1" s="1"/>
  <c r="DV34" i="1" a="1"/>
  <c r="DV34" i="1" s="1"/>
  <c r="DN34" i="1" a="1"/>
  <c r="DN34" i="1" s="1"/>
  <c r="DF34" i="1" a="1"/>
  <c r="DF34" i="1" s="1"/>
  <c r="CX34" i="1" a="1"/>
  <c r="CX34" i="1" s="1"/>
  <c r="CP34" i="1" a="1"/>
  <c r="CP34" i="1" s="1"/>
  <c r="CG34" i="1" a="1"/>
  <c r="CG34" i="1" s="1"/>
  <c r="BY34" i="1" a="1"/>
  <c r="BY34" i="1" s="1"/>
  <c r="DU34" i="1" a="1"/>
  <c r="DU34" i="1" s="1"/>
  <c r="DK34" i="1" a="1"/>
  <c r="DK34" i="1" s="1"/>
  <c r="DA34" i="1" a="1"/>
  <c r="DA34" i="1" s="1"/>
  <c r="CO34" i="1" a="1"/>
  <c r="CO34" i="1" s="1"/>
  <c r="CD34" i="1" a="1"/>
  <c r="CD34" i="1" s="1"/>
  <c r="DT34" i="1" a="1"/>
  <c r="DT34" i="1" s="1"/>
  <c r="DJ34" i="1" a="1"/>
  <c r="DJ34" i="1" s="1"/>
  <c r="CZ34" i="1" a="1"/>
  <c r="CZ34" i="1" s="1"/>
  <c r="CM34" i="1" a="1"/>
  <c r="CM34" i="1" s="1"/>
  <c r="CC34" i="1" a="1"/>
  <c r="CC34" i="1" s="1"/>
  <c r="DQ34" i="1" a="1"/>
  <c r="DQ34" i="1" s="1"/>
  <c r="DC34" i="1" a="1"/>
  <c r="DC34" i="1" s="1"/>
  <c r="CL34" i="1" a="1"/>
  <c r="CL34" i="1" s="1"/>
  <c r="BX34" i="1" a="1"/>
  <c r="BX34" i="1" s="1"/>
  <c r="DP34" i="1" a="1"/>
  <c r="DP34" i="1" s="1"/>
  <c r="DB34" i="1" a="1"/>
  <c r="DB34" i="1" s="1"/>
  <c r="CK34" i="1" a="1"/>
  <c r="CK34" i="1" s="1"/>
  <c r="BW34" i="1" a="1"/>
  <c r="BW34" i="1" s="1"/>
  <c r="CS34" i="1" a="1"/>
  <c r="CS34" i="1" s="1"/>
  <c r="DI34" i="1" a="1"/>
  <c r="DI34" i="1" s="1"/>
  <c r="CR34" i="1" a="1"/>
  <c r="CR34" i="1" s="1"/>
  <c r="DH34" i="1" a="1"/>
  <c r="DH34" i="1" s="1"/>
  <c r="CJ34" i="1" a="1"/>
  <c r="CJ34" i="1" s="1"/>
  <c r="DD34" i="1" a="1"/>
  <c r="DD34" i="1" s="1"/>
  <c r="CW34" i="1" a="1"/>
  <c r="CW34" i="1" s="1"/>
  <c r="CA34" i="1" a="1"/>
  <c r="CA34" i="1" s="1"/>
  <c r="CV34" i="1" a="1"/>
  <c r="CV34" i="1" s="1"/>
  <c r="CU34" i="1" a="1"/>
  <c r="CU34" i="1" s="1"/>
  <c r="DS34" i="1" a="1"/>
  <c r="DS34" i="1" s="1"/>
  <c r="CB34" i="1" a="1"/>
  <c r="CB34" i="1" s="1"/>
  <c r="CT34" i="1" a="1"/>
  <c r="CT34" i="1" s="1"/>
  <c r="CF34" i="1" a="1"/>
  <c r="CF34" i="1" s="1"/>
  <c r="CE34" i="1" a="1"/>
  <c r="CE34" i="1" s="1"/>
  <c r="DR34" i="1" a="1"/>
  <c r="DR34" i="1" s="1"/>
  <c r="DM34" i="1" a="1"/>
  <c r="DM34" i="1" s="1"/>
  <c r="DL34" i="1" a="1"/>
  <c r="DL34" i="1" s="1"/>
  <c r="CI34" i="1" a="1"/>
  <c r="CI34" i="1" s="1"/>
  <c r="DE34" i="1" a="1"/>
  <c r="DE34" i="1" s="1"/>
  <c r="BH29" i="1"/>
  <c r="AR29" i="1"/>
  <c r="AB29" i="1"/>
  <c r="L29" i="1"/>
  <c r="BG29" i="1"/>
  <c r="AQ29" i="1"/>
  <c r="AA29" i="1"/>
  <c r="K29" i="1"/>
  <c r="BF29" i="1"/>
  <c r="AP29" i="1"/>
  <c r="Z29" i="1"/>
  <c r="J29" i="1"/>
  <c r="BE29" i="1"/>
  <c r="BS29" i="1" s="1"/>
  <c r="AO29" i="1"/>
  <c r="Y29" i="1"/>
  <c r="I29" i="1"/>
  <c r="DW29" i="1"/>
  <c r="BP29" i="1"/>
  <c r="AV29" i="1"/>
  <c r="X29" i="1"/>
  <c r="D29" i="1"/>
  <c r="BO29" i="1"/>
  <c r="AU29" i="1"/>
  <c r="W29" i="1"/>
  <c r="BN29" i="1"/>
  <c r="AT29" i="1"/>
  <c r="V29" i="1"/>
  <c r="A29" i="1"/>
  <c r="BM29" i="1"/>
  <c r="AS29" i="1"/>
  <c r="U29" i="1"/>
  <c r="AN29" i="1"/>
  <c r="P29" i="1"/>
  <c r="AM29" i="1"/>
  <c r="O29" i="1"/>
  <c r="BR29" i="1"/>
  <c r="AL29" i="1"/>
  <c r="N29" i="1"/>
  <c r="BQ29" i="1"/>
  <c r="AK29" i="1"/>
  <c r="M29" i="1"/>
  <c r="BL29" i="1"/>
  <c r="AJ29" i="1"/>
  <c r="H29" i="1"/>
  <c r="AG29" i="1"/>
  <c r="AF29" i="1"/>
  <c r="AE29" i="1"/>
  <c r="BK29" i="1"/>
  <c r="AD29" i="1"/>
  <c r="BI29" i="1"/>
  <c r="G29" i="1"/>
  <c r="BD29" i="1"/>
  <c r="F29" i="1"/>
  <c r="BC29" i="1"/>
  <c r="E29" i="1"/>
  <c r="BB29" i="1"/>
  <c r="BA29" i="1"/>
  <c r="AZ29" i="1"/>
  <c r="AY29" i="1"/>
  <c r="Q29" i="1"/>
  <c r="AX29" i="1"/>
  <c r="AW29" i="1"/>
  <c r="AC29" i="1"/>
  <c r="AI29" i="1"/>
  <c r="BJ29" i="1"/>
  <c r="T29" i="1"/>
  <c r="R29" i="1"/>
  <c r="AH29" i="1"/>
  <c r="S29" i="1"/>
  <c r="DV31" i="1" a="1"/>
  <c r="DV31" i="1" s="1"/>
  <c r="DN31" i="1" a="1"/>
  <c r="DN31" i="1" s="1"/>
  <c r="DF31" i="1" a="1"/>
  <c r="DF31" i="1" s="1"/>
  <c r="CX31" i="1" a="1"/>
  <c r="CX31" i="1" s="1"/>
  <c r="CP31" i="1" a="1"/>
  <c r="CP31" i="1" s="1"/>
  <c r="CG31" i="1" a="1"/>
  <c r="CG31" i="1" s="1"/>
  <c r="BY31" i="1" a="1"/>
  <c r="BY31" i="1" s="1"/>
  <c r="DU31" i="1" a="1"/>
  <c r="DU31" i="1" s="1"/>
  <c r="DM31" i="1" a="1"/>
  <c r="DM31" i="1" s="1"/>
  <c r="DE31" i="1" a="1"/>
  <c r="DE31" i="1" s="1"/>
  <c r="CW31" i="1" a="1"/>
  <c r="CW31" i="1" s="1"/>
  <c r="CO31" i="1" a="1"/>
  <c r="CO31" i="1" s="1"/>
  <c r="CF31" i="1" a="1"/>
  <c r="CF31" i="1" s="1"/>
  <c r="BX31" i="1" a="1"/>
  <c r="BX31" i="1" s="1"/>
  <c r="DR31" i="1" a="1"/>
  <c r="DR31" i="1" s="1"/>
  <c r="DH31" i="1" a="1"/>
  <c r="DH31" i="1" s="1"/>
  <c r="CV31" i="1" a="1"/>
  <c r="CV31" i="1" s="1"/>
  <c r="CK31" i="1" a="1"/>
  <c r="CK31" i="1" s="1"/>
  <c r="CA31" i="1" a="1"/>
  <c r="CA31" i="1" s="1"/>
  <c r="DQ31" i="1" a="1"/>
  <c r="DQ31" i="1" s="1"/>
  <c r="DG31" i="1" a="1"/>
  <c r="DG31" i="1" s="1"/>
  <c r="CU31" i="1" a="1"/>
  <c r="CU31" i="1" s="1"/>
  <c r="CJ31" i="1" a="1"/>
  <c r="CJ31" i="1" s="1"/>
  <c r="BZ31" i="1" a="1"/>
  <c r="BZ31" i="1" s="1"/>
  <c r="DJ31" i="1" a="1"/>
  <c r="DJ31" i="1" s="1"/>
  <c r="CT31" i="1" a="1"/>
  <c r="CT31" i="1" s="1"/>
  <c r="CE31" i="1" a="1"/>
  <c r="CE31" i="1" s="1"/>
  <c r="DI31" i="1" a="1"/>
  <c r="DI31" i="1" s="1"/>
  <c r="CS31" i="1" a="1"/>
  <c r="CS31" i="1" s="1"/>
  <c r="CD31" i="1" a="1"/>
  <c r="CD31" i="1" s="1"/>
  <c r="DT31" i="1" a="1"/>
  <c r="DT31" i="1" s="1"/>
  <c r="DD31" i="1" a="1"/>
  <c r="DD31" i="1" s="1"/>
  <c r="CR31" i="1" a="1"/>
  <c r="CR31" i="1" s="1"/>
  <c r="CC31" i="1" a="1"/>
  <c r="CC31" i="1" s="1"/>
  <c r="CI31" i="1" a="1"/>
  <c r="CI31" i="1" s="1"/>
  <c r="DB31" i="1" a="1"/>
  <c r="DB31" i="1" s="1"/>
  <c r="CH31" i="1" a="1"/>
  <c r="CH31" i="1" s="1"/>
  <c r="DA31" i="1" a="1"/>
  <c r="DA31" i="1" s="1"/>
  <c r="DS31" i="1" a="1"/>
  <c r="DS31" i="1" s="1"/>
  <c r="CQ31" i="1" a="1"/>
  <c r="CQ31" i="1" s="1"/>
  <c r="DP31" i="1" a="1"/>
  <c r="DP31" i="1" s="1"/>
  <c r="CM31" i="1" a="1"/>
  <c r="CM31" i="1" s="1"/>
  <c r="DO31" i="1" a="1"/>
  <c r="DO31" i="1" s="1"/>
  <c r="CL31" i="1" a="1"/>
  <c r="CL31" i="1" s="1"/>
  <c r="DL31" i="1" a="1"/>
  <c r="DL31" i="1" s="1"/>
  <c r="DC31" i="1" a="1"/>
  <c r="DC31" i="1" s="1"/>
  <c r="CY31" i="1" a="1"/>
  <c r="CY31" i="1" s="1"/>
  <c r="DK31" i="1" a="1"/>
  <c r="DK31" i="1" s="1"/>
  <c r="CZ31" i="1" a="1"/>
  <c r="CZ31" i="1" s="1"/>
  <c r="CB31" i="1" a="1"/>
  <c r="CB31" i="1" s="1"/>
  <c r="BW31" i="1" a="1"/>
  <c r="BW31" i="1" s="1"/>
  <c r="BS25" i="1"/>
  <c r="BU34" i="1"/>
  <c r="DS25" i="1" a="1"/>
  <c r="DS25" i="1" s="1"/>
  <c r="DK25" i="1" a="1"/>
  <c r="DK25" i="1" s="1"/>
  <c r="DC25" i="1" a="1"/>
  <c r="DC25" i="1" s="1"/>
  <c r="CU25" i="1" a="1"/>
  <c r="CU25" i="1" s="1"/>
  <c r="CL25" i="1" a="1"/>
  <c r="CL25" i="1" s="1"/>
  <c r="CD25" i="1" a="1"/>
  <c r="CD25" i="1" s="1"/>
  <c r="DR25" i="1" a="1"/>
  <c r="DR25" i="1" s="1"/>
  <c r="DJ25" i="1" a="1"/>
  <c r="DJ25" i="1" s="1"/>
  <c r="DB25" i="1" a="1"/>
  <c r="DB25" i="1" s="1"/>
  <c r="CT25" i="1" a="1"/>
  <c r="CT25" i="1" s="1"/>
  <c r="CK25" i="1" a="1"/>
  <c r="CK25" i="1" s="1"/>
  <c r="CC25" i="1" a="1"/>
  <c r="CC25" i="1" s="1"/>
  <c r="DU25" i="1" a="1"/>
  <c r="DU25" i="1" s="1"/>
  <c r="DI25" i="1" a="1"/>
  <c r="DI25" i="1" s="1"/>
  <c r="CY25" i="1" a="1"/>
  <c r="CY25" i="1" s="1"/>
  <c r="CO25" i="1" a="1"/>
  <c r="CO25" i="1" s="1"/>
  <c r="CB25" i="1" a="1"/>
  <c r="CB25" i="1" s="1"/>
  <c r="DT25" i="1" a="1"/>
  <c r="DT25" i="1" s="1"/>
  <c r="DH25" i="1" a="1"/>
  <c r="DH25" i="1" s="1"/>
  <c r="CX25" i="1" a="1"/>
  <c r="CX25" i="1" s="1"/>
  <c r="CM25" i="1" a="1"/>
  <c r="CM25" i="1" s="1"/>
  <c r="CA25" i="1" a="1"/>
  <c r="CA25" i="1" s="1"/>
  <c r="DG25" i="1" a="1"/>
  <c r="DG25" i="1" s="1"/>
  <c r="CS25" i="1" a="1"/>
  <c r="CS25" i="1" s="1"/>
  <c r="CF25" i="1" a="1"/>
  <c r="CF25" i="1" s="1"/>
  <c r="DV25" i="1" a="1"/>
  <c r="DV25" i="1" s="1"/>
  <c r="DF25" i="1" a="1"/>
  <c r="DF25" i="1" s="1"/>
  <c r="CR25" i="1" a="1"/>
  <c r="CR25" i="1" s="1"/>
  <c r="CE25" i="1" a="1"/>
  <c r="CE25" i="1" s="1"/>
  <c r="DQ25" i="1" a="1"/>
  <c r="DQ25" i="1" s="1"/>
  <c r="DE25" i="1" a="1"/>
  <c r="DE25" i="1" s="1"/>
  <c r="CQ25" i="1" a="1"/>
  <c r="CQ25" i="1" s="1"/>
  <c r="BZ25" i="1" a="1"/>
  <c r="BZ25" i="1" s="1"/>
  <c r="BW25" i="1" a="1"/>
  <c r="BW25" i="1" s="1"/>
  <c r="DM25" i="1" a="1"/>
  <c r="DM25" i="1" s="1"/>
  <c r="CP25" i="1" a="1"/>
  <c r="CP25" i="1" s="1"/>
  <c r="DL25" i="1" a="1"/>
  <c r="DL25" i="1" s="1"/>
  <c r="CJ25" i="1" a="1"/>
  <c r="CJ25" i="1" s="1"/>
  <c r="DO25" i="1" a="1"/>
  <c r="DO25" i="1" s="1"/>
  <c r="CI25" i="1" a="1"/>
  <c r="CI25" i="1" s="1"/>
  <c r="DN25" i="1" a="1"/>
  <c r="DN25" i="1" s="1"/>
  <c r="CH25" i="1" a="1"/>
  <c r="CH25" i="1" s="1"/>
  <c r="CG25" i="1" a="1"/>
  <c r="CG25" i="1" s="1"/>
  <c r="DD25" i="1" a="1"/>
  <c r="DD25" i="1" s="1"/>
  <c r="DP25" i="1" a="1"/>
  <c r="DP25" i="1" s="1"/>
  <c r="CV25" i="1" a="1"/>
  <c r="CV25" i="1" s="1"/>
  <c r="CZ25" i="1" a="1"/>
  <c r="CZ25" i="1" s="1"/>
  <c r="CW25" i="1" a="1"/>
  <c r="CW25" i="1" s="1"/>
  <c r="BY25" i="1" a="1"/>
  <c r="BY25" i="1" s="1"/>
  <c r="BX25" i="1" a="1"/>
  <c r="BX25" i="1" s="1"/>
  <c r="DA25" i="1" a="1"/>
  <c r="DA25" i="1" s="1"/>
  <c r="BT28" i="1"/>
  <c r="BU28" i="1" s="1"/>
  <c r="DP35" i="1" l="1" a="1"/>
  <c r="DP35" i="1" s="1"/>
  <c r="DH35" i="1" a="1"/>
  <c r="DH35" i="1" s="1"/>
  <c r="CZ35" i="1" a="1"/>
  <c r="CZ35" i="1" s="1"/>
  <c r="CR35" i="1" a="1"/>
  <c r="CR35" i="1" s="1"/>
  <c r="CI35" i="1" a="1"/>
  <c r="CI35" i="1" s="1"/>
  <c r="CA35" i="1" a="1"/>
  <c r="CA35" i="1" s="1"/>
  <c r="DO35" i="1" a="1"/>
  <c r="DO35" i="1" s="1"/>
  <c r="DG35" i="1" a="1"/>
  <c r="DG35" i="1" s="1"/>
  <c r="CY35" i="1" a="1"/>
  <c r="CY35" i="1" s="1"/>
  <c r="CQ35" i="1" a="1"/>
  <c r="CQ35" i="1" s="1"/>
  <c r="CH35" i="1" a="1"/>
  <c r="CH35" i="1" s="1"/>
  <c r="BZ35" i="1" a="1"/>
  <c r="BZ35" i="1" s="1"/>
  <c r="DT35" i="1" a="1"/>
  <c r="DT35" i="1" s="1"/>
  <c r="DJ35" i="1" a="1"/>
  <c r="DJ35" i="1" s="1"/>
  <c r="CX35" i="1" a="1"/>
  <c r="CX35" i="1" s="1"/>
  <c r="CM35" i="1" a="1"/>
  <c r="CM35" i="1" s="1"/>
  <c r="CC35" i="1" a="1"/>
  <c r="CC35" i="1" s="1"/>
  <c r="DS35" i="1" a="1"/>
  <c r="DS35" i="1" s="1"/>
  <c r="DI35" i="1" a="1"/>
  <c r="DI35" i="1" s="1"/>
  <c r="CW35" i="1" a="1"/>
  <c r="CW35" i="1" s="1"/>
  <c r="CL35" i="1" a="1"/>
  <c r="CL35" i="1" s="1"/>
  <c r="CB35" i="1" a="1"/>
  <c r="CB35" i="1" s="1"/>
  <c r="DN35" i="1" a="1"/>
  <c r="DN35" i="1" s="1"/>
  <c r="DB35" i="1" a="1"/>
  <c r="DB35" i="1" s="1"/>
  <c r="CK35" i="1" a="1"/>
  <c r="CK35" i="1" s="1"/>
  <c r="BW35" i="1" a="1"/>
  <c r="BW35" i="1" s="1"/>
  <c r="DM35" i="1" a="1"/>
  <c r="DM35" i="1" s="1"/>
  <c r="DA35" i="1" a="1"/>
  <c r="DA35" i="1" s="1"/>
  <c r="CJ35" i="1" a="1"/>
  <c r="CJ35" i="1" s="1"/>
  <c r="DL35" i="1" a="1"/>
  <c r="DL35" i="1" s="1"/>
  <c r="CV35" i="1" a="1"/>
  <c r="CV35" i="1" s="1"/>
  <c r="CG35" i="1" a="1"/>
  <c r="CG35" i="1" s="1"/>
  <c r="DE35" i="1" a="1"/>
  <c r="DE35" i="1" s="1"/>
  <c r="DD35" i="1" a="1"/>
  <c r="DD35" i="1" s="1"/>
  <c r="CF35" i="1" a="1"/>
  <c r="CF35" i="1" s="1"/>
  <c r="DV35" i="1" a="1"/>
  <c r="DV35" i="1" s="1"/>
  <c r="DC35" i="1" a="1"/>
  <c r="DC35" i="1" s="1"/>
  <c r="CE35" i="1" a="1"/>
  <c r="CE35" i="1" s="1"/>
  <c r="DF35" i="1" a="1"/>
  <c r="DF35" i="1" s="1"/>
  <c r="BY35" i="1" a="1"/>
  <c r="BY35" i="1" s="1"/>
  <c r="BX35" i="1" a="1"/>
  <c r="BX35" i="1" s="1"/>
  <c r="CU35" i="1" a="1"/>
  <c r="CU35" i="1" s="1"/>
  <c r="CT35" i="1" a="1"/>
  <c r="CT35" i="1" s="1"/>
  <c r="CP35" i="1" a="1"/>
  <c r="CP35" i="1" s="1"/>
  <c r="CS35" i="1" a="1"/>
  <c r="CS35" i="1" s="1"/>
  <c r="DQ35" i="1" a="1"/>
  <c r="DQ35" i="1" s="1"/>
  <c r="CO35" i="1" a="1"/>
  <c r="CO35" i="1" s="1"/>
  <c r="DU35" i="1" a="1"/>
  <c r="DU35" i="1" s="1"/>
  <c r="CD35" i="1" a="1"/>
  <c r="CD35" i="1" s="1"/>
  <c r="DR35" i="1" a="1"/>
  <c r="DR35" i="1" s="1"/>
  <c r="DK35" i="1" a="1"/>
  <c r="DK35" i="1" s="1"/>
  <c r="BR39" i="1"/>
  <c r="BB39" i="1"/>
  <c r="AL39" i="1"/>
  <c r="V39" i="1"/>
  <c r="F39" i="1"/>
  <c r="BQ39" i="1"/>
  <c r="BA39" i="1"/>
  <c r="AK39" i="1"/>
  <c r="U39" i="1"/>
  <c r="E39" i="1"/>
  <c r="BP39" i="1"/>
  <c r="AZ39" i="1"/>
  <c r="AJ39" i="1"/>
  <c r="T39" i="1"/>
  <c r="D39" i="1"/>
  <c r="BO39" i="1"/>
  <c r="AY39" i="1"/>
  <c r="AI39" i="1"/>
  <c r="S39" i="1"/>
  <c r="BN39" i="1"/>
  <c r="AT39" i="1"/>
  <c r="Z39" i="1"/>
  <c r="A39" i="1"/>
  <c r="BM39" i="1"/>
  <c r="AS39" i="1"/>
  <c r="Y39" i="1"/>
  <c r="BL39" i="1"/>
  <c r="AR39" i="1"/>
  <c r="X39" i="1"/>
  <c r="BK39" i="1"/>
  <c r="AQ39" i="1"/>
  <c r="W39" i="1"/>
  <c r="BF39" i="1"/>
  <c r="AD39" i="1"/>
  <c r="BE39" i="1"/>
  <c r="AC39" i="1"/>
  <c r="BD39" i="1"/>
  <c r="AB39" i="1"/>
  <c r="BC39" i="1"/>
  <c r="AA39" i="1"/>
  <c r="AX39" i="1"/>
  <c r="R39" i="1"/>
  <c r="BJ39" i="1"/>
  <c r="P39" i="1"/>
  <c r="BI39" i="1"/>
  <c r="O39" i="1"/>
  <c r="BH39" i="1"/>
  <c r="N39" i="1"/>
  <c r="BG39" i="1"/>
  <c r="M39" i="1"/>
  <c r="C40" i="1"/>
  <c r="AW39" i="1"/>
  <c r="L39" i="1"/>
  <c r="AV39" i="1"/>
  <c r="K39" i="1"/>
  <c r="DW39" i="1"/>
  <c r="AU39" i="1"/>
  <c r="J39" i="1"/>
  <c r="AM39" i="1"/>
  <c r="AH39" i="1"/>
  <c r="AG39" i="1"/>
  <c r="AF39" i="1"/>
  <c r="AE39" i="1"/>
  <c r="Q39" i="1"/>
  <c r="I39" i="1"/>
  <c r="H39" i="1"/>
  <c r="G39" i="1"/>
  <c r="AO39" i="1"/>
  <c r="AP39" i="1"/>
  <c r="AN39" i="1"/>
  <c r="DV32" i="1" a="1"/>
  <c r="DV32" i="1" s="1"/>
  <c r="DN32" i="1" a="1"/>
  <c r="DN32" i="1" s="1"/>
  <c r="DF32" i="1" a="1"/>
  <c r="DF32" i="1" s="1"/>
  <c r="CX32" i="1" a="1"/>
  <c r="CX32" i="1" s="1"/>
  <c r="CP32" i="1" a="1"/>
  <c r="CP32" i="1" s="1"/>
  <c r="CG32" i="1" a="1"/>
  <c r="CG32" i="1" s="1"/>
  <c r="BY32" i="1" a="1"/>
  <c r="BY32" i="1" s="1"/>
  <c r="DU32" i="1" a="1"/>
  <c r="DU32" i="1" s="1"/>
  <c r="DM32" i="1" a="1"/>
  <c r="DM32" i="1" s="1"/>
  <c r="DE32" i="1" a="1"/>
  <c r="DE32" i="1" s="1"/>
  <c r="CW32" i="1" a="1"/>
  <c r="CW32" i="1" s="1"/>
  <c r="CO32" i="1" a="1"/>
  <c r="CO32" i="1" s="1"/>
  <c r="CF32" i="1" a="1"/>
  <c r="CF32" i="1" s="1"/>
  <c r="BX32" i="1" a="1"/>
  <c r="BX32" i="1" s="1"/>
  <c r="DP32" i="1" a="1"/>
  <c r="DP32" i="1" s="1"/>
  <c r="DD32" i="1" a="1"/>
  <c r="DD32" i="1" s="1"/>
  <c r="CT32" i="1" a="1"/>
  <c r="CT32" i="1" s="1"/>
  <c r="CI32" i="1" a="1"/>
  <c r="CI32" i="1" s="1"/>
  <c r="BW32" i="1" a="1"/>
  <c r="BW32" i="1" s="1"/>
  <c r="DO32" i="1" a="1"/>
  <c r="DO32" i="1" s="1"/>
  <c r="DC32" i="1" a="1"/>
  <c r="DC32" i="1" s="1"/>
  <c r="CS32" i="1" a="1"/>
  <c r="CS32" i="1" s="1"/>
  <c r="CH32" i="1" a="1"/>
  <c r="CH32" i="1" s="1"/>
  <c r="DT32" i="1" a="1"/>
  <c r="DT32" i="1" s="1"/>
  <c r="DH32" i="1" a="1"/>
  <c r="DH32" i="1" s="1"/>
  <c r="CR32" i="1" a="1"/>
  <c r="CR32" i="1" s="1"/>
  <c r="CC32" i="1" a="1"/>
  <c r="CC32" i="1" s="1"/>
  <c r="DS32" i="1" a="1"/>
  <c r="DS32" i="1" s="1"/>
  <c r="DG32" i="1" a="1"/>
  <c r="DG32" i="1" s="1"/>
  <c r="CQ32" i="1" a="1"/>
  <c r="CQ32" i="1" s="1"/>
  <c r="CB32" i="1" a="1"/>
  <c r="CB32" i="1" s="1"/>
  <c r="CZ32" i="1" a="1"/>
  <c r="CZ32" i="1" s="1"/>
  <c r="DR32" i="1" a="1"/>
  <c r="DR32" i="1" s="1"/>
  <c r="CD32" i="1" a="1"/>
  <c r="CD32" i="1" s="1"/>
  <c r="CY32" i="1" a="1"/>
  <c r="CY32" i="1" s="1"/>
  <c r="CA32" i="1" a="1"/>
  <c r="CA32" i="1" s="1"/>
  <c r="DQ32" i="1" a="1"/>
  <c r="DQ32" i="1" s="1"/>
  <c r="CV32" i="1" a="1"/>
  <c r="CV32" i="1" s="1"/>
  <c r="BZ32" i="1" a="1"/>
  <c r="BZ32" i="1" s="1"/>
  <c r="CU32" i="1" a="1"/>
  <c r="CU32" i="1" s="1"/>
  <c r="CM32" i="1" a="1"/>
  <c r="CM32" i="1" s="1"/>
  <c r="CL32" i="1" a="1"/>
  <c r="CL32" i="1" s="1"/>
  <c r="DL32" i="1" a="1"/>
  <c r="DL32" i="1" s="1"/>
  <c r="CJ32" i="1" a="1"/>
  <c r="CJ32" i="1" s="1"/>
  <c r="DJ32" i="1" a="1"/>
  <c r="DJ32" i="1" s="1"/>
  <c r="CK32" i="1" a="1"/>
  <c r="CK32" i="1" s="1"/>
  <c r="CE32" i="1" a="1"/>
  <c r="CE32" i="1" s="1"/>
  <c r="DI32" i="1" a="1"/>
  <c r="DI32" i="1" s="1"/>
  <c r="DA32" i="1" a="1"/>
  <c r="DA32" i="1" s="1"/>
  <c r="DK32" i="1" a="1"/>
  <c r="DK32" i="1" s="1"/>
  <c r="DB32" i="1" a="1"/>
  <c r="DB32" i="1" s="1"/>
  <c r="BT35" i="1"/>
  <c r="BU35" i="1" s="1"/>
  <c r="BT29" i="1"/>
  <c r="BU29" i="1" s="1"/>
  <c r="BE42" i="1"/>
  <c r="AO42" i="1"/>
  <c r="Y42" i="1"/>
  <c r="I42" i="1"/>
  <c r="BD42" i="1"/>
  <c r="AN42" i="1"/>
  <c r="X42" i="1"/>
  <c r="H42" i="1"/>
  <c r="BC42" i="1"/>
  <c r="AM42" i="1"/>
  <c r="W42" i="1"/>
  <c r="G42" i="1"/>
  <c r="BR42" i="1"/>
  <c r="BB42" i="1"/>
  <c r="AL42" i="1"/>
  <c r="V42" i="1"/>
  <c r="F42" i="1"/>
  <c r="BA42" i="1"/>
  <c r="AG42" i="1"/>
  <c r="M42" i="1"/>
  <c r="AZ42" i="1"/>
  <c r="AF42" i="1"/>
  <c r="L42" i="1"/>
  <c r="AY42" i="1"/>
  <c r="AE42" i="1"/>
  <c r="K42" i="1"/>
  <c r="C43" i="1"/>
  <c r="AX42" i="1"/>
  <c r="AD42" i="1"/>
  <c r="J42" i="1"/>
  <c r="BQ42" i="1"/>
  <c r="AW42" i="1"/>
  <c r="AC42" i="1"/>
  <c r="E42" i="1"/>
  <c r="BO42" i="1"/>
  <c r="AP42" i="1"/>
  <c r="D42" i="1"/>
  <c r="BN42" i="1"/>
  <c r="AK42" i="1"/>
  <c r="BM42" i="1"/>
  <c r="AJ42" i="1"/>
  <c r="A42" i="1"/>
  <c r="BL42" i="1"/>
  <c r="AI42" i="1"/>
  <c r="BK42" i="1"/>
  <c r="AH42" i="1"/>
  <c r="BH42" i="1"/>
  <c r="Q42" i="1"/>
  <c r="BG42" i="1"/>
  <c r="P42" i="1"/>
  <c r="BF42" i="1"/>
  <c r="O42" i="1"/>
  <c r="AV42" i="1"/>
  <c r="N42" i="1"/>
  <c r="AU42" i="1"/>
  <c r="DW42" i="1"/>
  <c r="AT42" i="1"/>
  <c r="AS42" i="1"/>
  <c r="BI42" i="1"/>
  <c r="AR42" i="1"/>
  <c r="AQ42" i="1"/>
  <c r="AB42" i="1"/>
  <c r="AA42" i="1"/>
  <c r="Z42" i="1"/>
  <c r="U42" i="1"/>
  <c r="T42" i="1"/>
  <c r="C46" i="1"/>
  <c r="S42" i="1"/>
  <c r="BP42" i="1"/>
  <c r="BJ42" i="1"/>
  <c r="R42" i="1"/>
  <c r="BU38" i="1"/>
  <c r="DW33" i="1"/>
  <c r="BL33" i="1"/>
  <c r="AV33" i="1"/>
  <c r="AF33" i="1"/>
  <c r="P33" i="1"/>
  <c r="BK33" i="1"/>
  <c r="AU33" i="1"/>
  <c r="AE33" i="1"/>
  <c r="O33" i="1"/>
  <c r="BJ33" i="1"/>
  <c r="AT33" i="1"/>
  <c r="AD33" i="1"/>
  <c r="N33" i="1"/>
  <c r="BI33" i="1"/>
  <c r="AS33" i="1"/>
  <c r="AC33" i="1"/>
  <c r="M33" i="1"/>
  <c r="AZ33" i="1"/>
  <c r="AB33" i="1"/>
  <c r="H33" i="1"/>
  <c r="AY33" i="1"/>
  <c r="AA33" i="1"/>
  <c r="G33" i="1"/>
  <c r="BR33" i="1"/>
  <c r="AX33" i="1"/>
  <c r="Z33" i="1"/>
  <c r="F33" i="1"/>
  <c r="BQ33" i="1"/>
  <c r="AW33" i="1"/>
  <c r="Y33" i="1"/>
  <c r="E33" i="1"/>
  <c r="BD33" i="1"/>
  <c r="X33" i="1"/>
  <c r="BC33" i="1"/>
  <c r="W33" i="1"/>
  <c r="BB33" i="1"/>
  <c r="V33" i="1"/>
  <c r="BA33" i="1"/>
  <c r="U33" i="1"/>
  <c r="AR33" i="1"/>
  <c r="T33" i="1"/>
  <c r="AL33" i="1"/>
  <c r="AK33" i="1"/>
  <c r="AJ33" i="1"/>
  <c r="BP33" i="1"/>
  <c r="AI33" i="1"/>
  <c r="BO33" i="1"/>
  <c r="AH33" i="1"/>
  <c r="BN33" i="1"/>
  <c r="K33" i="1"/>
  <c r="BM33" i="1"/>
  <c r="J33" i="1"/>
  <c r="BH33" i="1"/>
  <c r="I33" i="1"/>
  <c r="BG33" i="1"/>
  <c r="D33" i="1"/>
  <c r="BF33" i="1"/>
  <c r="BE33" i="1"/>
  <c r="A33" i="1"/>
  <c r="AQ33" i="1"/>
  <c r="AG33" i="1"/>
  <c r="S33" i="1"/>
  <c r="AP33" i="1"/>
  <c r="R33" i="1"/>
  <c r="AO33" i="1"/>
  <c r="Q33" i="1"/>
  <c r="AM33" i="1"/>
  <c r="L33" i="1"/>
  <c r="AN33" i="1"/>
  <c r="BS32" i="1"/>
  <c r="BT32" i="1" s="1"/>
  <c r="BU32" i="1" s="1"/>
  <c r="DQ38" i="1" a="1"/>
  <c r="DQ38" i="1" s="1"/>
  <c r="DI38" i="1" a="1"/>
  <c r="DI38" i="1" s="1"/>
  <c r="DA38" i="1" a="1"/>
  <c r="DA38" i="1" s="1"/>
  <c r="CS38" i="1" a="1"/>
  <c r="CS38" i="1" s="1"/>
  <c r="CJ38" i="1" a="1"/>
  <c r="CJ38" i="1" s="1"/>
  <c r="CB38" i="1" a="1"/>
  <c r="CB38" i="1" s="1"/>
  <c r="DP38" i="1" a="1"/>
  <c r="DP38" i="1" s="1"/>
  <c r="DH38" i="1" a="1"/>
  <c r="DH38" i="1" s="1"/>
  <c r="CZ38" i="1" a="1"/>
  <c r="CZ38" i="1" s="1"/>
  <c r="CR38" i="1" a="1"/>
  <c r="CR38" i="1" s="1"/>
  <c r="CI38" i="1" a="1"/>
  <c r="CI38" i="1" s="1"/>
  <c r="CA38" i="1" a="1"/>
  <c r="CA38" i="1" s="1"/>
  <c r="DM38" i="1" a="1"/>
  <c r="DM38" i="1" s="1"/>
  <c r="DC38" i="1" a="1"/>
  <c r="DC38" i="1" s="1"/>
  <c r="CQ38" i="1" a="1"/>
  <c r="CQ38" i="1" s="1"/>
  <c r="CF38" i="1" a="1"/>
  <c r="CF38" i="1" s="1"/>
  <c r="DV38" i="1" a="1"/>
  <c r="DV38" i="1" s="1"/>
  <c r="DL38" i="1" a="1"/>
  <c r="DL38" i="1" s="1"/>
  <c r="DB38" i="1" a="1"/>
  <c r="DB38" i="1" s="1"/>
  <c r="CP38" i="1" a="1"/>
  <c r="CP38" i="1" s="1"/>
  <c r="CE38" i="1" a="1"/>
  <c r="CE38" i="1" s="1"/>
  <c r="DU38" i="1" a="1"/>
  <c r="DU38" i="1" s="1"/>
  <c r="DG38" i="1" a="1"/>
  <c r="DG38" i="1" s="1"/>
  <c r="CU38" i="1" a="1"/>
  <c r="CU38" i="1" s="1"/>
  <c r="CD38" i="1" a="1"/>
  <c r="CD38" i="1" s="1"/>
  <c r="DT38" i="1" a="1"/>
  <c r="DT38" i="1" s="1"/>
  <c r="DF38" i="1" a="1"/>
  <c r="DF38" i="1" s="1"/>
  <c r="CT38" i="1" a="1"/>
  <c r="CT38" i="1" s="1"/>
  <c r="CC38" i="1" a="1"/>
  <c r="CC38" i="1" s="1"/>
  <c r="DN38" i="1" a="1"/>
  <c r="DN38" i="1" s="1"/>
  <c r="CO38" i="1" a="1"/>
  <c r="CO38" i="1" s="1"/>
  <c r="BW38" i="1" a="1"/>
  <c r="BW38" i="1" s="1"/>
  <c r="DK38" i="1" a="1"/>
  <c r="DK38" i="1" s="1"/>
  <c r="CM38" i="1" a="1"/>
  <c r="CM38" i="1" s="1"/>
  <c r="DJ38" i="1" a="1"/>
  <c r="DJ38" i="1" s="1"/>
  <c r="CL38" i="1" a="1"/>
  <c r="CL38" i="1" s="1"/>
  <c r="DE38" i="1" a="1"/>
  <c r="DE38" i="1" s="1"/>
  <c r="CK38" i="1" a="1"/>
  <c r="CK38" i="1" s="1"/>
  <c r="BX38" i="1" a="1"/>
  <c r="BX38" i="1" s="1"/>
  <c r="CY38" i="1" a="1"/>
  <c r="CY38" i="1" s="1"/>
  <c r="CX38" i="1" a="1"/>
  <c r="CX38" i="1" s="1"/>
  <c r="CW38" i="1" a="1"/>
  <c r="CW38" i="1" s="1"/>
  <c r="CV38" i="1" a="1"/>
  <c r="CV38" i="1" s="1"/>
  <c r="CH38" i="1" a="1"/>
  <c r="CH38" i="1" s="1"/>
  <c r="BZ38" i="1" a="1"/>
  <c r="BZ38" i="1" s="1"/>
  <c r="DS38" i="1" a="1"/>
  <c r="DS38" i="1" s="1"/>
  <c r="DR38" i="1" a="1"/>
  <c r="DR38" i="1" s="1"/>
  <c r="DO38" i="1" a="1"/>
  <c r="DO38" i="1" s="1"/>
  <c r="DD38" i="1" a="1"/>
  <c r="DD38" i="1" s="1"/>
  <c r="CG38" i="1" a="1"/>
  <c r="CG38" i="1" s="1"/>
  <c r="BY38" i="1" a="1"/>
  <c r="BY38" i="1" s="1"/>
  <c r="BO36" i="1"/>
  <c r="AY36" i="1"/>
  <c r="AI36" i="1"/>
  <c r="S36" i="1"/>
  <c r="C37" i="1"/>
  <c r="BN36" i="1"/>
  <c r="AX36" i="1"/>
  <c r="AH36" i="1"/>
  <c r="R36" i="1"/>
  <c r="A36" i="1"/>
  <c r="BM36" i="1"/>
  <c r="AW36" i="1"/>
  <c r="AG36" i="1"/>
  <c r="Q36" i="1"/>
  <c r="DW36" i="1"/>
  <c r="BL36" i="1"/>
  <c r="AV36" i="1"/>
  <c r="AF36" i="1"/>
  <c r="P36" i="1"/>
  <c r="BG36" i="1"/>
  <c r="AM36" i="1"/>
  <c r="O36" i="1"/>
  <c r="BF36" i="1"/>
  <c r="AL36" i="1"/>
  <c r="N36" i="1"/>
  <c r="BE36" i="1"/>
  <c r="BS36" i="1" s="1"/>
  <c r="AK36" i="1"/>
  <c r="M36" i="1"/>
  <c r="BD36" i="1"/>
  <c r="AJ36" i="1"/>
  <c r="L36" i="1"/>
  <c r="AQ36" i="1"/>
  <c r="K36" i="1"/>
  <c r="BR36" i="1"/>
  <c r="AP36" i="1"/>
  <c r="J36" i="1"/>
  <c r="BQ36" i="1"/>
  <c r="AO36" i="1"/>
  <c r="I36" i="1"/>
  <c r="BP36" i="1"/>
  <c r="AN36" i="1"/>
  <c r="H36" i="1"/>
  <c r="BK36" i="1"/>
  <c r="AE36" i="1"/>
  <c r="G36" i="1"/>
  <c r="AZ36" i="1"/>
  <c r="F36" i="1"/>
  <c r="AU36" i="1"/>
  <c r="E36" i="1"/>
  <c r="AT36" i="1"/>
  <c r="D36" i="1"/>
  <c r="AS36" i="1"/>
  <c r="AR36" i="1"/>
  <c r="Z36" i="1"/>
  <c r="Y36" i="1"/>
  <c r="X36" i="1"/>
  <c r="W36" i="1"/>
  <c r="V36" i="1"/>
  <c r="U36" i="1"/>
  <c r="BJ36" i="1"/>
  <c r="T36" i="1"/>
  <c r="AD36" i="1"/>
  <c r="BC36" i="1"/>
  <c r="AC36" i="1"/>
  <c r="AB36" i="1"/>
  <c r="BB36" i="1"/>
  <c r="AA36" i="1"/>
  <c r="BH36" i="1"/>
  <c r="BA36" i="1"/>
  <c r="BI36" i="1"/>
  <c r="BS35" i="1"/>
  <c r="DU29" i="1" a="1"/>
  <c r="DU29" i="1" s="1"/>
  <c r="DM29" i="1" a="1"/>
  <c r="DM29" i="1" s="1"/>
  <c r="DE29" i="1" a="1"/>
  <c r="DE29" i="1" s="1"/>
  <c r="CW29" i="1" a="1"/>
  <c r="CW29" i="1" s="1"/>
  <c r="CO29" i="1" a="1"/>
  <c r="CO29" i="1" s="1"/>
  <c r="CF29" i="1" a="1"/>
  <c r="CF29" i="1" s="1"/>
  <c r="BX29" i="1" a="1"/>
  <c r="BX29" i="1" s="1"/>
  <c r="DT29" i="1" a="1"/>
  <c r="DT29" i="1" s="1"/>
  <c r="DL29" i="1" a="1"/>
  <c r="DL29" i="1" s="1"/>
  <c r="DD29" i="1" a="1"/>
  <c r="DD29" i="1" s="1"/>
  <c r="CV29" i="1" a="1"/>
  <c r="CV29" i="1" s="1"/>
  <c r="CM29" i="1" a="1"/>
  <c r="CM29" i="1" s="1"/>
  <c r="CE29" i="1" a="1"/>
  <c r="CE29" i="1" s="1"/>
  <c r="BW29" i="1" a="1"/>
  <c r="BW29" i="1" s="1"/>
  <c r="DK29" i="1" a="1"/>
  <c r="DK29" i="1" s="1"/>
  <c r="DA29" i="1" a="1"/>
  <c r="DA29" i="1" s="1"/>
  <c r="CQ29" i="1" a="1"/>
  <c r="CQ29" i="1" s="1"/>
  <c r="CD29" i="1" a="1"/>
  <c r="CD29" i="1" s="1"/>
  <c r="DV29" i="1" a="1"/>
  <c r="DV29" i="1" s="1"/>
  <c r="DJ29" i="1" a="1"/>
  <c r="DJ29" i="1" s="1"/>
  <c r="CZ29" i="1" a="1"/>
  <c r="CZ29" i="1" s="1"/>
  <c r="CP29" i="1" a="1"/>
  <c r="CP29" i="1" s="1"/>
  <c r="CC29" i="1" a="1"/>
  <c r="CC29" i="1" s="1"/>
  <c r="DO29" i="1" a="1"/>
  <c r="DO29" i="1" s="1"/>
  <c r="CY29" i="1" a="1"/>
  <c r="CY29" i="1" s="1"/>
  <c r="CJ29" i="1" a="1"/>
  <c r="CJ29" i="1" s="1"/>
  <c r="DN29" i="1" a="1"/>
  <c r="DN29" i="1" s="1"/>
  <c r="CX29" i="1" a="1"/>
  <c r="CX29" i="1" s="1"/>
  <c r="CI29" i="1" a="1"/>
  <c r="CI29" i="1" s="1"/>
  <c r="DI29" i="1" a="1"/>
  <c r="DI29" i="1" s="1"/>
  <c r="CU29" i="1" a="1"/>
  <c r="CU29" i="1" s="1"/>
  <c r="CH29" i="1" a="1"/>
  <c r="CH29" i="1" s="1"/>
  <c r="DP29" i="1" a="1"/>
  <c r="DP29" i="1" s="1"/>
  <c r="CS29" i="1" a="1"/>
  <c r="CS29" i="1" s="1"/>
  <c r="BY29" i="1" a="1"/>
  <c r="BY29" i="1" s="1"/>
  <c r="CR29" i="1" a="1"/>
  <c r="CR29" i="1" s="1"/>
  <c r="DH29" i="1" a="1"/>
  <c r="DH29" i="1" s="1"/>
  <c r="DS29" i="1" a="1"/>
  <c r="DS29" i="1" s="1"/>
  <c r="CT29" i="1" a="1"/>
  <c r="CT29" i="1" s="1"/>
  <c r="DR29" i="1" a="1"/>
  <c r="DR29" i="1" s="1"/>
  <c r="CL29" i="1" a="1"/>
  <c r="CL29" i="1" s="1"/>
  <c r="DQ29" i="1" a="1"/>
  <c r="DQ29" i="1" s="1"/>
  <c r="CK29" i="1" a="1"/>
  <c r="CK29" i="1" s="1"/>
  <c r="CG29" i="1" a="1"/>
  <c r="CG29" i="1" s="1"/>
  <c r="DG29" i="1" a="1"/>
  <c r="DG29" i="1" s="1"/>
  <c r="CB29" i="1" a="1"/>
  <c r="CB29" i="1" s="1"/>
  <c r="BZ29" i="1" a="1"/>
  <c r="BZ29" i="1" s="1"/>
  <c r="DF29" i="1" a="1"/>
  <c r="DF29" i="1" s="1"/>
  <c r="DB29" i="1" a="1"/>
  <c r="DB29" i="1" s="1"/>
  <c r="CA29" i="1" a="1"/>
  <c r="CA29" i="1" s="1"/>
  <c r="DC29" i="1" a="1"/>
  <c r="DC29" i="1" s="1"/>
  <c r="BC40" i="1" l="1"/>
  <c r="AM40" i="1"/>
  <c r="W40" i="1"/>
  <c r="G40" i="1"/>
  <c r="BR40" i="1"/>
  <c r="BB40" i="1"/>
  <c r="AL40" i="1"/>
  <c r="V40" i="1"/>
  <c r="F40" i="1"/>
  <c r="BQ40" i="1"/>
  <c r="BA40" i="1"/>
  <c r="AK40" i="1"/>
  <c r="U40" i="1"/>
  <c r="E40" i="1"/>
  <c r="BP40" i="1"/>
  <c r="AZ40" i="1"/>
  <c r="AJ40" i="1"/>
  <c r="T40" i="1"/>
  <c r="D40" i="1"/>
  <c r="BK40" i="1"/>
  <c r="AQ40" i="1"/>
  <c r="S40" i="1"/>
  <c r="BJ40" i="1"/>
  <c r="AP40" i="1"/>
  <c r="R40" i="1"/>
  <c r="BI40" i="1"/>
  <c r="AO40" i="1"/>
  <c r="Q40" i="1"/>
  <c r="BH40" i="1"/>
  <c r="AN40" i="1"/>
  <c r="P40" i="1"/>
  <c r="AY40" i="1"/>
  <c r="AA40" i="1"/>
  <c r="AX40" i="1"/>
  <c r="Z40" i="1"/>
  <c r="AW40" i="1"/>
  <c r="Y40" i="1"/>
  <c r="AV40" i="1"/>
  <c r="X40" i="1"/>
  <c r="AU40" i="1"/>
  <c r="O40" i="1"/>
  <c r="BE40" i="1"/>
  <c r="K40" i="1"/>
  <c r="BD40" i="1"/>
  <c r="J40" i="1"/>
  <c r="C41" i="1"/>
  <c r="AT40" i="1"/>
  <c r="I40" i="1"/>
  <c r="AS40" i="1"/>
  <c r="H40" i="1"/>
  <c r="DW40" i="1"/>
  <c r="AR40" i="1"/>
  <c r="AI40" i="1"/>
  <c r="A40" i="1"/>
  <c r="AH40" i="1"/>
  <c r="M40" i="1"/>
  <c r="L40" i="1"/>
  <c r="BO40" i="1"/>
  <c r="BN40" i="1"/>
  <c r="BM40" i="1"/>
  <c r="BL40" i="1"/>
  <c r="BG40" i="1"/>
  <c r="AD40" i="1"/>
  <c r="BF40" i="1"/>
  <c r="AF40" i="1"/>
  <c r="AC40" i="1"/>
  <c r="AG40" i="1"/>
  <c r="N40" i="1"/>
  <c r="AE40" i="1"/>
  <c r="AB40" i="1"/>
  <c r="BS39" i="1"/>
  <c r="BT39" i="1" s="1"/>
  <c r="BU39" i="1" s="1"/>
  <c r="DR39" i="1" a="1"/>
  <c r="DR39" i="1" s="1"/>
  <c r="DJ39" i="1" a="1"/>
  <c r="DJ39" i="1" s="1"/>
  <c r="DB39" i="1" a="1"/>
  <c r="DB39" i="1" s="1"/>
  <c r="CT39" i="1" a="1"/>
  <c r="CT39" i="1" s="1"/>
  <c r="CK39" i="1" a="1"/>
  <c r="CK39" i="1" s="1"/>
  <c r="CC39" i="1" a="1"/>
  <c r="CC39" i="1" s="1"/>
  <c r="DQ39" i="1" a="1"/>
  <c r="DQ39" i="1" s="1"/>
  <c r="DI39" i="1" a="1"/>
  <c r="DI39" i="1" s="1"/>
  <c r="DA39" i="1" a="1"/>
  <c r="DA39" i="1" s="1"/>
  <c r="CS39" i="1" a="1"/>
  <c r="CS39" i="1" s="1"/>
  <c r="CJ39" i="1" a="1"/>
  <c r="CJ39" i="1" s="1"/>
  <c r="CB39" i="1" a="1"/>
  <c r="CB39" i="1" s="1"/>
  <c r="DV39" i="1" a="1"/>
  <c r="DV39" i="1" s="1"/>
  <c r="DL39" i="1" a="1"/>
  <c r="DL39" i="1" s="1"/>
  <c r="CZ39" i="1" a="1"/>
  <c r="CZ39" i="1" s="1"/>
  <c r="CP39" i="1" a="1"/>
  <c r="CP39" i="1" s="1"/>
  <c r="CE39" i="1" a="1"/>
  <c r="CE39" i="1" s="1"/>
  <c r="DU39" i="1" a="1"/>
  <c r="DU39" i="1" s="1"/>
  <c r="DK39" i="1" a="1"/>
  <c r="DK39" i="1" s="1"/>
  <c r="CY39" i="1" a="1"/>
  <c r="CY39" i="1" s="1"/>
  <c r="CO39" i="1" a="1"/>
  <c r="CO39" i="1" s="1"/>
  <c r="CD39" i="1" a="1"/>
  <c r="CD39" i="1" s="1"/>
  <c r="DT39" i="1" a="1"/>
  <c r="DT39" i="1" s="1"/>
  <c r="DF39" i="1" a="1"/>
  <c r="DF39" i="1" s="1"/>
  <c r="CR39" i="1" a="1"/>
  <c r="CR39" i="1" s="1"/>
  <c r="CA39" i="1" a="1"/>
  <c r="CA39" i="1" s="1"/>
  <c r="DS39" i="1" a="1"/>
  <c r="DS39" i="1" s="1"/>
  <c r="DE39" i="1" a="1"/>
  <c r="DE39" i="1" s="1"/>
  <c r="CQ39" i="1" a="1"/>
  <c r="CQ39" i="1" s="1"/>
  <c r="BZ39" i="1" a="1"/>
  <c r="BZ39" i="1" s="1"/>
  <c r="DP39" i="1" a="1"/>
  <c r="DP39" i="1" s="1"/>
  <c r="DD39" i="1" a="1"/>
  <c r="DD39" i="1" s="1"/>
  <c r="CM39" i="1" a="1"/>
  <c r="CM39" i="1" s="1"/>
  <c r="BY39" i="1" a="1"/>
  <c r="BY39" i="1" s="1"/>
  <c r="DG39" i="1" a="1"/>
  <c r="DG39" i="1" s="1"/>
  <c r="CI39" i="1" a="1"/>
  <c r="CI39" i="1" s="1"/>
  <c r="CH39" i="1" a="1"/>
  <c r="CH39" i="1" s="1"/>
  <c r="DC39" i="1" a="1"/>
  <c r="DC39" i="1" s="1"/>
  <c r="CG39" i="1" a="1"/>
  <c r="CG39" i="1" s="1"/>
  <c r="CX39" i="1" a="1"/>
  <c r="CX39" i="1" s="1"/>
  <c r="CU39" i="1" a="1"/>
  <c r="CU39" i="1" s="1"/>
  <c r="CL39" i="1" a="1"/>
  <c r="CL39" i="1" s="1"/>
  <c r="DO39" i="1" a="1"/>
  <c r="DO39" i="1" s="1"/>
  <c r="CF39" i="1" a="1"/>
  <c r="CF39" i="1" s="1"/>
  <c r="DN39" i="1" a="1"/>
  <c r="DN39" i="1" s="1"/>
  <c r="BX39" i="1" a="1"/>
  <c r="BX39" i="1" s="1"/>
  <c r="DM39" i="1" a="1"/>
  <c r="DM39" i="1" s="1"/>
  <c r="DH39" i="1" a="1"/>
  <c r="DH39" i="1" s="1"/>
  <c r="BW39" i="1" a="1"/>
  <c r="BW39" i="1" s="1"/>
  <c r="CW39" i="1" a="1"/>
  <c r="CW39" i="1" s="1"/>
  <c r="CV39" i="1" a="1"/>
  <c r="CV39" i="1" s="1"/>
  <c r="BP37" i="1"/>
  <c r="AZ37" i="1"/>
  <c r="AJ37" i="1"/>
  <c r="T37" i="1"/>
  <c r="D37" i="1"/>
  <c r="BO37" i="1"/>
  <c r="AY37" i="1"/>
  <c r="AI37" i="1"/>
  <c r="S37" i="1"/>
  <c r="BN37" i="1"/>
  <c r="AX37" i="1"/>
  <c r="AH37" i="1"/>
  <c r="R37" i="1"/>
  <c r="A37" i="1"/>
  <c r="BM37" i="1"/>
  <c r="AW37" i="1"/>
  <c r="AG37" i="1"/>
  <c r="Q37" i="1"/>
  <c r="BD37" i="1"/>
  <c r="AF37" i="1"/>
  <c r="L37" i="1"/>
  <c r="BC37" i="1"/>
  <c r="AE37" i="1"/>
  <c r="K37" i="1"/>
  <c r="BB37" i="1"/>
  <c r="AD37" i="1"/>
  <c r="J37" i="1"/>
  <c r="BA37" i="1"/>
  <c r="AC37" i="1"/>
  <c r="I37" i="1"/>
  <c r="DW37" i="1"/>
  <c r="BL37" i="1"/>
  <c r="AN37" i="1"/>
  <c r="H37" i="1"/>
  <c r="BK37" i="1"/>
  <c r="AM37" i="1"/>
  <c r="G37" i="1"/>
  <c r="BJ37" i="1"/>
  <c r="AL37" i="1"/>
  <c r="F37" i="1"/>
  <c r="BI37" i="1"/>
  <c r="AK37" i="1"/>
  <c r="E37" i="1"/>
  <c r="BH37" i="1"/>
  <c r="AB37" i="1"/>
  <c r="AQ37" i="1"/>
  <c r="AP37" i="1"/>
  <c r="AO37" i="1"/>
  <c r="AA37" i="1"/>
  <c r="Z37" i="1"/>
  <c r="Y37" i="1"/>
  <c r="X37" i="1"/>
  <c r="W37" i="1"/>
  <c r="V37" i="1"/>
  <c r="U37" i="1"/>
  <c r="P37" i="1"/>
  <c r="BR37" i="1"/>
  <c r="O37" i="1"/>
  <c r="BQ37" i="1"/>
  <c r="AT37" i="1"/>
  <c r="BG37" i="1"/>
  <c r="AS37" i="1"/>
  <c r="AR37" i="1"/>
  <c r="N37" i="1"/>
  <c r="BF37" i="1"/>
  <c r="M37" i="1"/>
  <c r="BE37" i="1"/>
  <c r="BS37" i="1" s="1"/>
  <c r="AU37" i="1"/>
  <c r="AV37" i="1"/>
  <c r="BS42" i="1"/>
  <c r="DS42" i="1" a="1"/>
  <c r="DS42" i="1" s="1"/>
  <c r="DK42" i="1" a="1"/>
  <c r="DK42" i="1" s="1"/>
  <c r="DC42" i="1" a="1"/>
  <c r="DC42" i="1" s="1"/>
  <c r="CU42" i="1" a="1"/>
  <c r="CU42" i="1" s="1"/>
  <c r="CL42" i="1" a="1"/>
  <c r="CL42" i="1" s="1"/>
  <c r="CD42" i="1" a="1"/>
  <c r="CD42" i="1" s="1"/>
  <c r="DR42" i="1" a="1"/>
  <c r="DR42" i="1" s="1"/>
  <c r="DJ42" i="1" a="1"/>
  <c r="DJ42" i="1" s="1"/>
  <c r="DB42" i="1" a="1"/>
  <c r="DB42" i="1" s="1"/>
  <c r="CT42" i="1" a="1"/>
  <c r="CT42" i="1" s="1"/>
  <c r="CK42" i="1" a="1"/>
  <c r="CK42" i="1" s="1"/>
  <c r="CC42" i="1" a="1"/>
  <c r="CC42" i="1" s="1"/>
  <c r="DO42" i="1" a="1"/>
  <c r="DO42" i="1" s="1"/>
  <c r="DE42" i="1" a="1"/>
  <c r="DE42" i="1" s="1"/>
  <c r="CS42" i="1" a="1"/>
  <c r="CS42" i="1" s="1"/>
  <c r="CH42" i="1" a="1"/>
  <c r="CH42" i="1" s="1"/>
  <c r="BX42" i="1" a="1"/>
  <c r="BX42" i="1" s="1"/>
  <c r="DN42" i="1" a="1"/>
  <c r="DN42" i="1" s="1"/>
  <c r="DD42" i="1" a="1"/>
  <c r="DD42" i="1" s="1"/>
  <c r="CR42" i="1" a="1"/>
  <c r="CR42" i="1" s="1"/>
  <c r="CG42" i="1" a="1"/>
  <c r="CG42" i="1" s="1"/>
  <c r="BW42" i="1" a="1"/>
  <c r="BW42" i="1" s="1"/>
  <c r="DQ42" i="1" a="1"/>
  <c r="DQ42" i="1" s="1"/>
  <c r="CZ42" i="1" a="1"/>
  <c r="CZ42" i="1" s="1"/>
  <c r="CJ42" i="1" a="1"/>
  <c r="CJ42" i="1" s="1"/>
  <c r="DP42" i="1" a="1"/>
  <c r="DP42" i="1" s="1"/>
  <c r="CY42" i="1" a="1"/>
  <c r="CY42" i="1" s="1"/>
  <c r="DM42" i="1" a="1"/>
  <c r="DM42" i="1" s="1"/>
  <c r="CI42" i="1" a="1"/>
  <c r="CI42" i="1" s="1"/>
  <c r="CX42" i="1" a="1"/>
  <c r="CX42" i="1" s="1"/>
  <c r="CF42" i="1" a="1"/>
  <c r="CF42" i="1" s="1"/>
  <c r="CO42" i="1" a="1"/>
  <c r="CO42" i="1" s="1"/>
  <c r="DH42" i="1" a="1"/>
  <c r="DH42" i="1" s="1"/>
  <c r="CM42" i="1" a="1"/>
  <c r="CM42" i="1" s="1"/>
  <c r="DG42" i="1" a="1"/>
  <c r="DG42" i="1" s="1"/>
  <c r="CE42" i="1" a="1"/>
  <c r="CE42" i="1" s="1"/>
  <c r="DF42" i="1" a="1"/>
  <c r="DF42" i="1" s="1"/>
  <c r="DA42" i="1" a="1"/>
  <c r="DA42" i="1" s="1"/>
  <c r="CB42" i="1" a="1"/>
  <c r="CB42" i="1" s="1"/>
  <c r="CW42" i="1" a="1"/>
  <c r="CW42" i="1" s="1"/>
  <c r="CV42" i="1" a="1"/>
  <c r="CV42" i="1" s="1"/>
  <c r="CQ42" i="1" a="1"/>
  <c r="CQ42" i="1" s="1"/>
  <c r="DV42" i="1" a="1"/>
  <c r="DV42" i="1" s="1"/>
  <c r="CP42" i="1" a="1"/>
  <c r="CP42" i="1" s="1"/>
  <c r="DU42" i="1" a="1"/>
  <c r="DU42" i="1" s="1"/>
  <c r="CA42" i="1" a="1"/>
  <c r="CA42" i="1" s="1"/>
  <c r="DL42" i="1" a="1"/>
  <c r="DL42" i="1" s="1"/>
  <c r="DI42" i="1" a="1"/>
  <c r="DI42" i="1" s="1"/>
  <c r="DT42" i="1" a="1"/>
  <c r="DT42" i="1" s="1"/>
  <c r="BZ42" i="1" a="1"/>
  <c r="BZ42" i="1" s="1"/>
  <c r="BY42" i="1" a="1"/>
  <c r="BY42" i="1" s="1"/>
  <c r="BT36" i="1"/>
  <c r="BU36" i="1"/>
  <c r="DO33" i="1" a="1"/>
  <c r="DO33" i="1" s="1"/>
  <c r="DG33" i="1" a="1"/>
  <c r="DG33" i="1" s="1"/>
  <c r="CY33" i="1" a="1"/>
  <c r="CY33" i="1" s="1"/>
  <c r="CQ33" i="1" a="1"/>
  <c r="CQ33" i="1" s="1"/>
  <c r="CH33" i="1" a="1"/>
  <c r="CH33" i="1" s="1"/>
  <c r="BZ33" i="1" a="1"/>
  <c r="BZ33" i="1" s="1"/>
  <c r="DV33" i="1" a="1"/>
  <c r="DV33" i="1" s="1"/>
  <c r="DN33" i="1" a="1"/>
  <c r="DN33" i="1" s="1"/>
  <c r="DF33" i="1" a="1"/>
  <c r="DF33" i="1" s="1"/>
  <c r="CX33" i="1" a="1"/>
  <c r="CX33" i="1" s="1"/>
  <c r="CP33" i="1" a="1"/>
  <c r="CP33" i="1" s="1"/>
  <c r="CG33" i="1" a="1"/>
  <c r="CG33" i="1" s="1"/>
  <c r="BY33" i="1" a="1"/>
  <c r="BY33" i="1" s="1"/>
  <c r="DM33" i="1" a="1"/>
  <c r="DM33" i="1" s="1"/>
  <c r="DC33" i="1" a="1"/>
  <c r="DC33" i="1" s="1"/>
  <c r="CS33" i="1" a="1"/>
  <c r="CS33" i="1" s="1"/>
  <c r="CF33" i="1" a="1"/>
  <c r="CF33" i="1" s="1"/>
  <c r="DL33" i="1" a="1"/>
  <c r="DL33" i="1" s="1"/>
  <c r="DB33" i="1" a="1"/>
  <c r="DB33" i="1" s="1"/>
  <c r="CR33" i="1" a="1"/>
  <c r="CR33" i="1" s="1"/>
  <c r="CE33" i="1" a="1"/>
  <c r="CE33" i="1" s="1"/>
  <c r="DS33" i="1" a="1"/>
  <c r="DS33" i="1" s="1"/>
  <c r="DE33" i="1" a="1"/>
  <c r="DE33" i="1" s="1"/>
  <c r="CO33" i="1" a="1"/>
  <c r="CO33" i="1" s="1"/>
  <c r="CB33" i="1" a="1"/>
  <c r="CB33" i="1" s="1"/>
  <c r="DR33" i="1" a="1"/>
  <c r="DR33" i="1" s="1"/>
  <c r="DD33" i="1" a="1"/>
  <c r="DD33" i="1" s="1"/>
  <c r="CM33" i="1" a="1"/>
  <c r="CM33" i="1" s="1"/>
  <c r="CA33" i="1" a="1"/>
  <c r="CA33" i="1" s="1"/>
  <c r="DQ33" i="1" a="1"/>
  <c r="DQ33" i="1" s="1"/>
  <c r="DA33" i="1" a="1"/>
  <c r="DA33" i="1" s="1"/>
  <c r="CL33" i="1" a="1"/>
  <c r="CL33" i="1" s="1"/>
  <c r="BX33" i="1" a="1"/>
  <c r="BX33" i="1" s="1"/>
  <c r="DP33" i="1" a="1"/>
  <c r="DP33" i="1" s="1"/>
  <c r="CU33" i="1" a="1"/>
  <c r="CU33" i="1" s="1"/>
  <c r="BW33" i="1" a="1"/>
  <c r="BW33" i="1" s="1"/>
  <c r="DK33" i="1" a="1"/>
  <c r="DK33" i="1" s="1"/>
  <c r="CT33" i="1" a="1"/>
  <c r="CT33" i="1" s="1"/>
  <c r="DJ33" i="1" a="1"/>
  <c r="DJ33" i="1" s="1"/>
  <c r="CZ33" i="1" a="1"/>
  <c r="CZ33" i="1" s="1"/>
  <c r="CW33" i="1" a="1"/>
  <c r="CW33" i="1" s="1"/>
  <c r="CV33" i="1" a="1"/>
  <c r="CV33" i="1" s="1"/>
  <c r="DU33" i="1" a="1"/>
  <c r="DU33" i="1" s="1"/>
  <c r="CK33" i="1" a="1"/>
  <c r="CK33" i="1" s="1"/>
  <c r="DH33" i="1" a="1"/>
  <c r="DH33" i="1" s="1"/>
  <c r="CD33" i="1" a="1"/>
  <c r="CD33" i="1" s="1"/>
  <c r="DT33" i="1" a="1"/>
  <c r="DT33" i="1" s="1"/>
  <c r="CJ33" i="1" a="1"/>
  <c r="CJ33" i="1" s="1"/>
  <c r="CI33" i="1" a="1"/>
  <c r="CI33" i="1" s="1"/>
  <c r="CC33" i="1" a="1"/>
  <c r="CC33" i="1" s="1"/>
  <c r="DI33" i="1" a="1"/>
  <c r="DI33" i="1" s="1"/>
  <c r="BI46" i="1"/>
  <c r="AS46" i="1"/>
  <c r="AC46" i="1"/>
  <c r="M46" i="1"/>
  <c r="BH46" i="1"/>
  <c r="AR46" i="1"/>
  <c r="AB46" i="1"/>
  <c r="L46" i="1"/>
  <c r="BG46" i="1"/>
  <c r="AQ46" i="1"/>
  <c r="AA46" i="1"/>
  <c r="K46" i="1"/>
  <c r="BF46" i="1"/>
  <c r="AP46" i="1"/>
  <c r="Z46" i="1"/>
  <c r="J46" i="1"/>
  <c r="BE46" i="1"/>
  <c r="BS46" i="1" s="1"/>
  <c r="AK46" i="1"/>
  <c r="Q46" i="1"/>
  <c r="BD46" i="1"/>
  <c r="AJ46" i="1"/>
  <c r="P46" i="1"/>
  <c r="BC46" i="1"/>
  <c r="AI46" i="1"/>
  <c r="O46" i="1"/>
  <c r="BB46" i="1"/>
  <c r="AH46" i="1"/>
  <c r="N46" i="1"/>
  <c r="BA46" i="1"/>
  <c r="AG46" i="1"/>
  <c r="I46" i="1"/>
  <c r="AY46" i="1"/>
  <c r="V46" i="1"/>
  <c r="DW46" i="1"/>
  <c r="AX46" i="1"/>
  <c r="U46" i="1"/>
  <c r="AW46" i="1"/>
  <c r="T46" i="1"/>
  <c r="C50" i="1"/>
  <c r="AV46" i="1"/>
  <c r="S46" i="1"/>
  <c r="AU46" i="1"/>
  <c r="R46" i="1"/>
  <c r="AL46" i="1"/>
  <c r="AF46" i="1"/>
  <c r="BR46" i="1"/>
  <c r="AE46" i="1"/>
  <c r="BQ46" i="1"/>
  <c r="AD46" i="1"/>
  <c r="BP46" i="1"/>
  <c r="Y46" i="1"/>
  <c r="BO46" i="1"/>
  <c r="X46" i="1"/>
  <c r="BN46" i="1"/>
  <c r="W46" i="1"/>
  <c r="A46" i="1"/>
  <c r="BM46" i="1"/>
  <c r="BL46" i="1"/>
  <c r="BK46" i="1"/>
  <c r="BJ46" i="1"/>
  <c r="AZ46" i="1"/>
  <c r="AT46" i="1"/>
  <c r="AO46" i="1"/>
  <c r="AN46" i="1"/>
  <c r="AM46" i="1"/>
  <c r="H46" i="1"/>
  <c r="D46" i="1"/>
  <c r="G46" i="1"/>
  <c r="E46" i="1"/>
  <c r="F46" i="1"/>
  <c r="C47" i="1"/>
  <c r="BT42" i="1"/>
  <c r="DP36" i="1" a="1"/>
  <c r="DP36" i="1" s="1"/>
  <c r="DH36" i="1" a="1"/>
  <c r="DH36" i="1" s="1"/>
  <c r="CZ36" i="1" a="1"/>
  <c r="CZ36" i="1" s="1"/>
  <c r="CR36" i="1" a="1"/>
  <c r="CR36" i="1" s="1"/>
  <c r="CI36" i="1" a="1"/>
  <c r="CI36" i="1" s="1"/>
  <c r="CA36" i="1" a="1"/>
  <c r="CA36" i="1" s="1"/>
  <c r="DO36" i="1" a="1"/>
  <c r="DO36" i="1" s="1"/>
  <c r="DG36" i="1" a="1"/>
  <c r="DG36" i="1" s="1"/>
  <c r="CY36" i="1" a="1"/>
  <c r="CY36" i="1" s="1"/>
  <c r="CQ36" i="1" a="1"/>
  <c r="CQ36" i="1" s="1"/>
  <c r="CH36" i="1" a="1"/>
  <c r="CH36" i="1" s="1"/>
  <c r="BZ36" i="1" a="1"/>
  <c r="BZ36" i="1" s="1"/>
  <c r="DR36" i="1" a="1"/>
  <c r="DR36" i="1" s="1"/>
  <c r="DF36" i="1" a="1"/>
  <c r="DF36" i="1" s="1"/>
  <c r="CV36" i="1" a="1"/>
  <c r="CV36" i="1" s="1"/>
  <c r="CK36" i="1" a="1"/>
  <c r="CK36" i="1" s="1"/>
  <c r="BY36" i="1" a="1"/>
  <c r="BY36" i="1" s="1"/>
  <c r="DQ36" i="1" a="1"/>
  <c r="DQ36" i="1" s="1"/>
  <c r="DE36" i="1" a="1"/>
  <c r="DE36" i="1" s="1"/>
  <c r="CU36" i="1" a="1"/>
  <c r="CU36" i="1" s="1"/>
  <c r="CJ36" i="1" a="1"/>
  <c r="CJ36" i="1" s="1"/>
  <c r="BX36" i="1" a="1"/>
  <c r="BX36" i="1" s="1"/>
  <c r="DL36" i="1" a="1"/>
  <c r="DL36" i="1" s="1"/>
  <c r="CX36" i="1" a="1"/>
  <c r="CX36" i="1" s="1"/>
  <c r="CG36" i="1" a="1"/>
  <c r="CG36" i="1" s="1"/>
  <c r="DK36" i="1" a="1"/>
  <c r="DK36" i="1" s="1"/>
  <c r="CW36" i="1" a="1"/>
  <c r="CW36" i="1" s="1"/>
  <c r="CF36" i="1" a="1"/>
  <c r="CF36" i="1" s="1"/>
  <c r="DU36" i="1" a="1"/>
  <c r="DU36" i="1" s="1"/>
  <c r="DB36" i="1" a="1"/>
  <c r="DB36" i="1" s="1"/>
  <c r="CD36" i="1" a="1"/>
  <c r="CD36" i="1" s="1"/>
  <c r="DT36" i="1" a="1"/>
  <c r="DT36" i="1" s="1"/>
  <c r="DA36" i="1" a="1"/>
  <c r="DA36" i="1" s="1"/>
  <c r="CC36" i="1" a="1"/>
  <c r="CC36" i="1" s="1"/>
  <c r="DS36" i="1" a="1"/>
  <c r="DS36" i="1" s="1"/>
  <c r="CT36" i="1" a="1"/>
  <c r="CT36" i="1" s="1"/>
  <c r="CE36" i="1" a="1"/>
  <c r="CE36" i="1" s="1"/>
  <c r="DI36" i="1" a="1"/>
  <c r="DI36" i="1" s="1"/>
  <c r="CB36" i="1" a="1"/>
  <c r="CB36" i="1" s="1"/>
  <c r="DD36" i="1" a="1"/>
  <c r="DD36" i="1" s="1"/>
  <c r="BW36" i="1" a="1"/>
  <c r="BW36" i="1" s="1"/>
  <c r="DC36" i="1" a="1"/>
  <c r="DC36" i="1" s="1"/>
  <c r="DM36" i="1" a="1"/>
  <c r="DM36" i="1" s="1"/>
  <c r="CM36" i="1" a="1"/>
  <c r="CM36" i="1" s="1"/>
  <c r="DV36" i="1" a="1"/>
  <c r="DV36" i="1" s="1"/>
  <c r="DJ36" i="1" a="1"/>
  <c r="DJ36" i="1" s="1"/>
  <c r="CS36" i="1" a="1"/>
  <c r="CS36" i="1" s="1"/>
  <c r="CL36" i="1" a="1"/>
  <c r="CL36" i="1" s="1"/>
  <c r="CP36" i="1" a="1"/>
  <c r="CP36" i="1" s="1"/>
  <c r="CO36" i="1" a="1"/>
  <c r="CO36" i="1" s="1"/>
  <c r="DN36" i="1" a="1"/>
  <c r="DN36" i="1" s="1"/>
  <c r="BF43" i="1"/>
  <c r="AP43" i="1"/>
  <c r="Z43" i="1"/>
  <c r="J43" i="1"/>
  <c r="BE43" i="1"/>
  <c r="AO43" i="1"/>
  <c r="Y43" i="1"/>
  <c r="I43" i="1"/>
  <c r="BD43" i="1"/>
  <c r="AN43" i="1"/>
  <c r="X43" i="1"/>
  <c r="H43" i="1"/>
  <c r="BC43" i="1"/>
  <c r="AM43" i="1"/>
  <c r="W43" i="1"/>
  <c r="G43" i="1"/>
  <c r="C44" i="1"/>
  <c r="BR43" i="1"/>
  <c r="AX43" i="1"/>
  <c r="AD43" i="1"/>
  <c r="F43" i="1"/>
  <c r="BQ43" i="1"/>
  <c r="AW43" i="1"/>
  <c r="AC43" i="1"/>
  <c r="E43" i="1"/>
  <c r="DW43" i="1"/>
  <c r="BP43" i="1"/>
  <c r="AV43" i="1"/>
  <c r="AB43" i="1"/>
  <c r="D43" i="1"/>
  <c r="BO43" i="1"/>
  <c r="AU43" i="1"/>
  <c r="AA43" i="1"/>
  <c r="BN43" i="1"/>
  <c r="AT43" i="1"/>
  <c r="V43" i="1"/>
  <c r="A43" i="1"/>
  <c r="AZ43" i="1"/>
  <c r="R43" i="1"/>
  <c r="AY43" i="1"/>
  <c r="Q43" i="1"/>
  <c r="AS43" i="1"/>
  <c r="P43" i="1"/>
  <c r="AR43" i="1"/>
  <c r="O43" i="1"/>
  <c r="AQ43" i="1"/>
  <c r="N43" i="1"/>
  <c r="BK43" i="1"/>
  <c r="T43" i="1"/>
  <c r="BJ43" i="1"/>
  <c r="S43" i="1"/>
  <c r="BI43" i="1"/>
  <c r="M43" i="1"/>
  <c r="BH43" i="1"/>
  <c r="L43" i="1"/>
  <c r="BG43" i="1"/>
  <c r="K43" i="1"/>
  <c r="BB43" i="1"/>
  <c r="BA43" i="1"/>
  <c r="AI43" i="1"/>
  <c r="AH43" i="1"/>
  <c r="AG43" i="1"/>
  <c r="AF43" i="1"/>
  <c r="AE43" i="1"/>
  <c r="U43" i="1"/>
  <c r="BM43" i="1"/>
  <c r="AL43" i="1"/>
  <c r="AJ43" i="1"/>
  <c r="BL43" i="1"/>
  <c r="AK43" i="1"/>
  <c r="BS33" i="1"/>
  <c r="BT33" i="1" s="1"/>
  <c r="BU33" i="1" s="1"/>
  <c r="BU42" i="1"/>
  <c r="BT46" i="1" l="1"/>
  <c r="DR40" i="1" a="1"/>
  <c r="DR40" i="1" s="1"/>
  <c r="DJ40" i="1" a="1"/>
  <c r="DJ40" i="1" s="1"/>
  <c r="DB40" i="1" a="1"/>
  <c r="DB40" i="1" s="1"/>
  <c r="CT40" i="1" a="1"/>
  <c r="CT40" i="1" s="1"/>
  <c r="CK40" i="1" a="1"/>
  <c r="CK40" i="1" s="1"/>
  <c r="CC40" i="1" a="1"/>
  <c r="CC40" i="1" s="1"/>
  <c r="DQ40" i="1" a="1"/>
  <c r="DQ40" i="1" s="1"/>
  <c r="DI40" i="1" a="1"/>
  <c r="DI40" i="1" s="1"/>
  <c r="DA40" i="1" a="1"/>
  <c r="DA40" i="1" s="1"/>
  <c r="CS40" i="1" a="1"/>
  <c r="CS40" i="1" s="1"/>
  <c r="CJ40" i="1" a="1"/>
  <c r="CJ40" i="1" s="1"/>
  <c r="CB40" i="1" a="1"/>
  <c r="CB40" i="1" s="1"/>
  <c r="DT40" i="1" a="1"/>
  <c r="DT40" i="1" s="1"/>
  <c r="DH40" i="1" a="1"/>
  <c r="DH40" i="1" s="1"/>
  <c r="CX40" i="1" a="1"/>
  <c r="CX40" i="1" s="1"/>
  <c r="CM40" i="1" a="1"/>
  <c r="CM40" i="1" s="1"/>
  <c r="CA40" i="1" a="1"/>
  <c r="CA40" i="1" s="1"/>
  <c r="DS40" i="1" a="1"/>
  <c r="DS40" i="1" s="1"/>
  <c r="DG40" i="1" a="1"/>
  <c r="DG40" i="1" s="1"/>
  <c r="CW40" i="1" a="1"/>
  <c r="CW40" i="1" s="1"/>
  <c r="CL40" i="1" a="1"/>
  <c r="CL40" i="1" s="1"/>
  <c r="BZ40" i="1" a="1"/>
  <c r="BZ40" i="1" s="1"/>
  <c r="DV40" i="1" a="1"/>
  <c r="DV40" i="1" s="1"/>
  <c r="DE40" i="1" a="1"/>
  <c r="DE40" i="1" s="1"/>
  <c r="CP40" i="1" a="1"/>
  <c r="CP40" i="1" s="1"/>
  <c r="BY40" i="1" a="1"/>
  <c r="BY40" i="1" s="1"/>
  <c r="DU40" i="1" a="1"/>
  <c r="DU40" i="1" s="1"/>
  <c r="DD40" i="1" a="1"/>
  <c r="DD40" i="1" s="1"/>
  <c r="DP40" i="1" a="1"/>
  <c r="DP40" i="1" s="1"/>
  <c r="CO40" i="1" a="1"/>
  <c r="CO40" i="1" s="1"/>
  <c r="BX40" i="1" a="1"/>
  <c r="BX40" i="1" s="1"/>
  <c r="DC40" i="1" a="1"/>
  <c r="DC40" i="1" s="1"/>
  <c r="CG40" i="1" a="1"/>
  <c r="CG40" i="1" s="1"/>
  <c r="CZ40" i="1" a="1"/>
  <c r="CZ40" i="1" s="1"/>
  <c r="CF40" i="1" a="1"/>
  <c r="CF40" i="1" s="1"/>
  <c r="CY40" i="1" a="1"/>
  <c r="CY40" i="1" s="1"/>
  <c r="CE40" i="1" a="1"/>
  <c r="CE40" i="1" s="1"/>
  <c r="CV40" i="1" a="1"/>
  <c r="CV40" i="1" s="1"/>
  <c r="DO40" i="1" a="1"/>
  <c r="DO40" i="1" s="1"/>
  <c r="CD40" i="1" a="1"/>
  <c r="CD40" i="1" s="1"/>
  <c r="BW40" i="1" a="1"/>
  <c r="BW40" i="1" s="1"/>
  <c r="DM40" i="1" a="1"/>
  <c r="DM40" i="1" s="1"/>
  <c r="DL40" i="1" a="1"/>
  <c r="DL40" i="1" s="1"/>
  <c r="DK40" i="1" a="1"/>
  <c r="DK40" i="1" s="1"/>
  <c r="DF40" i="1" a="1"/>
  <c r="DF40" i="1" s="1"/>
  <c r="CU40" i="1" a="1"/>
  <c r="CU40" i="1" s="1"/>
  <c r="CR40" i="1" a="1"/>
  <c r="CR40" i="1" s="1"/>
  <c r="CQ40" i="1" a="1"/>
  <c r="CQ40" i="1" s="1"/>
  <c r="DN40" i="1" a="1"/>
  <c r="DN40" i="1" s="1"/>
  <c r="CI40" i="1" a="1"/>
  <c r="CI40" i="1" s="1"/>
  <c r="CH40" i="1" a="1"/>
  <c r="CH40" i="1" s="1"/>
  <c r="BS40" i="1"/>
  <c r="DQ37" i="1" a="1"/>
  <c r="DQ37" i="1" s="1"/>
  <c r="DI37" i="1" a="1"/>
  <c r="DI37" i="1" s="1"/>
  <c r="DA37" i="1" a="1"/>
  <c r="DA37" i="1" s="1"/>
  <c r="CS37" i="1" a="1"/>
  <c r="CS37" i="1" s="1"/>
  <c r="CJ37" i="1" a="1"/>
  <c r="CJ37" i="1" s="1"/>
  <c r="CB37" i="1" a="1"/>
  <c r="CB37" i="1" s="1"/>
  <c r="DP37" i="1" a="1"/>
  <c r="DP37" i="1" s="1"/>
  <c r="DH37" i="1" a="1"/>
  <c r="DH37" i="1" s="1"/>
  <c r="CZ37" i="1" a="1"/>
  <c r="CZ37" i="1" s="1"/>
  <c r="CR37" i="1" a="1"/>
  <c r="CR37" i="1" s="1"/>
  <c r="CI37" i="1" a="1"/>
  <c r="CI37" i="1" s="1"/>
  <c r="CA37" i="1" a="1"/>
  <c r="CA37" i="1" s="1"/>
  <c r="DO37" i="1" a="1"/>
  <c r="DO37" i="1" s="1"/>
  <c r="DE37" i="1" a="1"/>
  <c r="DE37" i="1" s="1"/>
  <c r="CU37" i="1" a="1"/>
  <c r="CU37" i="1" s="1"/>
  <c r="CH37" i="1" a="1"/>
  <c r="CH37" i="1" s="1"/>
  <c r="BX37" i="1" a="1"/>
  <c r="BX37" i="1" s="1"/>
  <c r="DN37" i="1" a="1"/>
  <c r="DN37" i="1" s="1"/>
  <c r="DD37" i="1" a="1"/>
  <c r="DD37" i="1" s="1"/>
  <c r="CT37" i="1" a="1"/>
  <c r="CT37" i="1" s="1"/>
  <c r="CG37" i="1" a="1"/>
  <c r="CG37" i="1" s="1"/>
  <c r="BW37" i="1" a="1"/>
  <c r="BW37" i="1" s="1"/>
  <c r="DK37" i="1" a="1"/>
  <c r="DK37" i="1" s="1"/>
  <c r="CW37" i="1" a="1"/>
  <c r="CW37" i="1" s="1"/>
  <c r="CF37" i="1" a="1"/>
  <c r="CF37" i="1" s="1"/>
  <c r="DV37" i="1" a="1"/>
  <c r="DV37" i="1" s="1"/>
  <c r="DJ37" i="1" a="1"/>
  <c r="DJ37" i="1" s="1"/>
  <c r="CV37" i="1" a="1"/>
  <c r="CV37" i="1" s="1"/>
  <c r="CE37" i="1" a="1"/>
  <c r="CE37" i="1" s="1"/>
  <c r="DU37" i="1" a="1"/>
  <c r="DU37" i="1" s="1"/>
  <c r="DG37" i="1" a="1"/>
  <c r="DG37" i="1" s="1"/>
  <c r="CQ37" i="1" a="1"/>
  <c r="CQ37" i="1" s="1"/>
  <c r="CD37" i="1" a="1"/>
  <c r="CD37" i="1" s="1"/>
  <c r="CX37" i="1" a="1"/>
  <c r="CX37" i="1" s="1"/>
  <c r="BZ37" i="1" a="1"/>
  <c r="BZ37" i="1" s="1"/>
  <c r="DR37" i="1" a="1"/>
  <c r="DR37" i="1" s="1"/>
  <c r="BY37" i="1" a="1"/>
  <c r="BY37" i="1" s="1"/>
  <c r="DM37" i="1" a="1"/>
  <c r="DM37" i="1" s="1"/>
  <c r="CP37" i="1" a="1"/>
  <c r="CP37" i="1" s="1"/>
  <c r="DL37" i="1" a="1"/>
  <c r="DL37" i="1" s="1"/>
  <c r="CO37" i="1" a="1"/>
  <c r="CO37" i="1" s="1"/>
  <c r="DT37" i="1" a="1"/>
  <c r="DT37" i="1" s="1"/>
  <c r="CK37" i="1" a="1"/>
  <c r="CK37" i="1" s="1"/>
  <c r="DS37" i="1" a="1"/>
  <c r="DS37" i="1" s="1"/>
  <c r="CC37" i="1" a="1"/>
  <c r="CC37" i="1" s="1"/>
  <c r="DF37" i="1" a="1"/>
  <c r="DF37" i="1" s="1"/>
  <c r="DC37" i="1" a="1"/>
  <c r="DC37" i="1" s="1"/>
  <c r="DB37" i="1" a="1"/>
  <c r="DB37" i="1" s="1"/>
  <c r="CM37" i="1" a="1"/>
  <c r="CM37" i="1" s="1"/>
  <c r="CL37" i="1" a="1"/>
  <c r="CL37" i="1" s="1"/>
  <c r="CY37" i="1" a="1"/>
  <c r="CY37" i="1" s="1"/>
  <c r="BU37" i="1"/>
  <c r="BT40" i="1"/>
  <c r="BU40" i="1" s="1"/>
  <c r="DU46" i="1" a="1"/>
  <c r="DU46" i="1" s="1"/>
  <c r="DM46" i="1" a="1"/>
  <c r="DM46" i="1" s="1"/>
  <c r="DE46" i="1" a="1"/>
  <c r="DE46" i="1" s="1"/>
  <c r="CW46" i="1" a="1"/>
  <c r="CW46" i="1" s="1"/>
  <c r="CO46" i="1" a="1"/>
  <c r="CO46" i="1" s="1"/>
  <c r="CF46" i="1" a="1"/>
  <c r="CF46" i="1" s="1"/>
  <c r="BX46" i="1" a="1"/>
  <c r="BX46" i="1" s="1"/>
  <c r="DT46" i="1" a="1"/>
  <c r="DT46" i="1" s="1"/>
  <c r="DL46" i="1" a="1"/>
  <c r="DL46" i="1" s="1"/>
  <c r="DD46" i="1" a="1"/>
  <c r="DD46" i="1" s="1"/>
  <c r="CV46" i="1" a="1"/>
  <c r="CV46" i="1" s="1"/>
  <c r="CM46" i="1" a="1"/>
  <c r="CM46" i="1" s="1"/>
  <c r="CE46" i="1" a="1"/>
  <c r="CE46" i="1" s="1"/>
  <c r="BW46" i="1" a="1"/>
  <c r="BW46" i="1" s="1"/>
  <c r="DQ46" i="1" a="1"/>
  <c r="DQ46" i="1" s="1"/>
  <c r="DG46" i="1" a="1"/>
  <c r="DG46" i="1" s="1"/>
  <c r="CU46" i="1" a="1"/>
  <c r="CU46" i="1" s="1"/>
  <c r="CJ46" i="1" a="1"/>
  <c r="CJ46" i="1" s="1"/>
  <c r="BZ46" i="1" a="1"/>
  <c r="BZ46" i="1" s="1"/>
  <c r="DP46" i="1" a="1"/>
  <c r="DP46" i="1" s="1"/>
  <c r="DF46" i="1" a="1"/>
  <c r="DF46" i="1" s="1"/>
  <c r="CT46" i="1" a="1"/>
  <c r="CT46" i="1" s="1"/>
  <c r="CI46" i="1" a="1"/>
  <c r="CI46" i="1" s="1"/>
  <c r="BY46" i="1" a="1"/>
  <c r="BY46" i="1" s="1"/>
  <c r="DI46" i="1" a="1"/>
  <c r="DI46" i="1" s="1"/>
  <c r="CR46" i="1" a="1"/>
  <c r="CR46" i="1" s="1"/>
  <c r="CB46" i="1" a="1"/>
  <c r="CB46" i="1" s="1"/>
  <c r="DH46" i="1" a="1"/>
  <c r="DH46" i="1" s="1"/>
  <c r="CQ46" i="1" a="1"/>
  <c r="CQ46" i="1" s="1"/>
  <c r="DV46" i="1" a="1"/>
  <c r="DV46" i="1" s="1"/>
  <c r="DC46" i="1" a="1"/>
  <c r="DC46" i="1" s="1"/>
  <c r="CA46" i="1" a="1"/>
  <c r="CA46" i="1" s="1"/>
  <c r="CP46" i="1" a="1"/>
  <c r="CP46" i="1" s="1"/>
  <c r="DS46" i="1" a="1"/>
  <c r="DS46" i="1" s="1"/>
  <c r="CC46" i="1" a="1"/>
  <c r="CC46" i="1" s="1"/>
  <c r="CY46" i="1" a="1"/>
  <c r="CY46" i="1" s="1"/>
  <c r="DR46" i="1" a="1"/>
  <c r="DR46" i="1" s="1"/>
  <c r="DO46" i="1" a="1"/>
  <c r="DO46" i="1" s="1"/>
  <c r="CX46" i="1" a="1"/>
  <c r="CX46" i="1" s="1"/>
  <c r="CS46" i="1" a="1"/>
  <c r="CS46" i="1" s="1"/>
  <c r="DN46" i="1" a="1"/>
  <c r="DN46" i="1" s="1"/>
  <c r="DJ46" i="1" a="1"/>
  <c r="DJ46" i="1" s="1"/>
  <c r="DB46" i="1" a="1"/>
  <c r="DB46" i="1" s="1"/>
  <c r="DA46" i="1" a="1"/>
  <c r="DA46" i="1" s="1"/>
  <c r="CZ46" i="1" a="1"/>
  <c r="CZ46" i="1" s="1"/>
  <c r="CG46" i="1" a="1"/>
  <c r="CG46" i="1" s="1"/>
  <c r="CL46" i="1" a="1"/>
  <c r="CL46" i="1" s="1"/>
  <c r="CK46" i="1" a="1"/>
  <c r="CK46" i="1" s="1"/>
  <c r="DK46" i="1" a="1"/>
  <c r="DK46" i="1" s="1"/>
  <c r="CD46" i="1" a="1"/>
  <c r="CD46" i="1" s="1"/>
  <c r="CH46" i="1" a="1"/>
  <c r="CH46" i="1" s="1"/>
  <c r="BT37" i="1"/>
  <c r="BJ47" i="1"/>
  <c r="AT47" i="1"/>
  <c r="AD47" i="1"/>
  <c r="N47" i="1"/>
  <c r="BI47" i="1"/>
  <c r="AS47" i="1"/>
  <c r="AC47" i="1"/>
  <c r="M47" i="1"/>
  <c r="BH47" i="1"/>
  <c r="AR47" i="1"/>
  <c r="AB47" i="1"/>
  <c r="L47" i="1"/>
  <c r="BG47" i="1"/>
  <c r="AQ47" i="1"/>
  <c r="AA47" i="1"/>
  <c r="K47" i="1"/>
  <c r="BB47" i="1"/>
  <c r="AH47" i="1"/>
  <c r="J47" i="1"/>
  <c r="BA47" i="1"/>
  <c r="AG47" i="1"/>
  <c r="I47" i="1"/>
  <c r="AZ47" i="1"/>
  <c r="AF47" i="1"/>
  <c r="H47" i="1"/>
  <c r="AY47" i="1"/>
  <c r="AE47" i="1"/>
  <c r="G47" i="1"/>
  <c r="C48" i="1"/>
  <c r="BR47" i="1"/>
  <c r="AX47" i="1"/>
  <c r="Z47" i="1"/>
  <c r="F47" i="1"/>
  <c r="BM47" i="1"/>
  <c r="AJ47" i="1"/>
  <c r="A47" i="1"/>
  <c r="BL47" i="1"/>
  <c r="AI47" i="1"/>
  <c r="BK47" i="1"/>
  <c r="Y47" i="1"/>
  <c r="BF47" i="1"/>
  <c r="X47" i="1"/>
  <c r="BE47" i="1"/>
  <c r="W47" i="1"/>
  <c r="AO47" i="1"/>
  <c r="AN47" i="1"/>
  <c r="AM47" i="1"/>
  <c r="AL47" i="1"/>
  <c r="AK47" i="1"/>
  <c r="V47" i="1"/>
  <c r="BQ47" i="1"/>
  <c r="U47" i="1"/>
  <c r="BD47" i="1"/>
  <c r="BC47" i="1"/>
  <c r="AW47" i="1"/>
  <c r="AV47" i="1"/>
  <c r="AU47" i="1"/>
  <c r="AP47" i="1"/>
  <c r="T47" i="1"/>
  <c r="S47" i="1"/>
  <c r="R47" i="1"/>
  <c r="BN47" i="1"/>
  <c r="Q47" i="1"/>
  <c r="DW47" i="1"/>
  <c r="P47" i="1"/>
  <c r="BP47" i="1"/>
  <c r="BO47" i="1"/>
  <c r="O47" i="1"/>
  <c r="D47" i="1"/>
  <c r="E47" i="1"/>
  <c r="BM50" i="1"/>
  <c r="AW50" i="1"/>
  <c r="AG50" i="1"/>
  <c r="Q50" i="1"/>
  <c r="DW50" i="1"/>
  <c r="BL50" i="1"/>
  <c r="AV50" i="1"/>
  <c r="AF50" i="1"/>
  <c r="P50" i="1"/>
  <c r="C54" i="1"/>
  <c r="BK50" i="1"/>
  <c r="AU50" i="1"/>
  <c r="AE50" i="1"/>
  <c r="O50" i="1"/>
  <c r="BJ50" i="1"/>
  <c r="AT50" i="1"/>
  <c r="AD50" i="1"/>
  <c r="N50" i="1"/>
  <c r="BI50" i="1"/>
  <c r="AO50" i="1"/>
  <c r="U50" i="1"/>
  <c r="BH50" i="1"/>
  <c r="AN50" i="1"/>
  <c r="T50" i="1"/>
  <c r="BG50" i="1"/>
  <c r="AM50" i="1"/>
  <c r="S50" i="1"/>
  <c r="BF50" i="1"/>
  <c r="AL50" i="1"/>
  <c r="R50" i="1"/>
  <c r="BE50" i="1"/>
  <c r="AK50" i="1"/>
  <c r="M50" i="1"/>
  <c r="BQ50" i="1"/>
  <c r="AI50" i="1"/>
  <c r="F50" i="1"/>
  <c r="BP50" i="1"/>
  <c r="AH50" i="1"/>
  <c r="E50" i="1"/>
  <c r="BO50" i="1"/>
  <c r="AC50" i="1"/>
  <c r="D50" i="1"/>
  <c r="BN50" i="1"/>
  <c r="AB50" i="1"/>
  <c r="BD50" i="1"/>
  <c r="AA50" i="1"/>
  <c r="A50" i="1"/>
  <c r="BB50" i="1"/>
  <c r="K50" i="1"/>
  <c r="BA50" i="1"/>
  <c r="J50" i="1"/>
  <c r="AZ50" i="1"/>
  <c r="I50" i="1"/>
  <c r="AY50" i="1"/>
  <c r="H50" i="1"/>
  <c r="AX50" i="1"/>
  <c r="G50" i="1"/>
  <c r="AS50" i="1"/>
  <c r="C51" i="1"/>
  <c r="AR50" i="1"/>
  <c r="W50" i="1"/>
  <c r="V50" i="1"/>
  <c r="L50" i="1"/>
  <c r="BR50" i="1"/>
  <c r="AQ50" i="1"/>
  <c r="Z50" i="1"/>
  <c r="BC50" i="1"/>
  <c r="AJ50" i="1"/>
  <c r="X50" i="1"/>
  <c r="AP50" i="1"/>
  <c r="Y50" i="1"/>
  <c r="BG44" i="1"/>
  <c r="AQ44" i="1"/>
  <c r="AA44" i="1"/>
  <c r="K44" i="1"/>
  <c r="BF44" i="1"/>
  <c r="AP44" i="1"/>
  <c r="Z44" i="1"/>
  <c r="J44" i="1"/>
  <c r="BE44" i="1"/>
  <c r="AO44" i="1"/>
  <c r="Y44" i="1"/>
  <c r="I44" i="1"/>
  <c r="BD44" i="1"/>
  <c r="AN44" i="1"/>
  <c r="X44" i="1"/>
  <c r="H44" i="1"/>
  <c r="BO44" i="1"/>
  <c r="AU44" i="1"/>
  <c r="W44" i="1"/>
  <c r="BN44" i="1"/>
  <c r="AT44" i="1"/>
  <c r="V44" i="1"/>
  <c r="A44" i="1"/>
  <c r="BM44" i="1"/>
  <c r="AS44" i="1"/>
  <c r="U44" i="1"/>
  <c r="BL44" i="1"/>
  <c r="AR44" i="1"/>
  <c r="T44" i="1"/>
  <c r="BK44" i="1"/>
  <c r="AM44" i="1"/>
  <c r="S44" i="1"/>
  <c r="BI44" i="1"/>
  <c r="AF44" i="1"/>
  <c r="BH44" i="1"/>
  <c r="AE44" i="1"/>
  <c r="BC44" i="1"/>
  <c r="AD44" i="1"/>
  <c r="BB44" i="1"/>
  <c r="AC44" i="1"/>
  <c r="BA44" i="1"/>
  <c r="AB44" i="1"/>
  <c r="R44" i="1"/>
  <c r="BR44" i="1"/>
  <c r="Q44" i="1"/>
  <c r="BQ44" i="1"/>
  <c r="P44" i="1"/>
  <c r="BP44" i="1"/>
  <c r="O44" i="1"/>
  <c r="BJ44" i="1"/>
  <c r="N44" i="1"/>
  <c r="AZ44" i="1"/>
  <c r="M44" i="1"/>
  <c r="AY44" i="1"/>
  <c r="L44" i="1"/>
  <c r="C45" i="1"/>
  <c r="AH44" i="1"/>
  <c r="AG44" i="1"/>
  <c r="DW44" i="1"/>
  <c r="G44" i="1"/>
  <c r="F44" i="1"/>
  <c r="E44" i="1"/>
  <c r="D44" i="1"/>
  <c r="AX44" i="1"/>
  <c r="AW44" i="1"/>
  <c r="AV44" i="1"/>
  <c r="AK44" i="1"/>
  <c r="AI44" i="1"/>
  <c r="AL44" i="1"/>
  <c r="AJ44" i="1"/>
  <c r="BD41" i="1"/>
  <c r="AN41" i="1"/>
  <c r="X41" i="1"/>
  <c r="H41" i="1"/>
  <c r="BC41" i="1"/>
  <c r="AM41" i="1"/>
  <c r="W41" i="1"/>
  <c r="G41" i="1"/>
  <c r="BR41" i="1"/>
  <c r="BB41" i="1"/>
  <c r="AL41" i="1"/>
  <c r="V41" i="1"/>
  <c r="F41" i="1"/>
  <c r="BQ41" i="1"/>
  <c r="BA41" i="1"/>
  <c r="AK41" i="1"/>
  <c r="U41" i="1"/>
  <c r="E41" i="1"/>
  <c r="BH41" i="1"/>
  <c r="AJ41" i="1"/>
  <c r="P41" i="1"/>
  <c r="BG41" i="1"/>
  <c r="AI41" i="1"/>
  <c r="O41" i="1"/>
  <c r="BF41" i="1"/>
  <c r="AH41" i="1"/>
  <c r="N41" i="1"/>
  <c r="BE41" i="1"/>
  <c r="BS41" i="1" s="1"/>
  <c r="AG41" i="1"/>
  <c r="M41" i="1"/>
  <c r="AZ41" i="1"/>
  <c r="AF41" i="1"/>
  <c r="L41" i="1"/>
  <c r="BJ41" i="1"/>
  <c r="AB41" i="1"/>
  <c r="BI41" i="1"/>
  <c r="AA41" i="1"/>
  <c r="AY41" i="1"/>
  <c r="Z41" i="1"/>
  <c r="DW41" i="1"/>
  <c r="AX41" i="1"/>
  <c r="Y41" i="1"/>
  <c r="AW41" i="1"/>
  <c r="T41" i="1"/>
  <c r="AV41" i="1"/>
  <c r="I41" i="1"/>
  <c r="AU41" i="1"/>
  <c r="D41" i="1"/>
  <c r="AT41" i="1"/>
  <c r="AS41" i="1"/>
  <c r="A41" i="1"/>
  <c r="AR41" i="1"/>
  <c r="AQ41" i="1"/>
  <c r="AP41" i="1"/>
  <c r="BO41" i="1"/>
  <c r="BN41" i="1"/>
  <c r="BM41" i="1"/>
  <c r="BL41" i="1"/>
  <c r="BK41" i="1"/>
  <c r="AO41" i="1"/>
  <c r="AE41" i="1"/>
  <c r="AD41" i="1"/>
  <c r="AC41" i="1"/>
  <c r="J41" i="1"/>
  <c r="S41" i="1"/>
  <c r="BP41" i="1"/>
  <c r="R41" i="1"/>
  <c r="K41" i="1"/>
  <c r="Q41" i="1"/>
  <c r="DT43" i="1" a="1"/>
  <c r="DT43" i="1" s="1"/>
  <c r="DL43" i="1" a="1"/>
  <c r="DL43" i="1" s="1"/>
  <c r="DD43" i="1" a="1"/>
  <c r="DD43" i="1" s="1"/>
  <c r="CV43" i="1" a="1"/>
  <c r="CV43" i="1" s="1"/>
  <c r="CM43" i="1" a="1"/>
  <c r="CM43" i="1" s="1"/>
  <c r="CE43" i="1" a="1"/>
  <c r="CE43" i="1" s="1"/>
  <c r="BW43" i="1" a="1"/>
  <c r="BW43" i="1" s="1"/>
  <c r="DS43" i="1" a="1"/>
  <c r="DS43" i="1" s="1"/>
  <c r="DK43" i="1" a="1"/>
  <c r="DK43" i="1" s="1"/>
  <c r="DC43" i="1" a="1"/>
  <c r="DC43" i="1" s="1"/>
  <c r="CU43" i="1" a="1"/>
  <c r="CU43" i="1" s="1"/>
  <c r="CL43" i="1" a="1"/>
  <c r="CL43" i="1" s="1"/>
  <c r="CD43" i="1" a="1"/>
  <c r="CD43" i="1" s="1"/>
  <c r="DN43" i="1" a="1"/>
  <c r="DN43" i="1" s="1"/>
  <c r="DB43" i="1" a="1"/>
  <c r="DB43" i="1" s="1"/>
  <c r="CR43" i="1" a="1"/>
  <c r="CR43" i="1" s="1"/>
  <c r="CG43" i="1" a="1"/>
  <c r="CG43" i="1" s="1"/>
  <c r="DM43" i="1" a="1"/>
  <c r="DM43" i="1" s="1"/>
  <c r="DA43" i="1" a="1"/>
  <c r="DA43" i="1" s="1"/>
  <c r="CQ43" i="1" a="1"/>
  <c r="CQ43" i="1" s="1"/>
  <c r="CF43" i="1" a="1"/>
  <c r="CF43" i="1" s="1"/>
  <c r="DV43" i="1" a="1"/>
  <c r="DV43" i="1" s="1"/>
  <c r="DJ43" i="1" a="1"/>
  <c r="DJ43" i="1" s="1"/>
  <c r="CZ43" i="1" a="1"/>
  <c r="CZ43" i="1" s="1"/>
  <c r="CP43" i="1" a="1"/>
  <c r="CP43" i="1" s="1"/>
  <c r="CC43" i="1" a="1"/>
  <c r="CC43" i="1" s="1"/>
  <c r="DG43" i="1" a="1"/>
  <c r="DG43" i="1" s="1"/>
  <c r="DU43" i="1" a="1"/>
  <c r="DU43" i="1" s="1"/>
  <c r="BZ43" i="1" a="1"/>
  <c r="BZ43" i="1" s="1"/>
  <c r="DF43" i="1" a="1"/>
  <c r="DF43" i="1" s="1"/>
  <c r="CO43" i="1" a="1"/>
  <c r="CO43" i="1" s="1"/>
  <c r="DR43" i="1" a="1"/>
  <c r="DR43" i="1" s="1"/>
  <c r="BY43" i="1" a="1"/>
  <c r="BY43" i="1" s="1"/>
  <c r="DE43" i="1" a="1"/>
  <c r="DE43" i="1" s="1"/>
  <c r="CK43" i="1" a="1"/>
  <c r="CK43" i="1" s="1"/>
  <c r="CS43" i="1" a="1"/>
  <c r="CS43" i="1" s="1"/>
  <c r="DI43" i="1" a="1"/>
  <c r="DI43" i="1" s="1"/>
  <c r="CJ43" i="1" a="1"/>
  <c r="CJ43" i="1" s="1"/>
  <c r="DH43" i="1" a="1"/>
  <c r="DH43" i="1" s="1"/>
  <c r="CI43" i="1" a="1"/>
  <c r="CI43" i="1" s="1"/>
  <c r="CH43" i="1" a="1"/>
  <c r="CH43" i="1" s="1"/>
  <c r="CW43" i="1" a="1"/>
  <c r="CW43" i="1" s="1"/>
  <c r="CT43" i="1" a="1"/>
  <c r="CT43" i="1" s="1"/>
  <c r="DQ43" i="1" a="1"/>
  <c r="DQ43" i="1" s="1"/>
  <c r="CB43" i="1" a="1"/>
  <c r="CB43" i="1" s="1"/>
  <c r="CA43" i="1" a="1"/>
  <c r="CA43" i="1" s="1"/>
  <c r="CY43" i="1" a="1"/>
  <c r="CY43" i="1" s="1"/>
  <c r="BX43" i="1" a="1"/>
  <c r="BX43" i="1" s="1"/>
  <c r="DP43" i="1" a="1"/>
  <c r="DP43" i="1" s="1"/>
  <c r="DO43" i="1" a="1"/>
  <c r="DO43" i="1" s="1"/>
  <c r="CX43" i="1" a="1"/>
  <c r="CX43" i="1" s="1"/>
  <c r="BS43" i="1"/>
  <c r="BT43" i="1" s="1"/>
  <c r="BU43" i="1" s="1"/>
  <c r="BU46" i="1"/>
  <c r="DT44" i="1" l="1" a="1"/>
  <c r="DT44" i="1" s="1"/>
  <c r="DL44" i="1" a="1"/>
  <c r="DL44" i="1" s="1"/>
  <c r="DD44" i="1" a="1"/>
  <c r="DD44" i="1" s="1"/>
  <c r="CV44" i="1" a="1"/>
  <c r="CV44" i="1" s="1"/>
  <c r="CM44" i="1" a="1"/>
  <c r="CM44" i="1" s="1"/>
  <c r="CE44" i="1" a="1"/>
  <c r="CE44" i="1" s="1"/>
  <c r="BW44" i="1" a="1"/>
  <c r="BW44" i="1" s="1"/>
  <c r="DS44" i="1" a="1"/>
  <c r="DS44" i="1" s="1"/>
  <c r="DK44" i="1" a="1"/>
  <c r="DK44" i="1" s="1"/>
  <c r="DC44" i="1" a="1"/>
  <c r="DC44" i="1" s="1"/>
  <c r="CU44" i="1" a="1"/>
  <c r="CU44" i="1" s="1"/>
  <c r="CL44" i="1" a="1"/>
  <c r="CL44" i="1" s="1"/>
  <c r="CD44" i="1" a="1"/>
  <c r="CD44" i="1" s="1"/>
  <c r="DV44" i="1" a="1"/>
  <c r="DV44" i="1" s="1"/>
  <c r="DJ44" i="1" a="1"/>
  <c r="DJ44" i="1" s="1"/>
  <c r="CZ44" i="1" a="1"/>
  <c r="CZ44" i="1" s="1"/>
  <c r="CP44" i="1" a="1"/>
  <c r="CP44" i="1" s="1"/>
  <c r="CC44" i="1" a="1"/>
  <c r="CC44" i="1" s="1"/>
  <c r="DU44" i="1" a="1"/>
  <c r="DU44" i="1" s="1"/>
  <c r="DI44" i="1" a="1"/>
  <c r="DI44" i="1" s="1"/>
  <c r="CY44" i="1" a="1"/>
  <c r="CY44" i="1" s="1"/>
  <c r="CO44" i="1" a="1"/>
  <c r="CO44" i="1" s="1"/>
  <c r="CB44" i="1" a="1"/>
  <c r="CB44" i="1" s="1"/>
  <c r="DN44" i="1" a="1"/>
  <c r="DN44" i="1" s="1"/>
  <c r="CW44" i="1" a="1"/>
  <c r="CW44" i="1" s="1"/>
  <c r="CG44" i="1" a="1"/>
  <c r="CG44" i="1" s="1"/>
  <c r="DM44" i="1" a="1"/>
  <c r="DM44" i="1" s="1"/>
  <c r="CT44" i="1" a="1"/>
  <c r="CT44" i="1" s="1"/>
  <c r="DH44" i="1" a="1"/>
  <c r="DH44" i="1" s="1"/>
  <c r="CF44" i="1" a="1"/>
  <c r="CF44" i="1" s="1"/>
  <c r="CS44" i="1" a="1"/>
  <c r="CS44" i="1" s="1"/>
  <c r="CA44" i="1" a="1"/>
  <c r="CA44" i="1" s="1"/>
  <c r="DP44" i="1" a="1"/>
  <c r="DP44" i="1" s="1"/>
  <c r="CR44" i="1" a="1"/>
  <c r="CR44" i="1" s="1"/>
  <c r="DO44" i="1" a="1"/>
  <c r="DO44" i="1" s="1"/>
  <c r="CQ44" i="1" a="1"/>
  <c r="CQ44" i="1" s="1"/>
  <c r="CK44" i="1" a="1"/>
  <c r="CK44" i="1" s="1"/>
  <c r="DG44" i="1" a="1"/>
  <c r="DG44" i="1" s="1"/>
  <c r="CJ44" i="1" a="1"/>
  <c r="CJ44" i="1" s="1"/>
  <c r="DF44" i="1" a="1"/>
  <c r="DF44" i="1" s="1"/>
  <c r="CI44" i="1" a="1"/>
  <c r="CI44" i="1" s="1"/>
  <c r="CH44" i="1" a="1"/>
  <c r="CH44" i="1" s="1"/>
  <c r="DR44" i="1" a="1"/>
  <c r="DR44" i="1" s="1"/>
  <c r="BZ44" i="1" a="1"/>
  <c r="BZ44" i="1" s="1"/>
  <c r="DQ44" i="1" a="1"/>
  <c r="DQ44" i="1" s="1"/>
  <c r="BY44" i="1" a="1"/>
  <c r="BY44" i="1" s="1"/>
  <c r="BX44" i="1" a="1"/>
  <c r="BX44" i="1" s="1"/>
  <c r="DE44" i="1" a="1"/>
  <c r="DE44" i="1" s="1"/>
  <c r="DA44" i="1" a="1"/>
  <c r="DA44" i="1" s="1"/>
  <c r="DB44" i="1" a="1"/>
  <c r="DB44" i="1" s="1"/>
  <c r="CX44" i="1" a="1"/>
  <c r="CX44" i="1" s="1"/>
  <c r="DV47" i="1" a="1"/>
  <c r="DV47" i="1" s="1"/>
  <c r="DN47" i="1" a="1"/>
  <c r="DN47" i="1" s="1"/>
  <c r="DF47" i="1" a="1"/>
  <c r="DF47" i="1" s="1"/>
  <c r="CX47" i="1" a="1"/>
  <c r="CX47" i="1" s="1"/>
  <c r="CP47" i="1" a="1"/>
  <c r="CP47" i="1" s="1"/>
  <c r="CG47" i="1" a="1"/>
  <c r="CG47" i="1" s="1"/>
  <c r="BY47" i="1" a="1"/>
  <c r="BY47" i="1" s="1"/>
  <c r="DU47" i="1" a="1"/>
  <c r="DU47" i="1" s="1"/>
  <c r="DM47" i="1" a="1"/>
  <c r="DM47" i="1" s="1"/>
  <c r="DE47" i="1" a="1"/>
  <c r="DE47" i="1" s="1"/>
  <c r="CW47" i="1" a="1"/>
  <c r="CW47" i="1" s="1"/>
  <c r="CO47" i="1" a="1"/>
  <c r="CO47" i="1" s="1"/>
  <c r="CF47" i="1" a="1"/>
  <c r="CF47" i="1" s="1"/>
  <c r="BX47" i="1" a="1"/>
  <c r="BX47" i="1" s="1"/>
  <c r="DP47" i="1" a="1"/>
  <c r="DP47" i="1" s="1"/>
  <c r="DD47" i="1" a="1"/>
  <c r="DD47" i="1" s="1"/>
  <c r="CT47" i="1" a="1"/>
  <c r="CT47" i="1" s="1"/>
  <c r="CI47" i="1" a="1"/>
  <c r="CI47" i="1" s="1"/>
  <c r="BW47" i="1" a="1"/>
  <c r="BW47" i="1" s="1"/>
  <c r="DO47" i="1" a="1"/>
  <c r="DO47" i="1" s="1"/>
  <c r="DC47" i="1" a="1"/>
  <c r="DC47" i="1" s="1"/>
  <c r="CS47" i="1" a="1"/>
  <c r="CS47" i="1" s="1"/>
  <c r="CH47" i="1" a="1"/>
  <c r="CH47" i="1" s="1"/>
  <c r="DL47" i="1" a="1"/>
  <c r="DL47" i="1" s="1"/>
  <c r="DB47" i="1" a="1"/>
  <c r="DB47" i="1" s="1"/>
  <c r="CR47" i="1" a="1"/>
  <c r="CR47" i="1" s="1"/>
  <c r="CE47" i="1" a="1"/>
  <c r="CE47" i="1" s="1"/>
  <c r="CY47" i="1" a="1"/>
  <c r="CY47" i="1" s="1"/>
  <c r="DK47" i="1" a="1"/>
  <c r="DK47" i="1" s="1"/>
  <c r="CV47" i="1" a="1"/>
  <c r="CV47" i="1" s="1"/>
  <c r="CD47" i="1" a="1"/>
  <c r="CD47" i="1" s="1"/>
  <c r="DJ47" i="1" a="1"/>
  <c r="DJ47" i="1" s="1"/>
  <c r="CU47" i="1" a="1"/>
  <c r="CU47" i="1" s="1"/>
  <c r="CC47" i="1" a="1"/>
  <c r="CC47" i="1" s="1"/>
  <c r="DA47" i="1" a="1"/>
  <c r="DA47" i="1" s="1"/>
  <c r="CB47" i="1" a="1"/>
  <c r="CB47" i="1" s="1"/>
  <c r="DT47" i="1" a="1"/>
  <c r="DT47" i="1" s="1"/>
  <c r="CZ47" i="1" a="1"/>
  <c r="CZ47" i="1" s="1"/>
  <c r="CA47" i="1" a="1"/>
  <c r="CA47" i="1" s="1"/>
  <c r="DS47" i="1" a="1"/>
  <c r="DS47" i="1" s="1"/>
  <c r="BZ47" i="1" a="1"/>
  <c r="BZ47" i="1" s="1"/>
  <c r="DR47" i="1" a="1"/>
  <c r="DR47" i="1" s="1"/>
  <c r="CQ47" i="1" a="1"/>
  <c r="CQ47" i="1" s="1"/>
  <c r="DG47" i="1" a="1"/>
  <c r="DG47" i="1" s="1"/>
  <c r="CM47" i="1" a="1"/>
  <c r="CM47" i="1" s="1"/>
  <c r="CL47" i="1" a="1"/>
  <c r="CL47" i="1" s="1"/>
  <c r="DI47" i="1" a="1"/>
  <c r="DI47" i="1" s="1"/>
  <c r="CK47" i="1" a="1"/>
  <c r="CK47" i="1" s="1"/>
  <c r="DQ47" i="1" a="1"/>
  <c r="DQ47" i="1" s="1"/>
  <c r="DH47" i="1" a="1"/>
  <c r="DH47" i="1" s="1"/>
  <c r="CJ47" i="1" a="1"/>
  <c r="CJ47" i="1" s="1"/>
  <c r="DS41" i="1" a="1"/>
  <c r="DS41" i="1" s="1"/>
  <c r="DK41" i="1" a="1"/>
  <c r="DK41" i="1" s="1"/>
  <c r="DC41" i="1" a="1"/>
  <c r="DC41" i="1" s="1"/>
  <c r="CU41" i="1" a="1"/>
  <c r="CU41" i="1" s="1"/>
  <c r="CL41" i="1" a="1"/>
  <c r="CL41" i="1" s="1"/>
  <c r="CD41" i="1" a="1"/>
  <c r="CD41" i="1" s="1"/>
  <c r="DR41" i="1" a="1"/>
  <c r="DR41" i="1" s="1"/>
  <c r="DJ41" i="1" a="1"/>
  <c r="DJ41" i="1" s="1"/>
  <c r="DB41" i="1" a="1"/>
  <c r="DB41" i="1" s="1"/>
  <c r="CT41" i="1" a="1"/>
  <c r="CT41" i="1" s="1"/>
  <c r="CK41" i="1" a="1"/>
  <c r="CK41" i="1" s="1"/>
  <c r="CC41" i="1" a="1"/>
  <c r="CC41" i="1" s="1"/>
  <c r="DQ41" i="1" a="1"/>
  <c r="DQ41" i="1" s="1"/>
  <c r="DG41" i="1" a="1"/>
  <c r="DG41" i="1" s="1"/>
  <c r="CW41" i="1" a="1"/>
  <c r="CW41" i="1" s="1"/>
  <c r="CJ41" i="1" a="1"/>
  <c r="CJ41" i="1" s="1"/>
  <c r="BZ41" i="1" a="1"/>
  <c r="BZ41" i="1" s="1"/>
  <c r="DP41" i="1" a="1"/>
  <c r="DP41" i="1" s="1"/>
  <c r="DF41" i="1" a="1"/>
  <c r="DF41" i="1" s="1"/>
  <c r="CV41" i="1" a="1"/>
  <c r="CV41" i="1" s="1"/>
  <c r="CI41" i="1" a="1"/>
  <c r="CI41" i="1" s="1"/>
  <c r="BY41" i="1" a="1"/>
  <c r="BY41" i="1" s="1"/>
  <c r="DO41" i="1" a="1"/>
  <c r="DO41" i="1" s="1"/>
  <c r="DE41" i="1" a="1"/>
  <c r="DE41" i="1" s="1"/>
  <c r="CS41" i="1" a="1"/>
  <c r="CS41" i="1" s="1"/>
  <c r="CH41" i="1" a="1"/>
  <c r="CH41" i="1" s="1"/>
  <c r="BX41" i="1" a="1"/>
  <c r="BX41" i="1" s="1"/>
  <c r="DL41" i="1" a="1"/>
  <c r="DL41" i="1" s="1"/>
  <c r="CE41" i="1" a="1"/>
  <c r="CE41" i="1" s="1"/>
  <c r="DI41" i="1" a="1"/>
  <c r="DI41" i="1" s="1"/>
  <c r="CR41" i="1" a="1"/>
  <c r="CR41" i="1" s="1"/>
  <c r="CB41" i="1" a="1"/>
  <c r="CB41" i="1" s="1"/>
  <c r="DH41" i="1" a="1"/>
  <c r="DH41" i="1" s="1"/>
  <c r="CQ41" i="1" a="1"/>
  <c r="CQ41" i="1" s="1"/>
  <c r="DD41" i="1" a="1"/>
  <c r="DD41" i="1" s="1"/>
  <c r="CG41" i="1" a="1"/>
  <c r="CG41" i="1" s="1"/>
  <c r="DA41" i="1" a="1"/>
  <c r="DA41" i="1" s="1"/>
  <c r="DV41" i="1" a="1"/>
  <c r="DV41" i="1" s="1"/>
  <c r="CF41" i="1" a="1"/>
  <c r="CF41" i="1" s="1"/>
  <c r="CZ41" i="1" a="1"/>
  <c r="CZ41" i="1" s="1"/>
  <c r="CA41" i="1" a="1"/>
  <c r="CA41" i="1" s="1"/>
  <c r="DU41" i="1" a="1"/>
  <c r="DU41" i="1" s="1"/>
  <c r="DM41" i="1" a="1"/>
  <c r="DM41" i="1" s="1"/>
  <c r="CY41" i="1" a="1"/>
  <c r="CY41" i="1" s="1"/>
  <c r="CX41" i="1" a="1"/>
  <c r="CX41" i="1" s="1"/>
  <c r="CP41" i="1" a="1"/>
  <c r="CP41" i="1" s="1"/>
  <c r="CO41" i="1" a="1"/>
  <c r="CO41" i="1" s="1"/>
  <c r="CM41" i="1" a="1"/>
  <c r="CM41" i="1" s="1"/>
  <c r="BW41" i="1" a="1"/>
  <c r="BW41" i="1" s="1"/>
  <c r="DT41" i="1" a="1"/>
  <c r="DT41" i="1" s="1"/>
  <c r="DN41" i="1" a="1"/>
  <c r="DN41" i="1" s="1"/>
  <c r="BS44" i="1"/>
  <c r="BT44" i="1" s="1"/>
  <c r="BU44" i="1" s="1"/>
  <c r="BH45" i="1"/>
  <c r="AR45" i="1"/>
  <c r="AB45" i="1"/>
  <c r="L45" i="1"/>
  <c r="BG45" i="1"/>
  <c r="AQ45" i="1"/>
  <c r="AA45" i="1"/>
  <c r="K45" i="1"/>
  <c r="BF45" i="1"/>
  <c r="AP45" i="1"/>
  <c r="Z45" i="1"/>
  <c r="J45" i="1"/>
  <c r="BE45" i="1"/>
  <c r="BS45" i="1" s="1"/>
  <c r="AO45" i="1"/>
  <c r="Y45" i="1"/>
  <c r="I45" i="1"/>
  <c r="BL45" i="1"/>
  <c r="AN45" i="1"/>
  <c r="T45" i="1"/>
  <c r="BK45" i="1"/>
  <c r="AM45" i="1"/>
  <c r="S45" i="1"/>
  <c r="BJ45" i="1"/>
  <c r="AL45" i="1"/>
  <c r="R45" i="1"/>
  <c r="BI45" i="1"/>
  <c r="AK45" i="1"/>
  <c r="Q45" i="1"/>
  <c r="BD45" i="1"/>
  <c r="AJ45" i="1"/>
  <c r="P45" i="1"/>
  <c r="AT45" i="1"/>
  <c r="H45" i="1"/>
  <c r="BR45" i="1"/>
  <c r="AS45" i="1"/>
  <c r="G45" i="1"/>
  <c r="BQ45" i="1"/>
  <c r="AI45" i="1"/>
  <c r="F45" i="1"/>
  <c r="BP45" i="1"/>
  <c r="AH45" i="1"/>
  <c r="E45" i="1"/>
  <c r="BO45" i="1"/>
  <c r="AG45" i="1"/>
  <c r="D45" i="1"/>
  <c r="AD45" i="1"/>
  <c r="AC45" i="1"/>
  <c r="X45" i="1"/>
  <c r="BN45" i="1"/>
  <c r="W45" i="1"/>
  <c r="BM45" i="1"/>
  <c r="V45" i="1"/>
  <c r="BC45" i="1"/>
  <c r="U45" i="1"/>
  <c r="BB45" i="1"/>
  <c r="O45" i="1"/>
  <c r="DW45" i="1"/>
  <c r="A45" i="1"/>
  <c r="BA45" i="1"/>
  <c r="AZ45" i="1"/>
  <c r="AY45" i="1"/>
  <c r="AX45" i="1"/>
  <c r="AW45" i="1"/>
  <c r="AV45" i="1"/>
  <c r="AU45" i="1"/>
  <c r="AE45" i="1"/>
  <c r="M45" i="1"/>
  <c r="AF45" i="1"/>
  <c r="N45" i="1"/>
  <c r="BS50" i="1"/>
  <c r="BT50" i="1" s="1"/>
  <c r="BU50" i="1" s="1"/>
  <c r="BK48" i="1"/>
  <c r="AU48" i="1"/>
  <c r="AE48" i="1"/>
  <c r="O48" i="1"/>
  <c r="BJ48" i="1"/>
  <c r="AT48" i="1"/>
  <c r="AD48" i="1"/>
  <c r="N48" i="1"/>
  <c r="BI48" i="1"/>
  <c r="AS48" i="1"/>
  <c r="AC48" i="1"/>
  <c r="M48" i="1"/>
  <c r="BH48" i="1"/>
  <c r="AR48" i="1"/>
  <c r="AB48" i="1"/>
  <c r="L48" i="1"/>
  <c r="AY48" i="1"/>
  <c r="AA48" i="1"/>
  <c r="G48" i="1"/>
  <c r="C49" i="1"/>
  <c r="BR48" i="1"/>
  <c r="AX48" i="1"/>
  <c r="Z48" i="1"/>
  <c r="F48" i="1"/>
  <c r="BQ48" i="1"/>
  <c r="AW48" i="1"/>
  <c r="Y48" i="1"/>
  <c r="E48" i="1"/>
  <c r="DW48" i="1"/>
  <c r="BP48" i="1"/>
  <c r="AV48" i="1"/>
  <c r="X48" i="1"/>
  <c r="D48" i="1"/>
  <c r="BO48" i="1"/>
  <c r="AQ48" i="1"/>
  <c r="W48" i="1"/>
  <c r="AO48" i="1"/>
  <c r="P48" i="1"/>
  <c r="AN48" i="1"/>
  <c r="K48" i="1"/>
  <c r="AM48" i="1"/>
  <c r="J48" i="1"/>
  <c r="AL48" i="1"/>
  <c r="I48" i="1"/>
  <c r="BN48" i="1"/>
  <c r="AK48" i="1"/>
  <c r="H48" i="1"/>
  <c r="BA48" i="1"/>
  <c r="AZ48" i="1"/>
  <c r="AP48" i="1"/>
  <c r="AJ48" i="1"/>
  <c r="AI48" i="1"/>
  <c r="AH48" i="1"/>
  <c r="AG48" i="1"/>
  <c r="BC48" i="1"/>
  <c r="BB48" i="1"/>
  <c r="AF48" i="1"/>
  <c r="V48" i="1"/>
  <c r="U48" i="1"/>
  <c r="T48" i="1"/>
  <c r="S48" i="1"/>
  <c r="R48" i="1"/>
  <c r="Q48" i="1"/>
  <c r="BG48" i="1"/>
  <c r="A48" i="1"/>
  <c r="BM48" i="1"/>
  <c r="BF48" i="1"/>
  <c r="BD48" i="1"/>
  <c r="BL48" i="1"/>
  <c r="BE48" i="1"/>
  <c r="BS48" i="1" s="1"/>
  <c r="BT41" i="1"/>
  <c r="BS47" i="1"/>
  <c r="BT47" i="1" s="1"/>
  <c r="BU47" i="1" s="1"/>
  <c r="BU41" i="1"/>
  <c r="DO50" i="1" a="1"/>
  <c r="DO50" i="1" s="1"/>
  <c r="DG50" i="1" a="1"/>
  <c r="DG50" i="1" s="1"/>
  <c r="CY50" i="1" a="1"/>
  <c r="CY50" i="1" s="1"/>
  <c r="CQ50" i="1" a="1"/>
  <c r="CQ50" i="1" s="1"/>
  <c r="CH50" i="1" a="1"/>
  <c r="CH50" i="1" s="1"/>
  <c r="BZ50" i="1" a="1"/>
  <c r="BZ50" i="1" s="1"/>
  <c r="DV50" i="1" a="1"/>
  <c r="DV50" i="1" s="1"/>
  <c r="DN50" i="1" a="1"/>
  <c r="DN50" i="1" s="1"/>
  <c r="DF50" i="1" a="1"/>
  <c r="DF50" i="1" s="1"/>
  <c r="CX50" i="1" a="1"/>
  <c r="CX50" i="1" s="1"/>
  <c r="CP50" i="1" a="1"/>
  <c r="CP50" i="1" s="1"/>
  <c r="CG50" i="1" a="1"/>
  <c r="CG50" i="1" s="1"/>
  <c r="BY50" i="1" a="1"/>
  <c r="BY50" i="1" s="1"/>
  <c r="DS50" i="1" a="1"/>
  <c r="DS50" i="1" s="1"/>
  <c r="DI50" i="1" a="1"/>
  <c r="DI50" i="1" s="1"/>
  <c r="CW50" i="1" a="1"/>
  <c r="CW50" i="1" s="1"/>
  <c r="CL50" i="1" a="1"/>
  <c r="CL50" i="1" s="1"/>
  <c r="CB50" i="1" a="1"/>
  <c r="CB50" i="1" s="1"/>
  <c r="DR50" i="1" a="1"/>
  <c r="DR50" i="1" s="1"/>
  <c r="DH50" i="1" a="1"/>
  <c r="DH50" i="1" s="1"/>
  <c r="CV50" i="1" a="1"/>
  <c r="CV50" i="1" s="1"/>
  <c r="CK50" i="1" a="1"/>
  <c r="CK50" i="1" s="1"/>
  <c r="CA50" i="1" a="1"/>
  <c r="CA50" i="1" s="1"/>
  <c r="DA50" i="1" a="1"/>
  <c r="DA50" i="1" s="1"/>
  <c r="CI50" i="1" a="1"/>
  <c r="CI50" i="1" s="1"/>
  <c r="DM50" i="1" a="1"/>
  <c r="DM50" i="1" s="1"/>
  <c r="CZ50" i="1" a="1"/>
  <c r="CZ50" i="1" s="1"/>
  <c r="CF50" i="1" a="1"/>
  <c r="CF50" i="1" s="1"/>
  <c r="DL50" i="1" a="1"/>
  <c r="DL50" i="1" s="1"/>
  <c r="CU50" i="1" a="1"/>
  <c r="CU50" i="1" s="1"/>
  <c r="CE50" i="1" a="1"/>
  <c r="CE50" i="1" s="1"/>
  <c r="DJ50" i="1" a="1"/>
  <c r="DJ50" i="1" s="1"/>
  <c r="DE50" i="1" a="1"/>
  <c r="DE50" i="1" s="1"/>
  <c r="CM50" i="1" a="1"/>
  <c r="CM50" i="1" s="1"/>
  <c r="CJ50" i="1" a="1"/>
  <c r="CJ50" i="1" s="1"/>
  <c r="DD50" i="1" a="1"/>
  <c r="DD50" i="1" s="1"/>
  <c r="DC50" i="1" a="1"/>
  <c r="DC50" i="1" s="1"/>
  <c r="CD50" i="1" a="1"/>
  <c r="CD50" i="1" s="1"/>
  <c r="DU50" i="1" a="1"/>
  <c r="DU50" i="1" s="1"/>
  <c r="CO50" i="1" a="1"/>
  <c r="CO50" i="1" s="1"/>
  <c r="CC50" i="1" a="1"/>
  <c r="CC50" i="1" s="1"/>
  <c r="DT50" i="1" a="1"/>
  <c r="DT50" i="1" s="1"/>
  <c r="BX50" i="1" a="1"/>
  <c r="BX50" i="1" s="1"/>
  <c r="DQ50" i="1" a="1"/>
  <c r="DQ50" i="1" s="1"/>
  <c r="BW50" i="1" a="1"/>
  <c r="BW50" i="1" s="1"/>
  <c r="DP50" i="1" a="1"/>
  <c r="DP50" i="1" s="1"/>
  <c r="DK50" i="1" a="1"/>
  <c r="DK50" i="1" s="1"/>
  <c r="DB50" i="1" a="1"/>
  <c r="DB50" i="1" s="1"/>
  <c r="CT50" i="1" a="1"/>
  <c r="CT50" i="1" s="1"/>
  <c r="CS50" i="1" a="1"/>
  <c r="CS50" i="1" s="1"/>
  <c r="CR50" i="1" a="1"/>
  <c r="CR50" i="1" s="1"/>
  <c r="C52" i="1"/>
  <c r="BN51" i="1"/>
  <c r="AX51" i="1"/>
  <c r="AH51" i="1"/>
  <c r="R51" i="1"/>
  <c r="A51" i="1"/>
  <c r="BM51" i="1"/>
  <c r="AW51" i="1"/>
  <c r="AG51" i="1"/>
  <c r="Q51" i="1"/>
  <c r="DW51" i="1"/>
  <c r="BL51" i="1"/>
  <c r="AV51" i="1"/>
  <c r="AF51" i="1"/>
  <c r="P51" i="1"/>
  <c r="BK51" i="1"/>
  <c r="AU51" i="1"/>
  <c r="AE51" i="1"/>
  <c r="O51" i="1"/>
  <c r="BF51" i="1"/>
  <c r="AL51" i="1"/>
  <c r="N51" i="1"/>
  <c r="BE51" i="1"/>
  <c r="BS51" i="1" s="1"/>
  <c r="AK51" i="1"/>
  <c r="M51" i="1"/>
  <c r="BD51" i="1"/>
  <c r="AJ51" i="1"/>
  <c r="L51" i="1"/>
  <c r="BC51" i="1"/>
  <c r="AI51" i="1"/>
  <c r="K51" i="1"/>
  <c r="BB51" i="1"/>
  <c r="AD51" i="1"/>
  <c r="J51" i="1"/>
  <c r="AS51" i="1"/>
  <c r="T51" i="1"/>
  <c r="AR51" i="1"/>
  <c r="S51" i="1"/>
  <c r="AQ51" i="1"/>
  <c r="I51" i="1"/>
  <c r="AP51" i="1"/>
  <c r="H51" i="1"/>
  <c r="BR51" i="1"/>
  <c r="BT51" i="1" s="1"/>
  <c r="AO51" i="1"/>
  <c r="G51" i="1"/>
  <c r="BJ51" i="1"/>
  <c r="W51" i="1"/>
  <c r="BI51" i="1"/>
  <c r="V51" i="1"/>
  <c r="BH51" i="1"/>
  <c r="U51" i="1"/>
  <c r="BG51" i="1"/>
  <c r="F51" i="1"/>
  <c r="BA51" i="1"/>
  <c r="E51" i="1"/>
  <c r="AZ51" i="1"/>
  <c r="D51" i="1"/>
  <c r="AY51" i="1"/>
  <c r="BQ51" i="1"/>
  <c r="BP51" i="1"/>
  <c r="BO51" i="1"/>
  <c r="AT51" i="1"/>
  <c r="AN51" i="1"/>
  <c r="Z51" i="1"/>
  <c r="Y51" i="1"/>
  <c r="AM51" i="1"/>
  <c r="X51" i="1"/>
  <c r="AC51" i="1"/>
  <c r="AB51" i="1"/>
  <c r="AA51" i="1"/>
  <c r="BQ54" i="1"/>
  <c r="BA54" i="1"/>
  <c r="AK54" i="1"/>
  <c r="U54" i="1"/>
  <c r="E54" i="1"/>
  <c r="BP54" i="1"/>
  <c r="AZ54" i="1"/>
  <c r="AJ54" i="1"/>
  <c r="T54" i="1"/>
  <c r="D54" i="1"/>
  <c r="BO54" i="1"/>
  <c r="AY54" i="1"/>
  <c r="AI54" i="1"/>
  <c r="S54" i="1"/>
  <c r="C55" i="1"/>
  <c r="BN54" i="1"/>
  <c r="AX54" i="1"/>
  <c r="AH54" i="1"/>
  <c r="R54" i="1"/>
  <c r="A54" i="1"/>
  <c r="BM54" i="1"/>
  <c r="AS54" i="1"/>
  <c r="Y54" i="1"/>
  <c r="BL54" i="1"/>
  <c r="AR54" i="1"/>
  <c r="X54" i="1"/>
  <c r="BK54" i="1"/>
  <c r="AQ54" i="1"/>
  <c r="W54" i="1"/>
  <c r="BJ54" i="1"/>
  <c r="AP54" i="1"/>
  <c r="V54" i="1"/>
  <c r="BI54" i="1"/>
  <c r="AO54" i="1"/>
  <c r="Q54" i="1"/>
  <c r="AW54" i="1"/>
  <c r="O54" i="1"/>
  <c r="AV54" i="1"/>
  <c r="N54" i="1"/>
  <c r="AU54" i="1"/>
  <c r="M54" i="1"/>
  <c r="AT54" i="1"/>
  <c r="L54" i="1"/>
  <c r="AN54" i="1"/>
  <c r="K54" i="1"/>
  <c r="DW54" i="1"/>
  <c r="AF54" i="1"/>
  <c r="AE54" i="1"/>
  <c r="AD54" i="1"/>
  <c r="AC54" i="1"/>
  <c r="AB54" i="1"/>
  <c r="BR54" i="1"/>
  <c r="AA54" i="1"/>
  <c r="BH54" i="1"/>
  <c r="Z54" i="1"/>
  <c r="AM54" i="1"/>
  <c r="AL54" i="1"/>
  <c r="AG54" i="1"/>
  <c r="P54" i="1"/>
  <c r="J54" i="1"/>
  <c r="I54" i="1"/>
  <c r="H54" i="1"/>
  <c r="G54" i="1"/>
  <c r="F54" i="1"/>
  <c r="BG54" i="1"/>
  <c r="C58" i="1"/>
  <c r="BF54" i="1"/>
  <c r="BD54" i="1"/>
  <c r="BB54" i="1"/>
  <c r="BE54" i="1"/>
  <c r="BS54" i="1" s="1"/>
  <c r="BC54" i="1"/>
  <c r="BT48" i="1" l="1"/>
  <c r="DV48" i="1" a="1"/>
  <c r="DV48" i="1" s="1"/>
  <c r="DN48" i="1" a="1"/>
  <c r="DN48" i="1" s="1"/>
  <c r="DF48" i="1" a="1"/>
  <c r="DF48" i="1" s="1"/>
  <c r="CX48" i="1" a="1"/>
  <c r="CX48" i="1" s="1"/>
  <c r="CP48" i="1" a="1"/>
  <c r="CP48" i="1" s="1"/>
  <c r="CG48" i="1" a="1"/>
  <c r="CG48" i="1" s="1"/>
  <c r="BY48" i="1" a="1"/>
  <c r="BY48" i="1" s="1"/>
  <c r="DU48" i="1" a="1"/>
  <c r="DU48" i="1" s="1"/>
  <c r="DM48" i="1" a="1"/>
  <c r="DM48" i="1" s="1"/>
  <c r="DE48" i="1" a="1"/>
  <c r="DE48" i="1" s="1"/>
  <c r="CW48" i="1" a="1"/>
  <c r="CW48" i="1" s="1"/>
  <c r="CO48" i="1" a="1"/>
  <c r="CO48" i="1" s="1"/>
  <c r="CF48" i="1" a="1"/>
  <c r="CF48" i="1" s="1"/>
  <c r="BX48" i="1" a="1"/>
  <c r="BX48" i="1" s="1"/>
  <c r="DL48" i="1" a="1"/>
  <c r="DL48" i="1" s="1"/>
  <c r="DB48" i="1" a="1"/>
  <c r="DB48" i="1" s="1"/>
  <c r="CR48" i="1" a="1"/>
  <c r="CR48" i="1" s="1"/>
  <c r="CE48" i="1" a="1"/>
  <c r="CE48" i="1" s="1"/>
  <c r="DK48" i="1" a="1"/>
  <c r="DK48" i="1" s="1"/>
  <c r="DA48" i="1" a="1"/>
  <c r="DA48" i="1" s="1"/>
  <c r="CQ48" i="1" a="1"/>
  <c r="CQ48" i="1" s="1"/>
  <c r="CD48" i="1" a="1"/>
  <c r="CD48" i="1" s="1"/>
  <c r="DD48" i="1" a="1"/>
  <c r="DD48" i="1" s="1"/>
  <c r="CL48" i="1" a="1"/>
  <c r="CL48" i="1" s="1"/>
  <c r="DR48" i="1" a="1"/>
  <c r="DR48" i="1" s="1"/>
  <c r="BW48" i="1" a="1"/>
  <c r="BW48" i="1" s="1"/>
  <c r="DC48" i="1" a="1"/>
  <c r="DC48" i="1" s="1"/>
  <c r="CK48" i="1" a="1"/>
  <c r="CK48" i="1" s="1"/>
  <c r="DQ48" i="1" a="1"/>
  <c r="DQ48" i="1" s="1"/>
  <c r="CZ48" i="1" a="1"/>
  <c r="CZ48" i="1" s="1"/>
  <c r="CJ48" i="1" a="1"/>
  <c r="CJ48" i="1" s="1"/>
  <c r="DG48" i="1" a="1"/>
  <c r="DG48" i="1" s="1"/>
  <c r="CH48" i="1" a="1"/>
  <c r="CH48" i="1" s="1"/>
  <c r="CC48" i="1" a="1"/>
  <c r="CC48" i="1" s="1"/>
  <c r="CY48" i="1" a="1"/>
  <c r="CY48" i="1" s="1"/>
  <c r="CB48" i="1" a="1"/>
  <c r="CB48" i="1" s="1"/>
  <c r="DT48" i="1" a="1"/>
  <c r="DT48" i="1" s="1"/>
  <c r="CV48" i="1" a="1"/>
  <c r="CV48" i="1" s="1"/>
  <c r="CA48" i="1" a="1"/>
  <c r="CA48" i="1" s="1"/>
  <c r="DS48" i="1" a="1"/>
  <c r="DS48" i="1" s="1"/>
  <c r="CU48" i="1" a="1"/>
  <c r="CU48" i="1" s="1"/>
  <c r="CT48" i="1" a="1"/>
  <c r="CT48" i="1" s="1"/>
  <c r="CS48" i="1" a="1"/>
  <c r="CS48" i="1" s="1"/>
  <c r="CM48" i="1" a="1"/>
  <c r="CM48" i="1" s="1"/>
  <c r="DP48" i="1" a="1"/>
  <c r="DP48" i="1" s="1"/>
  <c r="CI48" i="1" a="1"/>
  <c r="CI48" i="1" s="1"/>
  <c r="DO48" i="1" a="1"/>
  <c r="DO48" i="1" s="1"/>
  <c r="DJ48" i="1" a="1"/>
  <c r="DJ48" i="1" s="1"/>
  <c r="BZ48" i="1" a="1"/>
  <c r="BZ48" i="1" s="1"/>
  <c r="DI48" i="1" a="1"/>
  <c r="DI48" i="1" s="1"/>
  <c r="DH48" i="1" a="1"/>
  <c r="DH48" i="1" s="1"/>
  <c r="BT54" i="1"/>
  <c r="DQ54" i="1" a="1"/>
  <c r="DQ54" i="1" s="1"/>
  <c r="DI54" i="1" a="1"/>
  <c r="DI54" i="1" s="1"/>
  <c r="DA54" i="1" a="1"/>
  <c r="DA54" i="1" s="1"/>
  <c r="CS54" i="1" a="1"/>
  <c r="CS54" i="1" s="1"/>
  <c r="CJ54" i="1" a="1"/>
  <c r="CJ54" i="1" s="1"/>
  <c r="CB54" i="1" a="1"/>
  <c r="CB54" i="1" s="1"/>
  <c r="DP54" i="1" a="1"/>
  <c r="DP54" i="1" s="1"/>
  <c r="DH54" i="1" a="1"/>
  <c r="DH54" i="1" s="1"/>
  <c r="CZ54" i="1" a="1"/>
  <c r="CZ54" i="1" s="1"/>
  <c r="CR54" i="1" a="1"/>
  <c r="CR54" i="1" s="1"/>
  <c r="CI54" i="1" a="1"/>
  <c r="CI54" i="1" s="1"/>
  <c r="CA54" i="1" a="1"/>
  <c r="CA54" i="1" s="1"/>
  <c r="DU54" i="1" a="1"/>
  <c r="DU54" i="1" s="1"/>
  <c r="DK54" i="1" a="1"/>
  <c r="DK54" i="1" s="1"/>
  <c r="CY54" i="1" a="1"/>
  <c r="CY54" i="1" s="1"/>
  <c r="CO54" i="1" a="1"/>
  <c r="CO54" i="1" s="1"/>
  <c r="CD54" i="1" a="1"/>
  <c r="CD54" i="1" s="1"/>
  <c r="DT54" i="1" a="1"/>
  <c r="DT54" i="1" s="1"/>
  <c r="DJ54" i="1" a="1"/>
  <c r="DJ54" i="1" s="1"/>
  <c r="CX54" i="1" a="1"/>
  <c r="CX54" i="1" s="1"/>
  <c r="CM54" i="1" a="1"/>
  <c r="CM54" i="1" s="1"/>
  <c r="CC54" i="1" a="1"/>
  <c r="CC54" i="1" s="1"/>
  <c r="CQ54" i="1" a="1"/>
  <c r="CQ54" i="1" s="1"/>
  <c r="BY54" i="1" a="1"/>
  <c r="BY54" i="1" s="1"/>
  <c r="DV54" i="1" a="1"/>
  <c r="DV54" i="1" s="1"/>
  <c r="DE54" i="1" a="1"/>
  <c r="DE54" i="1" s="1"/>
  <c r="DS54" i="1" a="1"/>
  <c r="DS54" i="1" s="1"/>
  <c r="CP54" i="1" a="1"/>
  <c r="CP54" i="1" s="1"/>
  <c r="BX54" i="1" a="1"/>
  <c r="BX54" i="1" s="1"/>
  <c r="DD54" i="1" a="1"/>
  <c r="DD54" i="1" s="1"/>
  <c r="CL54" i="1" a="1"/>
  <c r="CL54" i="1" s="1"/>
  <c r="DR54" i="1" a="1"/>
  <c r="DR54" i="1" s="1"/>
  <c r="BW54" i="1" a="1"/>
  <c r="BW54" i="1" s="1"/>
  <c r="BZ54" i="1" a="1"/>
  <c r="BZ54" i="1" s="1"/>
  <c r="CV54" i="1" a="1"/>
  <c r="CV54" i="1" s="1"/>
  <c r="DO54" i="1" a="1"/>
  <c r="DO54" i="1" s="1"/>
  <c r="CU54" i="1" a="1"/>
  <c r="CU54" i="1" s="1"/>
  <c r="DN54" i="1" a="1"/>
  <c r="DN54" i="1" s="1"/>
  <c r="CT54" i="1" a="1"/>
  <c r="CT54" i="1" s="1"/>
  <c r="DM54" i="1" a="1"/>
  <c r="DM54" i="1" s="1"/>
  <c r="CW54" i="1" a="1"/>
  <c r="CW54" i="1" s="1"/>
  <c r="CK54" i="1" a="1"/>
  <c r="CK54" i="1" s="1"/>
  <c r="CH54" i="1" a="1"/>
  <c r="CH54" i="1" s="1"/>
  <c r="CG54" i="1" a="1"/>
  <c r="CG54" i="1" s="1"/>
  <c r="CF54" i="1" a="1"/>
  <c r="CF54" i="1" s="1"/>
  <c r="CE54" i="1" a="1"/>
  <c r="CE54" i="1" s="1"/>
  <c r="DG54" i="1" a="1"/>
  <c r="DG54" i="1" s="1"/>
  <c r="DL54" i="1" a="1"/>
  <c r="DL54" i="1" s="1"/>
  <c r="DF54" i="1" a="1"/>
  <c r="DF54" i="1" s="1"/>
  <c r="DC54" i="1" a="1"/>
  <c r="DC54" i="1" s="1"/>
  <c r="DB54" i="1" a="1"/>
  <c r="DB54" i="1" s="1"/>
  <c r="DW58" i="1"/>
  <c r="BL58" i="1"/>
  <c r="AV58" i="1"/>
  <c r="AF58" i="1"/>
  <c r="P58" i="1"/>
  <c r="C62" i="1"/>
  <c r="BK58" i="1"/>
  <c r="AU58" i="1"/>
  <c r="AE58" i="1"/>
  <c r="O58" i="1"/>
  <c r="BI58" i="1"/>
  <c r="AS58" i="1"/>
  <c r="AC58" i="1"/>
  <c r="M58" i="1"/>
  <c r="BQ58" i="1"/>
  <c r="AX58" i="1"/>
  <c r="AB58" i="1"/>
  <c r="I58" i="1"/>
  <c r="BP58" i="1"/>
  <c r="AW58" i="1"/>
  <c r="AA58" i="1"/>
  <c r="H58" i="1"/>
  <c r="BO58" i="1"/>
  <c r="AT58" i="1"/>
  <c r="Z58" i="1"/>
  <c r="G58" i="1"/>
  <c r="BN58" i="1"/>
  <c r="AR58" i="1"/>
  <c r="Y58" i="1"/>
  <c r="F58" i="1"/>
  <c r="BB58" i="1"/>
  <c r="X58" i="1"/>
  <c r="BA58" i="1"/>
  <c r="W58" i="1"/>
  <c r="AZ58" i="1"/>
  <c r="V58" i="1"/>
  <c r="AY58" i="1"/>
  <c r="U58" i="1"/>
  <c r="C59" i="1"/>
  <c r="AQ58" i="1"/>
  <c r="T58" i="1"/>
  <c r="BF58" i="1"/>
  <c r="R58" i="1"/>
  <c r="BE58" i="1"/>
  <c r="Q58" i="1"/>
  <c r="BD58" i="1"/>
  <c r="N58" i="1"/>
  <c r="BC58" i="1"/>
  <c r="L58" i="1"/>
  <c r="AP58" i="1"/>
  <c r="K58" i="1"/>
  <c r="AJ58" i="1"/>
  <c r="AI58" i="1"/>
  <c r="AH58" i="1"/>
  <c r="AG58" i="1"/>
  <c r="AD58" i="1"/>
  <c r="S58" i="1"/>
  <c r="BR58" i="1"/>
  <c r="J58" i="1"/>
  <c r="BM58" i="1"/>
  <c r="BJ58" i="1"/>
  <c r="BH58" i="1"/>
  <c r="BG58" i="1"/>
  <c r="AO58" i="1"/>
  <c r="AN58" i="1"/>
  <c r="AM58" i="1"/>
  <c r="AL58" i="1"/>
  <c r="AK58" i="1"/>
  <c r="D58" i="1"/>
  <c r="A58" i="1"/>
  <c r="E58" i="1"/>
  <c r="DW49" i="1"/>
  <c r="BL49" i="1"/>
  <c r="AV49" i="1"/>
  <c r="AF49" i="1"/>
  <c r="P49" i="1"/>
  <c r="BK49" i="1"/>
  <c r="AU49" i="1"/>
  <c r="AE49" i="1"/>
  <c r="O49" i="1"/>
  <c r="BJ49" i="1"/>
  <c r="AT49" i="1"/>
  <c r="AD49" i="1"/>
  <c r="N49" i="1"/>
  <c r="BI49" i="1"/>
  <c r="AS49" i="1"/>
  <c r="AC49" i="1"/>
  <c r="M49" i="1"/>
  <c r="BP49" i="1"/>
  <c r="AR49" i="1"/>
  <c r="X49" i="1"/>
  <c r="D49" i="1"/>
  <c r="BO49" i="1"/>
  <c r="AQ49" i="1"/>
  <c r="W49" i="1"/>
  <c r="BN49" i="1"/>
  <c r="AP49" i="1"/>
  <c r="V49" i="1"/>
  <c r="A49" i="1"/>
  <c r="BM49" i="1"/>
  <c r="AO49" i="1"/>
  <c r="U49" i="1"/>
  <c r="BH49" i="1"/>
  <c r="AN49" i="1"/>
  <c r="T49" i="1"/>
  <c r="BC49" i="1"/>
  <c r="Z49" i="1"/>
  <c r="BB49" i="1"/>
  <c r="Y49" i="1"/>
  <c r="BA49" i="1"/>
  <c r="S49" i="1"/>
  <c r="AZ49" i="1"/>
  <c r="R49" i="1"/>
  <c r="AY49" i="1"/>
  <c r="Q49" i="1"/>
  <c r="BD49" i="1"/>
  <c r="H49" i="1"/>
  <c r="AX49" i="1"/>
  <c r="G49" i="1"/>
  <c r="AW49" i="1"/>
  <c r="F49" i="1"/>
  <c r="AM49" i="1"/>
  <c r="E49" i="1"/>
  <c r="AL49" i="1"/>
  <c r="AK49" i="1"/>
  <c r="AJ49" i="1"/>
  <c r="AG49" i="1"/>
  <c r="AB49" i="1"/>
  <c r="AA49" i="1"/>
  <c r="L49" i="1"/>
  <c r="K49" i="1"/>
  <c r="J49" i="1"/>
  <c r="I49" i="1"/>
  <c r="BR49" i="1"/>
  <c r="BF49" i="1"/>
  <c r="BE49" i="1"/>
  <c r="AH49" i="1"/>
  <c r="BQ49" i="1"/>
  <c r="BG49" i="1"/>
  <c r="AI49" i="1"/>
  <c r="DU45" i="1" a="1"/>
  <c r="DU45" i="1" s="1"/>
  <c r="DM45" i="1" a="1"/>
  <c r="DM45" i="1" s="1"/>
  <c r="DE45" i="1" a="1"/>
  <c r="DE45" i="1" s="1"/>
  <c r="CW45" i="1" a="1"/>
  <c r="CW45" i="1" s="1"/>
  <c r="CO45" i="1" a="1"/>
  <c r="CO45" i="1" s="1"/>
  <c r="CF45" i="1" a="1"/>
  <c r="CF45" i="1" s="1"/>
  <c r="BX45" i="1" a="1"/>
  <c r="BX45" i="1" s="1"/>
  <c r="DT45" i="1" a="1"/>
  <c r="DT45" i="1" s="1"/>
  <c r="DL45" i="1" a="1"/>
  <c r="DL45" i="1" s="1"/>
  <c r="DD45" i="1" a="1"/>
  <c r="DD45" i="1" s="1"/>
  <c r="CV45" i="1" a="1"/>
  <c r="CV45" i="1" s="1"/>
  <c r="CM45" i="1" a="1"/>
  <c r="CM45" i="1" s="1"/>
  <c r="CE45" i="1" a="1"/>
  <c r="CE45" i="1" s="1"/>
  <c r="BW45" i="1" a="1"/>
  <c r="BW45" i="1" s="1"/>
  <c r="DS45" i="1" a="1"/>
  <c r="DS45" i="1" s="1"/>
  <c r="DI45" i="1" a="1"/>
  <c r="DI45" i="1" s="1"/>
  <c r="CY45" i="1" a="1"/>
  <c r="CY45" i="1" s="1"/>
  <c r="CL45" i="1" a="1"/>
  <c r="CL45" i="1" s="1"/>
  <c r="CB45" i="1" a="1"/>
  <c r="CB45" i="1" s="1"/>
  <c r="DR45" i="1" a="1"/>
  <c r="DR45" i="1" s="1"/>
  <c r="DH45" i="1" a="1"/>
  <c r="DH45" i="1" s="1"/>
  <c r="CX45" i="1" a="1"/>
  <c r="CX45" i="1" s="1"/>
  <c r="CK45" i="1" a="1"/>
  <c r="CK45" i="1" s="1"/>
  <c r="CA45" i="1" a="1"/>
  <c r="CA45" i="1" s="1"/>
  <c r="DQ45" i="1" a="1"/>
  <c r="DQ45" i="1" s="1"/>
  <c r="DG45" i="1" a="1"/>
  <c r="DG45" i="1" s="1"/>
  <c r="CU45" i="1" a="1"/>
  <c r="CU45" i="1" s="1"/>
  <c r="CJ45" i="1" a="1"/>
  <c r="CJ45" i="1" s="1"/>
  <c r="BZ45" i="1" a="1"/>
  <c r="BZ45" i="1" s="1"/>
  <c r="DB45" i="1" a="1"/>
  <c r="DB45" i="1" s="1"/>
  <c r="DP45" i="1" a="1"/>
  <c r="DP45" i="1" s="1"/>
  <c r="DA45" i="1" a="1"/>
  <c r="DA45" i="1" s="1"/>
  <c r="CI45" i="1" a="1"/>
  <c r="CI45" i="1" s="1"/>
  <c r="DO45" i="1" a="1"/>
  <c r="DO45" i="1" s="1"/>
  <c r="CZ45" i="1" a="1"/>
  <c r="CZ45" i="1" s="1"/>
  <c r="CH45" i="1" a="1"/>
  <c r="CH45" i="1" s="1"/>
  <c r="DV45" i="1" a="1"/>
  <c r="DV45" i="1" s="1"/>
  <c r="BY45" i="1" a="1"/>
  <c r="BY45" i="1" s="1"/>
  <c r="CS45" i="1" a="1"/>
  <c r="CS45" i="1" s="1"/>
  <c r="DN45" i="1" a="1"/>
  <c r="DN45" i="1" s="1"/>
  <c r="CR45" i="1" a="1"/>
  <c r="CR45" i="1" s="1"/>
  <c r="DK45" i="1" a="1"/>
  <c r="DK45" i="1" s="1"/>
  <c r="CQ45" i="1" a="1"/>
  <c r="CQ45" i="1" s="1"/>
  <c r="DJ45" i="1" a="1"/>
  <c r="DJ45" i="1" s="1"/>
  <c r="CD45" i="1" a="1"/>
  <c r="CD45" i="1" s="1"/>
  <c r="CC45" i="1" a="1"/>
  <c r="CC45" i="1" s="1"/>
  <c r="DF45" i="1" a="1"/>
  <c r="DF45" i="1" s="1"/>
  <c r="DC45" i="1" a="1"/>
  <c r="DC45" i="1" s="1"/>
  <c r="CG45" i="1" a="1"/>
  <c r="CG45" i="1" s="1"/>
  <c r="CP45" i="1" a="1"/>
  <c r="CP45" i="1" s="1"/>
  <c r="CT45" i="1" a="1"/>
  <c r="CT45" i="1" s="1"/>
  <c r="BR55" i="1"/>
  <c r="BB55" i="1"/>
  <c r="AL55" i="1"/>
  <c r="V55" i="1"/>
  <c r="F55" i="1"/>
  <c r="BQ55" i="1"/>
  <c r="BA55" i="1"/>
  <c r="AK55" i="1"/>
  <c r="U55" i="1"/>
  <c r="E55" i="1"/>
  <c r="BP55" i="1"/>
  <c r="AZ55" i="1"/>
  <c r="AJ55" i="1"/>
  <c r="T55" i="1"/>
  <c r="D55" i="1"/>
  <c r="BO55" i="1"/>
  <c r="AY55" i="1"/>
  <c r="AI55" i="1"/>
  <c r="S55" i="1"/>
  <c r="BJ55" i="1"/>
  <c r="AP55" i="1"/>
  <c r="R55" i="1"/>
  <c r="BI55" i="1"/>
  <c r="AO55" i="1"/>
  <c r="Q55" i="1"/>
  <c r="BH55" i="1"/>
  <c r="AN55" i="1"/>
  <c r="P55" i="1"/>
  <c r="BG55" i="1"/>
  <c r="AM55" i="1"/>
  <c r="O55" i="1"/>
  <c r="BF55" i="1"/>
  <c r="AH55" i="1"/>
  <c r="N55" i="1"/>
  <c r="BK55" i="1"/>
  <c r="AC55" i="1"/>
  <c r="BE55" i="1"/>
  <c r="AB55" i="1"/>
  <c r="C56" i="1"/>
  <c r="BD55" i="1"/>
  <c r="AA55" i="1"/>
  <c r="BC55" i="1"/>
  <c r="Z55" i="1"/>
  <c r="DW55" i="1"/>
  <c r="AX55" i="1"/>
  <c r="Y55" i="1"/>
  <c r="AR55" i="1"/>
  <c r="AQ55" i="1"/>
  <c r="AG55" i="1"/>
  <c r="AF55" i="1"/>
  <c r="AE55" i="1"/>
  <c r="AD55" i="1"/>
  <c r="X55" i="1"/>
  <c r="M55" i="1"/>
  <c r="L55" i="1"/>
  <c r="K55" i="1"/>
  <c r="J55" i="1"/>
  <c r="I55" i="1"/>
  <c r="H55" i="1"/>
  <c r="G55" i="1"/>
  <c r="BN55" i="1"/>
  <c r="A55" i="1"/>
  <c r="BM55" i="1"/>
  <c r="BL55" i="1"/>
  <c r="AW55" i="1"/>
  <c r="AS55" i="1"/>
  <c r="AV55" i="1"/>
  <c r="AT55" i="1"/>
  <c r="W55" i="1"/>
  <c r="AU55" i="1"/>
  <c r="BU51" i="1"/>
  <c r="BO52" i="1"/>
  <c r="AY52" i="1"/>
  <c r="AI52" i="1"/>
  <c r="S52" i="1"/>
  <c r="C53" i="1"/>
  <c r="BN52" i="1"/>
  <c r="AX52" i="1"/>
  <c r="AH52" i="1"/>
  <c r="R52" i="1"/>
  <c r="A52" i="1"/>
  <c r="BM52" i="1"/>
  <c r="AW52" i="1"/>
  <c r="AG52" i="1"/>
  <c r="Q52" i="1"/>
  <c r="DW52" i="1"/>
  <c r="BL52" i="1"/>
  <c r="AV52" i="1"/>
  <c r="AF52" i="1"/>
  <c r="P52" i="1"/>
  <c r="BC52" i="1"/>
  <c r="AE52" i="1"/>
  <c r="K52" i="1"/>
  <c r="BB52" i="1"/>
  <c r="AD52" i="1"/>
  <c r="J52" i="1"/>
  <c r="BA52" i="1"/>
  <c r="AC52" i="1"/>
  <c r="I52" i="1"/>
  <c r="AZ52" i="1"/>
  <c r="AB52" i="1"/>
  <c r="H52" i="1"/>
  <c r="AU52" i="1"/>
  <c r="AA52" i="1"/>
  <c r="G52" i="1"/>
  <c r="BG52" i="1"/>
  <c r="Y52" i="1"/>
  <c r="BF52" i="1"/>
  <c r="X52" i="1"/>
  <c r="BE52" i="1"/>
  <c r="W52" i="1"/>
  <c r="BD52" i="1"/>
  <c r="V52" i="1"/>
  <c r="AT52" i="1"/>
  <c r="U52" i="1"/>
  <c r="BQ52" i="1"/>
  <c r="Z52" i="1"/>
  <c r="BP52" i="1"/>
  <c r="T52" i="1"/>
  <c r="BK52" i="1"/>
  <c r="O52" i="1"/>
  <c r="BJ52" i="1"/>
  <c r="N52" i="1"/>
  <c r="BI52" i="1"/>
  <c r="M52" i="1"/>
  <c r="BH52" i="1"/>
  <c r="L52" i="1"/>
  <c r="AS52" i="1"/>
  <c r="F52" i="1"/>
  <c r="BR52" i="1"/>
  <c r="AR52" i="1"/>
  <c r="AQ52" i="1"/>
  <c r="AP52" i="1"/>
  <c r="AO52" i="1"/>
  <c r="AN52" i="1"/>
  <c r="AM52" i="1"/>
  <c r="AL52" i="1"/>
  <c r="D52" i="1"/>
  <c r="AJ52" i="1"/>
  <c r="AK52" i="1"/>
  <c r="E52" i="1"/>
  <c r="BU54" i="1"/>
  <c r="DP51" i="1" a="1"/>
  <c r="DP51" i="1" s="1"/>
  <c r="DH51" i="1" a="1"/>
  <c r="DH51" i="1" s="1"/>
  <c r="CZ51" i="1" a="1"/>
  <c r="CZ51" i="1" s="1"/>
  <c r="CR51" i="1" a="1"/>
  <c r="CR51" i="1" s="1"/>
  <c r="CI51" i="1" a="1"/>
  <c r="CI51" i="1" s="1"/>
  <c r="CA51" i="1" a="1"/>
  <c r="CA51" i="1" s="1"/>
  <c r="DO51" i="1" a="1"/>
  <c r="DO51" i="1" s="1"/>
  <c r="DG51" i="1" a="1"/>
  <c r="DG51" i="1" s="1"/>
  <c r="CY51" i="1" a="1"/>
  <c r="CY51" i="1" s="1"/>
  <c r="CQ51" i="1" a="1"/>
  <c r="CQ51" i="1" s="1"/>
  <c r="CH51" i="1" a="1"/>
  <c r="CH51" i="1" s="1"/>
  <c r="BZ51" i="1" a="1"/>
  <c r="BZ51" i="1" s="1"/>
  <c r="DR51" i="1" a="1"/>
  <c r="DR51" i="1" s="1"/>
  <c r="DF51" i="1" a="1"/>
  <c r="DF51" i="1" s="1"/>
  <c r="CV51" i="1" a="1"/>
  <c r="CV51" i="1" s="1"/>
  <c r="CK51" i="1" a="1"/>
  <c r="CK51" i="1" s="1"/>
  <c r="BY51" i="1" a="1"/>
  <c r="BY51" i="1" s="1"/>
  <c r="DQ51" i="1" a="1"/>
  <c r="DQ51" i="1" s="1"/>
  <c r="DE51" i="1" a="1"/>
  <c r="DE51" i="1" s="1"/>
  <c r="CU51" i="1" a="1"/>
  <c r="CU51" i="1" s="1"/>
  <c r="CJ51" i="1" a="1"/>
  <c r="CJ51" i="1" s="1"/>
  <c r="BX51" i="1" a="1"/>
  <c r="BX51" i="1" s="1"/>
  <c r="DN51" i="1" a="1"/>
  <c r="DN51" i="1" s="1"/>
  <c r="DD51" i="1" a="1"/>
  <c r="DD51" i="1" s="1"/>
  <c r="CT51" i="1" a="1"/>
  <c r="CT51" i="1" s="1"/>
  <c r="CG51" i="1" a="1"/>
  <c r="CG51" i="1" s="1"/>
  <c r="BW51" i="1" a="1"/>
  <c r="BW51" i="1" s="1"/>
  <c r="CO51" i="1" a="1"/>
  <c r="CO51" i="1" s="1"/>
  <c r="DT51" i="1" a="1"/>
  <c r="DT51" i="1" s="1"/>
  <c r="DC51" i="1" a="1"/>
  <c r="DC51" i="1" s="1"/>
  <c r="CM51" i="1" a="1"/>
  <c r="CM51" i="1" s="1"/>
  <c r="DS51" i="1" a="1"/>
  <c r="DS51" i="1" s="1"/>
  <c r="DB51" i="1" a="1"/>
  <c r="DB51" i="1" s="1"/>
  <c r="CL51" i="1" a="1"/>
  <c r="CL51" i="1" s="1"/>
  <c r="CP51" i="1" a="1"/>
  <c r="CP51" i="1" s="1"/>
  <c r="DK51" i="1" a="1"/>
  <c r="DK51" i="1" s="1"/>
  <c r="DJ51" i="1" a="1"/>
  <c r="DJ51" i="1" s="1"/>
  <c r="CF51" i="1" a="1"/>
  <c r="CF51" i="1" s="1"/>
  <c r="DI51" i="1" a="1"/>
  <c r="DI51" i="1" s="1"/>
  <c r="CE51" i="1" a="1"/>
  <c r="CE51" i="1" s="1"/>
  <c r="CC51" i="1" a="1"/>
  <c r="CC51" i="1" s="1"/>
  <c r="DM51" i="1" a="1"/>
  <c r="DM51" i="1" s="1"/>
  <c r="CB51" i="1" a="1"/>
  <c r="CB51" i="1" s="1"/>
  <c r="DL51" i="1" a="1"/>
  <c r="DL51" i="1" s="1"/>
  <c r="DA51" i="1" a="1"/>
  <c r="DA51" i="1" s="1"/>
  <c r="CX51" i="1" a="1"/>
  <c r="CX51" i="1" s="1"/>
  <c r="CW51" i="1" a="1"/>
  <c r="CW51" i="1" s="1"/>
  <c r="CD51" i="1" a="1"/>
  <c r="CD51" i="1" s="1"/>
  <c r="DV51" i="1" a="1"/>
  <c r="DV51" i="1" s="1"/>
  <c r="CS51" i="1" a="1"/>
  <c r="CS51" i="1" s="1"/>
  <c r="DU51" i="1" a="1"/>
  <c r="DU51" i="1" s="1"/>
  <c r="BU48" i="1"/>
  <c r="BT45" i="1"/>
  <c r="BU45" i="1" s="1"/>
  <c r="BM59" i="1" l="1"/>
  <c r="AW59" i="1"/>
  <c r="AG59" i="1"/>
  <c r="Q59" i="1"/>
  <c r="DW59" i="1"/>
  <c r="BL59" i="1"/>
  <c r="AV59" i="1"/>
  <c r="AF59" i="1"/>
  <c r="P59" i="1"/>
  <c r="BJ59" i="1"/>
  <c r="AT59" i="1"/>
  <c r="AD59" i="1"/>
  <c r="N59" i="1"/>
  <c r="AZ59" i="1"/>
  <c r="AE59" i="1"/>
  <c r="K59" i="1"/>
  <c r="BR59" i="1"/>
  <c r="AY59" i="1"/>
  <c r="AC59" i="1"/>
  <c r="J59" i="1"/>
  <c r="BQ59" i="1"/>
  <c r="AX59" i="1"/>
  <c r="AB59" i="1"/>
  <c r="I59" i="1"/>
  <c r="BP59" i="1"/>
  <c r="AU59" i="1"/>
  <c r="AA59" i="1"/>
  <c r="H59" i="1"/>
  <c r="BH59" i="1"/>
  <c r="AK59" i="1"/>
  <c r="G59" i="1"/>
  <c r="BG59" i="1"/>
  <c r="AJ59" i="1"/>
  <c r="F59" i="1"/>
  <c r="BF59" i="1"/>
  <c r="AI59" i="1"/>
  <c r="E59" i="1"/>
  <c r="BE59" i="1"/>
  <c r="BS59" i="1" s="1"/>
  <c r="AH59" i="1"/>
  <c r="D59" i="1"/>
  <c r="BD59" i="1"/>
  <c r="Z59" i="1"/>
  <c r="AM59" i="1"/>
  <c r="AL59" i="1"/>
  <c r="Y59" i="1"/>
  <c r="BO59" i="1"/>
  <c r="X59" i="1"/>
  <c r="BN59" i="1"/>
  <c r="W59" i="1"/>
  <c r="U59" i="1"/>
  <c r="T59" i="1"/>
  <c r="S59" i="1"/>
  <c r="C60" i="1"/>
  <c r="R59" i="1"/>
  <c r="BK59" i="1"/>
  <c r="O59" i="1"/>
  <c r="BI59" i="1"/>
  <c r="M59" i="1"/>
  <c r="BC59" i="1"/>
  <c r="L59" i="1"/>
  <c r="V59" i="1"/>
  <c r="A59" i="1"/>
  <c r="BB59" i="1"/>
  <c r="AN59" i="1"/>
  <c r="BA59" i="1"/>
  <c r="AS59" i="1"/>
  <c r="AR59" i="1"/>
  <c r="AP59" i="1"/>
  <c r="AQ59" i="1"/>
  <c r="AO59" i="1"/>
  <c r="DO49" i="1" a="1"/>
  <c r="DO49" i="1" s="1"/>
  <c r="DG49" i="1" a="1"/>
  <c r="DG49" i="1" s="1"/>
  <c r="CY49" i="1" a="1"/>
  <c r="CY49" i="1" s="1"/>
  <c r="CQ49" i="1" a="1"/>
  <c r="CQ49" i="1" s="1"/>
  <c r="CH49" i="1" a="1"/>
  <c r="CH49" i="1" s="1"/>
  <c r="BZ49" i="1" a="1"/>
  <c r="BZ49" i="1" s="1"/>
  <c r="DV49" i="1" a="1"/>
  <c r="DV49" i="1" s="1"/>
  <c r="DN49" i="1" a="1"/>
  <c r="DN49" i="1" s="1"/>
  <c r="DF49" i="1" a="1"/>
  <c r="DF49" i="1" s="1"/>
  <c r="CX49" i="1" a="1"/>
  <c r="CX49" i="1" s="1"/>
  <c r="CP49" i="1" a="1"/>
  <c r="CP49" i="1" s="1"/>
  <c r="CG49" i="1" a="1"/>
  <c r="CG49" i="1" s="1"/>
  <c r="BY49" i="1" a="1"/>
  <c r="BY49" i="1" s="1"/>
  <c r="DU49" i="1" a="1"/>
  <c r="DU49" i="1" s="1"/>
  <c r="DK49" i="1" a="1"/>
  <c r="DK49" i="1" s="1"/>
  <c r="DA49" i="1" a="1"/>
  <c r="DA49" i="1" s="1"/>
  <c r="CO49" i="1" a="1"/>
  <c r="CO49" i="1" s="1"/>
  <c r="CD49" i="1" a="1"/>
  <c r="CD49" i="1" s="1"/>
  <c r="DT49" i="1" a="1"/>
  <c r="DT49" i="1" s="1"/>
  <c r="DJ49" i="1" a="1"/>
  <c r="DJ49" i="1" s="1"/>
  <c r="CZ49" i="1" a="1"/>
  <c r="CZ49" i="1" s="1"/>
  <c r="CM49" i="1" a="1"/>
  <c r="CM49" i="1" s="1"/>
  <c r="CC49" i="1" a="1"/>
  <c r="CC49" i="1" s="1"/>
  <c r="DS49" i="1" a="1"/>
  <c r="DS49" i="1" s="1"/>
  <c r="DI49" i="1" a="1"/>
  <c r="DI49" i="1" s="1"/>
  <c r="CW49" i="1" a="1"/>
  <c r="CW49" i="1" s="1"/>
  <c r="CL49" i="1" a="1"/>
  <c r="CL49" i="1" s="1"/>
  <c r="CB49" i="1" a="1"/>
  <c r="CB49" i="1" s="1"/>
  <c r="CT49" i="1" a="1"/>
  <c r="CT49" i="1" s="1"/>
  <c r="DH49" i="1" a="1"/>
  <c r="DH49" i="1" s="1"/>
  <c r="CS49" i="1" a="1"/>
  <c r="CS49" i="1" s="1"/>
  <c r="CA49" i="1" a="1"/>
  <c r="CA49" i="1" s="1"/>
  <c r="DE49" i="1" a="1"/>
  <c r="DE49" i="1" s="1"/>
  <c r="CR49" i="1" a="1"/>
  <c r="CR49" i="1" s="1"/>
  <c r="BX49" i="1" a="1"/>
  <c r="BX49" i="1" s="1"/>
  <c r="DD49" i="1" a="1"/>
  <c r="DD49" i="1" s="1"/>
  <c r="CI49" i="1" a="1"/>
  <c r="CI49" i="1" s="1"/>
  <c r="DC49" i="1" a="1"/>
  <c r="DC49" i="1" s="1"/>
  <c r="CF49" i="1" a="1"/>
  <c r="CF49" i="1" s="1"/>
  <c r="DB49" i="1" a="1"/>
  <c r="DB49" i="1" s="1"/>
  <c r="CE49" i="1" a="1"/>
  <c r="CE49" i="1" s="1"/>
  <c r="DR49" i="1" a="1"/>
  <c r="DR49" i="1" s="1"/>
  <c r="CK49" i="1" a="1"/>
  <c r="CK49" i="1" s="1"/>
  <c r="DQ49" i="1" a="1"/>
  <c r="DQ49" i="1" s="1"/>
  <c r="CJ49" i="1" a="1"/>
  <c r="CJ49" i="1" s="1"/>
  <c r="BW49" i="1" a="1"/>
  <c r="BW49" i="1" s="1"/>
  <c r="DP49" i="1" a="1"/>
  <c r="DP49" i="1" s="1"/>
  <c r="DM49" i="1" a="1"/>
  <c r="DM49" i="1" s="1"/>
  <c r="DL49" i="1" a="1"/>
  <c r="DL49" i="1" s="1"/>
  <c r="CU49" i="1" a="1"/>
  <c r="CU49" i="1" s="1"/>
  <c r="CV49" i="1" a="1"/>
  <c r="CV49" i="1" s="1"/>
  <c r="DP52" i="1" a="1"/>
  <c r="DP52" i="1" s="1"/>
  <c r="DH52" i="1" a="1"/>
  <c r="DH52" i="1" s="1"/>
  <c r="CZ52" i="1" a="1"/>
  <c r="CZ52" i="1" s="1"/>
  <c r="CR52" i="1" a="1"/>
  <c r="CR52" i="1" s="1"/>
  <c r="CI52" i="1" a="1"/>
  <c r="CI52" i="1" s="1"/>
  <c r="CA52" i="1" a="1"/>
  <c r="CA52" i="1" s="1"/>
  <c r="DO52" i="1" a="1"/>
  <c r="DO52" i="1" s="1"/>
  <c r="DG52" i="1" a="1"/>
  <c r="DG52" i="1" s="1"/>
  <c r="CY52" i="1" a="1"/>
  <c r="CY52" i="1" s="1"/>
  <c r="CQ52" i="1" a="1"/>
  <c r="CQ52" i="1" s="1"/>
  <c r="CH52" i="1" a="1"/>
  <c r="CH52" i="1" s="1"/>
  <c r="BZ52" i="1" a="1"/>
  <c r="BZ52" i="1" s="1"/>
  <c r="DN52" i="1" a="1"/>
  <c r="DN52" i="1" s="1"/>
  <c r="DD52" i="1" a="1"/>
  <c r="DD52" i="1" s="1"/>
  <c r="CT52" i="1" a="1"/>
  <c r="CT52" i="1" s="1"/>
  <c r="CG52" i="1" a="1"/>
  <c r="CG52" i="1" s="1"/>
  <c r="BW52" i="1" a="1"/>
  <c r="BW52" i="1" s="1"/>
  <c r="DM52" i="1" a="1"/>
  <c r="DM52" i="1" s="1"/>
  <c r="DC52" i="1" a="1"/>
  <c r="DC52" i="1" s="1"/>
  <c r="CS52" i="1" a="1"/>
  <c r="CS52" i="1" s="1"/>
  <c r="CF52" i="1" a="1"/>
  <c r="CF52" i="1" s="1"/>
  <c r="CV52" i="1" a="1"/>
  <c r="CV52" i="1" s="1"/>
  <c r="CD52" i="1" a="1"/>
  <c r="CD52" i="1" s="1"/>
  <c r="DJ52" i="1" a="1"/>
  <c r="DJ52" i="1" s="1"/>
  <c r="DV52" i="1" a="1"/>
  <c r="DV52" i="1" s="1"/>
  <c r="CU52" i="1" a="1"/>
  <c r="CU52" i="1" s="1"/>
  <c r="CC52" i="1" a="1"/>
  <c r="CC52" i="1" s="1"/>
  <c r="DI52" i="1" a="1"/>
  <c r="DI52" i="1" s="1"/>
  <c r="CP52" i="1" a="1"/>
  <c r="CP52" i="1" s="1"/>
  <c r="DU52" i="1" a="1"/>
  <c r="DU52" i="1" s="1"/>
  <c r="CB52" i="1" a="1"/>
  <c r="CB52" i="1" s="1"/>
  <c r="CO52" i="1" a="1"/>
  <c r="CO52" i="1" s="1"/>
  <c r="DQ52" i="1" a="1"/>
  <c r="DQ52" i="1" s="1"/>
  <c r="DL52" i="1" a="1"/>
  <c r="DL52" i="1" s="1"/>
  <c r="CM52" i="1" a="1"/>
  <c r="CM52" i="1" s="1"/>
  <c r="DK52" i="1" a="1"/>
  <c r="DK52" i="1" s="1"/>
  <c r="CL52" i="1" a="1"/>
  <c r="CL52" i="1" s="1"/>
  <c r="DF52" i="1" a="1"/>
  <c r="DF52" i="1" s="1"/>
  <c r="CK52" i="1" a="1"/>
  <c r="CK52" i="1" s="1"/>
  <c r="DE52" i="1" a="1"/>
  <c r="DE52" i="1" s="1"/>
  <c r="BX52" i="1" a="1"/>
  <c r="BX52" i="1" s="1"/>
  <c r="DB52" i="1" a="1"/>
  <c r="DB52" i="1" s="1"/>
  <c r="DA52" i="1" a="1"/>
  <c r="DA52" i="1" s="1"/>
  <c r="CX52" i="1" a="1"/>
  <c r="CX52" i="1" s="1"/>
  <c r="CW52" i="1" a="1"/>
  <c r="CW52" i="1" s="1"/>
  <c r="DS52" i="1" a="1"/>
  <c r="DS52" i="1" s="1"/>
  <c r="CJ52" i="1" a="1"/>
  <c r="CJ52" i="1" s="1"/>
  <c r="CE52" i="1" a="1"/>
  <c r="CE52" i="1" s="1"/>
  <c r="DR52" i="1" a="1"/>
  <c r="DR52" i="1" s="1"/>
  <c r="BY52" i="1" a="1"/>
  <c r="BY52" i="1" s="1"/>
  <c r="DT52" i="1" a="1"/>
  <c r="DT52" i="1" s="1"/>
  <c r="BS52" i="1"/>
  <c r="BT52" i="1" s="1"/>
  <c r="BU52" i="1" s="1"/>
  <c r="DR55" i="1" a="1"/>
  <c r="DR55" i="1" s="1"/>
  <c r="DJ55" i="1" a="1"/>
  <c r="DJ55" i="1" s="1"/>
  <c r="DB55" i="1" a="1"/>
  <c r="DB55" i="1" s="1"/>
  <c r="CT55" i="1" a="1"/>
  <c r="CT55" i="1" s="1"/>
  <c r="CK55" i="1" a="1"/>
  <c r="CK55" i="1" s="1"/>
  <c r="CC55" i="1" a="1"/>
  <c r="CC55" i="1" s="1"/>
  <c r="DQ55" i="1" a="1"/>
  <c r="DQ55" i="1" s="1"/>
  <c r="DI55" i="1" a="1"/>
  <c r="DI55" i="1" s="1"/>
  <c r="DA55" i="1" a="1"/>
  <c r="DA55" i="1" s="1"/>
  <c r="CS55" i="1" a="1"/>
  <c r="CS55" i="1" s="1"/>
  <c r="CJ55" i="1" a="1"/>
  <c r="CJ55" i="1" s="1"/>
  <c r="CB55" i="1" a="1"/>
  <c r="CB55" i="1" s="1"/>
  <c r="DT55" i="1" a="1"/>
  <c r="DT55" i="1" s="1"/>
  <c r="DH55" i="1" a="1"/>
  <c r="DH55" i="1" s="1"/>
  <c r="CX55" i="1" a="1"/>
  <c r="CX55" i="1" s="1"/>
  <c r="CM55" i="1" a="1"/>
  <c r="CM55" i="1" s="1"/>
  <c r="CA55" i="1" a="1"/>
  <c r="CA55" i="1" s="1"/>
  <c r="DS55" i="1" a="1"/>
  <c r="DS55" i="1" s="1"/>
  <c r="DG55" i="1" a="1"/>
  <c r="DG55" i="1" s="1"/>
  <c r="CW55" i="1" a="1"/>
  <c r="CW55" i="1" s="1"/>
  <c r="CL55" i="1" a="1"/>
  <c r="CL55" i="1" s="1"/>
  <c r="BZ55" i="1" a="1"/>
  <c r="BZ55" i="1" s="1"/>
  <c r="DP55" i="1" a="1"/>
  <c r="DP55" i="1" s="1"/>
  <c r="DF55" i="1" a="1"/>
  <c r="DF55" i="1" s="1"/>
  <c r="CV55" i="1" a="1"/>
  <c r="CV55" i="1" s="1"/>
  <c r="CI55" i="1" a="1"/>
  <c r="CI55" i="1" s="1"/>
  <c r="BY55" i="1" a="1"/>
  <c r="BY55" i="1" s="1"/>
  <c r="CF55" i="1" a="1"/>
  <c r="CF55" i="1" s="1"/>
  <c r="DL55" i="1" a="1"/>
  <c r="DL55" i="1" s="1"/>
  <c r="CU55" i="1" a="1"/>
  <c r="CU55" i="1" s="1"/>
  <c r="CE55" i="1" a="1"/>
  <c r="CE55" i="1" s="1"/>
  <c r="DK55" i="1" a="1"/>
  <c r="DK55" i="1" s="1"/>
  <c r="CR55" i="1" a="1"/>
  <c r="CR55" i="1" s="1"/>
  <c r="CD55" i="1" a="1"/>
  <c r="CD55" i="1" s="1"/>
  <c r="DV55" i="1" a="1"/>
  <c r="DV55" i="1" s="1"/>
  <c r="CZ55" i="1" a="1"/>
  <c r="CZ55" i="1" s="1"/>
  <c r="DU55" i="1" a="1"/>
  <c r="DU55" i="1" s="1"/>
  <c r="BX55" i="1" a="1"/>
  <c r="BX55" i="1" s="1"/>
  <c r="CY55" i="1" a="1"/>
  <c r="CY55" i="1" s="1"/>
  <c r="BW55" i="1" a="1"/>
  <c r="BW55" i="1" s="1"/>
  <c r="DO55" i="1" a="1"/>
  <c r="DO55" i="1" s="1"/>
  <c r="CQ55" i="1" a="1"/>
  <c r="CQ55" i="1" s="1"/>
  <c r="CH55" i="1" a="1"/>
  <c r="CH55" i="1" s="1"/>
  <c r="DN55" i="1" a="1"/>
  <c r="DN55" i="1" s="1"/>
  <c r="CG55" i="1" a="1"/>
  <c r="CG55" i="1" s="1"/>
  <c r="DM55" i="1" a="1"/>
  <c r="DM55" i="1" s="1"/>
  <c r="DE55" i="1" a="1"/>
  <c r="DE55" i="1" s="1"/>
  <c r="DC55" i="1" a="1"/>
  <c r="DC55" i="1" s="1"/>
  <c r="DD55" i="1" a="1"/>
  <c r="DD55" i="1" s="1"/>
  <c r="CP55" i="1" a="1"/>
  <c r="CP55" i="1" s="1"/>
  <c r="CO55" i="1" a="1"/>
  <c r="CO55" i="1" s="1"/>
  <c r="C66" i="1"/>
  <c r="BP62" i="1"/>
  <c r="AZ62" i="1"/>
  <c r="AJ62" i="1"/>
  <c r="T62" i="1"/>
  <c r="D62" i="1"/>
  <c r="BO62" i="1"/>
  <c r="AY62" i="1"/>
  <c r="AI62" i="1"/>
  <c r="S62" i="1"/>
  <c r="C63" i="1"/>
  <c r="BN62" i="1"/>
  <c r="AX62" i="1"/>
  <c r="AH62" i="1"/>
  <c r="R62" i="1"/>
  <c r="A62" i="1"/>
  <c r="BM62" i="1"/>
  <c r="AW62" i="1"/>
  <c r="AG62" i="1"/>
  <c r="Q62" i="1"/>
  <c r="BL62" i="1"/>
  <c r="AR62" i="1"/>
  <c r="X62" i="1"/>
  <c r="BK62" i="1"/>
  <c r="AQ62" i="1"/>
  <c r="W62" i="1"/>
  <c r="BJ62" i="1"/>
  <c r="AP62" i="1"/>
  <c r="V62" i="1"/>
  <c r="BI62" i="1"/>
  <c r="AO62" i="1"/>
  <c r="U62" i="1"/>
  <c r="DW62" i="1"/>
  <c r="BH62" i="1"/>
  <c r="AF62" i="1"/>
  <c r="H62" i="1"/>
  <c r="BG62" i="1"/>
  <c r="AE62" i="1"/>
  <c r="G62" i="1"/>
  <c r="BF62" i="1"/>
  <c r="AD62" i="1"/>
  <c r="F62" i="1"/>
  <c r="BE62" i="1"/>
  <c r="BS62" i="1" s="1"/>
  <c r="AC62" i="1"/>
  <c r="E62" i="1"/>
  <c r="BD62" i="1"/>
  <c r="AB62" i="1"/>
  <c r="AK62" i="1"/>
  <c r="AA62" i="1"/>
  <c r="Z62" i="1"/>
  <c r="Y62" i="1"/>
  <c r="BR62" i="1"/>
  <c r="P62" i="1"/>
  <c r="O62" i="1"/>
  <c r="N62" i="1"/>
  <c r="M62" i="1"/>
  <c r="L62" i="1"/>
  <c r="K62" i="1"/>
  <c r="BQ62" i="1"/>
  <c r="J62" i="1"/>
  <c r="BC62" i="1"/>
  <c r="I62" i="1"/>
  <c r="BB62" i="1"/>
  <c r="BA62" i="1"/>
  <c r="AS62" i="1"/>
  <c r="AM62" i="1"/>
  <c r="AU62" i="1"/>
  <c r="AN62" i="1"/>
  <c r="AV62" i="1"/>
  <c r="AL62" i="1"/>
  <c r="AT62" i="1"/>
  <c r="BS58" i="1"/>
  <c r="BT58" i="1" s="1"/>
  <c r="BU58" i="1" s="1"/>
  <c r="BC56" i="1"/>
  <c r="AM56" i="1"/>
  <c r="W56" i="1"/>
  <c r="G56" i="1"/>
  <c r="BR56" i="1"/>
  <c r="BB56" i="1"/>
  <c r="AL56" i="1"/>
  <c r="V56" i="1"/>
  <c r="F56" i="1"/>
  <c r="BQ56" i="1"/>
  <c r="BA56" i="1"/>
  <c r="AK56" i="1"/>
  <c r="U56" i="1"/>
  <c r="E56" i="1"/>
  <c r="BP56" i="1"/>
  <c r="AZ56" i="1"/>
  <c r="AJ56" i="1"/>
  <c r="T56" i="1"/>
  <c r="D56" i="1"/>
  <c r="BG56" i="1"/>
  <c r="AI56" i="1"/>
  <c r="O56" i="1"/>
  <c r="BF56" i="1"/>
  <c r="AH56" i="1"/>
  <c r="N56" i="1"/>
  <c r="BE56" i="1"/>
  <c r="AG56" i="1"/>
  <c r="M56" i="1"/>
  <c r="BD56" i="1"/>
  <c r="AF56" i="1"/>
  <c r="L56" i="1"/>
  <c r="AY56" i="1"/>
  <c r="AE56" i="1"/>
  <c r="K56" i="1"/>
  <c r="AQ56" i="1"/>
  <c r="I56" i="1"/>
  <c r="BO56" i="1"/>
  <c r="AP56" i="1"/>
  <c r="H56" i="1"/>
  <c r="BN56" i="1"/>
  <c r="AO56" i="1"/>
  <c r="BM56" i="1"/>
  <c r="AN56" i="1"/>
  <c r="A56" i="1"/>
  <c r="BL56" i="1"/>
  <c r="AD56" i="1"/>
  <c r="AU56" i="1"/>
  <c r="DW56" i="1"/>
  <c r="AT56" i="1"/>
  <c r="AS56" i="1"/>
  <c r="AR56" i="1"/>
  <c r="AC56" i="1"/>
  <c r="AB56" i="1"/>
  <c r="AA56" i="1"/>
  <c r="Q56" i="1"/>
  <c r="P56" i="1"/>
  <c r="J56" i="1"/>
  <c r="BK56" i="1"/>
  <c r="BJ56" i="1"/>
  <c r="BI56" i="1"/>
  <c r="BH56" i="1"/>
  <c r="AX56" i="1"/>
  <c r="AW56" i="1"/>
  <c r="AV56" i="1"/>
  <c r="Z56" i="1"/>
  <c r="X56" i="1"/>
  <c r="C57" i="1"/>
  <c r="R56" i="1"/>
  <c r="Y56" i="1"/>
  <c r="S56" i="1"/>
  <c r="BP53" i="1"/>
  <c r="AZ53" i="1"/>
  <c r="AJ53" i="1"/>
  <c r="T53" i="1"/>
  <c r="D53" i="1"/>
  <c r="BO53" i="1"/>
  <c r="AY53" i="1"/>
  <c r="AI53" i="1"/>
  <c r="S53" i="1"/>
  <c r="BN53" i="1"/>
  <c r="AX53" i="1"/>
  <c r="AH53" i="1"/>
  <c r="R53" i="1"/>
  <c r="A53" i="1"/>
  <c r="BM53" i="1"/>
  <c r="AW53" i="1"/>
  <c r="AG53" i="1"/>
  <c r="Q53" i="1"/>
  <c r="DW53" i="1"/>
  <c r="AV53" i="1"/>
  <c r="AB53" i="1"/>
  <c r="H53" i="1"/>
  <c r="AU53" i="1"/>
  <c r="AA53" i="1"/>
  <c r="G53" i="1"/>
  <c r="BR53" i="1"/>
  <c r="AT53" i="1"/>
  <c r="Z53" i="1"/>
  <c r="F53" i="1"/>
  <c r="BQ53" i="1"/>
  <c r="AS53" i="1"/>
  <c r="Y53" i="1"/>
  <c r="E53" i="1"/>
  <c r="BL53" i="1"/>
  <c r="AR53" i="1"/>
  <c r="X53" i="1"/>
  <c r="AM53" i="1"/>
  <c r="J53" i="1"/>
  <c r="BK53" i="1"/>
  <c r="AL53" i="1"/>
  <c r="I53" i="1"/>
  <c r="BJ53" i="1"/>
  <c r="AK53" i="1"/>
  <c r="BI53" i="1"/>
  <c r="AF53" i="1"/>
  <c r="BH53" i="1"/>
  <c r="AE53" i="1"/>
  <c r="AC53" i="1"/>
  <c r="W53" i="1"/>
  <c r="V53" i="1"/>
  <c r="U53" i="1"/>
  <c r="BG53" i="1"/>
  <c r="P53" i="1"/>
  <c r="BF53" i="1"/>
  <c r="O53" i="1"/>
  <c r="BE53" i="1"/>
  <c r="N53" i="1"/>
  <c r="BB53" i="1"/>
  <c r="BA53" i="1"/>
  <c r="AQ53" i="1"/>
  <c r="AP53" i="1"/>
  <c r="AO53" i="1"/>
  <c r="AN53" i="1"/>
  <c r="AD53" i="1"/>
  <c r="M53" i="1"/>
  <c r="L53" i="1"/>
  <c r="K53" i="1"/>
  <c r="BC53" i="1"/>
  <c r="BD53" i="1"/>
  <c r="DO58" i="1" a="1"/>
  <c r="DO58" i="1" s="1"/>
  <c r="DG58" i="1" a="1"/>
  <c r="DG58" i="1" s="1"/>
  <c r="CY58" i="1" a="1"/>
  <c r="CY58" i="1" s="1"/>
  <c r="CQ58" i="1" a="1"/>
  <c r="CQ58" i="1" s="1"/>
  <c r="CH58" i="1" a="1"/>
  <c r="CH58" i="1" s="1"/>
  <c r="BZ58" i="1" a="1"/>
  <c r="BZ58" i="1" s="1"/>
  <c r="DI58" i="1" a="1"/>
  <c r="DI58" i="1" s="1"/>
  <c r="CD58" i="1" a="1"/>
  <c r="CD58" i="1" s="1"/>
  <c r="DR58" i="1" a="1"/>
  <c r="DR58" i="1" s="1"/>
  <c r="CX58" i="1" a="1"/>
  <c r="CX58" i="1" s="1"/>
  <c r="CM58" i="1" a="1"/>
  <c r="CM58" i="1" s="1"/>
  <c r="DH58" i="1" a="1"/>
  <c r="DH58" i="1" s="1"/>
  <c r="CW58" i="1" a="1"/>
  <c r="CW58" i="1" s="1"/>
  <c r="CC58" i="1" a="1"/>
  <c r="CC58" i="1" s="1"/>
  <c r="DQ58" i="1" a="1"/>
  <c r="DQ58" i="1" s="1"/>
  <c r="CL58" i="1" a="1"/>
  <c r="CL58" i="1" s="1"/>
  <c r="DM58" i="1" a="1"/>
  <c r="DM58" i="1" s="1"/>
  <c r="BY58" i="1" a="1"/>
  <c r="BY58" i="1" s="1"/>
  <c r="DA58" i="1" a="1"/>
  <c r="DA58" i="1" s="1"/>
  <c r="CK58" i="1" a="1"/>
  <c r="CK58" i="1" s="1"/>
  <c r="BX58" i="1" a="1"/>
  <c r="BX58" i="1" s="1"/>
  <c r="DL58" i="1" a="1"/>
  <c r="DL58" i="1" s="1"/>
  <c r="CZ58" i="1" a="1"/>
  <c r="CZ58" i="1" s="1"/>
  <c r="CJ58" i="1" a="1"/>
  <c r="CJ58" i="1" s="1"/>
  <c r="BW58" i="1" a="1"/>
  <c r="BW58" i="1" s="1"/>
  <c r="DK58" i="1" a="1"/>
  <c r="DK58" i="1" s="1"/>
  <c r="CV58" i="1" a="1"/>
  <c r="CV58" i="1" s="1"/>
  <c r="DC58" i="1" a="1"/>
  <c r="DC58" i="1" s="1"/>
  <c r="CG58" i="1" a="1"/>
  <c r="CG58" i="1" s="1"/>
  <c r="DT58" i="1" a="1"/>
  <c r="DT58" i="1" s="1"/>
  <c r="CF58" i="1" a="1"/>
  <c r="CF58" i="1" s="1"/>
  <c r="DB58" i="1" a="1"/>
  <c r="DB58" i="1" s="1"/>
  <c r="DS58" i="1" a="1"/>
  <c r="DS58" i="1" s="1"/>
  <c r="CE58" i="1" a="1"/>
  <c r="CE58" i="1" s="1"/>
  <c r="CU58" i="1" a="1"/>
  <c r="CU58" i="1" s="1"/>
  <c r="DF58" i="1" a="1"/>
  <c r="DF58" i="1" s="1"/>
  <c r="CB58" i="1" a="1"/>
  <c r="CB58" i="1" s="1"/>
  <c r="DE58" i="1" a="1"/>
  <c r="DE58" i="1" s="1"/>
  <c r="CA58" i="1" a="1"/>
  <c r="CA58" i="1" s="1"/>
  <c r="DD58" i="1" a="1"/>
  <c r="DD58" i="1" s="1"/>
  <c r="CT58" i="1" a="1"/>
  <c r="CT58" i="1" s="1"/>
  <c r="CO58" i="1" a="1"/>
  <c r="CO58" i="1" s="1"/>
  <c r="CI58" i="1" a="1"/>
  <c r="CI58" i="1" s="1"/>
  <c r="DV58" i="1" a="1"/>
  <c r="DV58" i="1" s="1"/>
  <c r="DU58" i="1" a="1"/>
  <c r="DU58" i="1" s="1"/>
  <c r="DP58" i="1" a="1"/>
  <c r="DP58" i="1" s="1"/>
  <c r="DN58" i="1" a="1"/>
  <c r="DN58" i="1" s="1"/>
  <c r="DJ58" i="1" a="1"/>
  <c r="DJ58" i="1" s="1"/>
  <c r="CR58" i="1" a="1"/>
  <c r="CR58" i="1" s="1"/>
  <c r="CP58" i="1" a="1"/>
  <c r="CP58" i="1" s="1"/>
  <c r="CS58" i="1" a="1"/>
  <c r="CS58" i="1" s="1"/>
  <c r="BS55" i="1"/>
  <c r="BT55" i="1" s="1"/>
  <c r="BU55" i="1" s="1"/>
  <c r="BS49" i="1"/>
  <c r="BT49" i="1" s="1"/>
  <c r="BU49" i="1" s="1"/>
  <c r="BT62" i="1" l="1"/>
  <c r="C61" i="1"/>
  <c r="BN60" i="1"/>
  <c r="AX60" i="1"/>
  <c r="AH60" i="1"/>
  <c r="R60" i="1"/>
  <c r="A60" i="1"/>
  <c r="BM60" i="1"/>
  <c r="AW60" i="1"/>
  <c r="AG60" i="1"/>
  <c r="Q60" i="1"/>
  <c r="DW60" i="1"/>
  <c r="BL60" i="1"/>
  <c r="BK60" i="1"/>
  <c r="AU60" i="1"/>
  <c r="AE60" i="1"/>
  <c r="O60" i="1"/>
  <c r="BB60" i="1"/>
  <c r="AI60" i="1"/>
  <c r="M60" i="1"/>
  <c r="BA60" i="1"/>
  <c r="AF60" i="1"/>
  <c r="L60" i="1"/>
  <c r="AZ60" i="1"/>
  <c r="AD60" i="1"/>
  <c r="K60" i="1"/>
  <c r="AY60" i="1"/>
  <c r="AC60" i="1"/>
  <c r="J60" i="1"/>
  <c r="BR60" i="1"/>
  <c r="AQ60" i="1"/>
  <c r="T60" i="1"/>
  <c r="BQ60" i="1"/>
  <c r="AP60" i="1"/>
  <c r="S60" i="1"/>
  <c r="BP60" i="1"/>
  <c r="AO60" i="1"/>
  <c r="P60" i="1"/>
  <c r="BO60" i="1"/>
  <c r="AN60" i="1"/>
  <c r="N60" i="1"/>
  <c r="BJ60" i="1"/>
  <c r="AM60" i="1"/>
  <c r="I60" i="1"/>
  <c r="BC60" i="1"/>
  <c r="H60" i="1"/>
  <c r="AV60" i="1"/>
  <c r="G60" i="1"/>
  <c r="AT60" i="1"/>
  <c r="F60" i="1"/>
  <c r="AS60" i="1"/>
  <c r="E60" i="1"/>
  <c r="AR60" i="1"/>
  <c r="D60" i="1"/>
  <c r="W60" i="1"/>
  <c r="V60" i="1"/>
  <c r="BI60" i="1"/>
  <c r="U60" i="1"/>
  <c r="BH60" i="1"/>
  <c r="BG60" i="1"/>
  <c r="BF60" i="1"/>
  <c r="BE60" i="1"/>
  <c r="BS60" i="1" s="1"/>
  <c r="AJ60" i="1"/>
  <c r="AB60" i="1"/>
  <c r="AA60" i="1"/>
  <c r="Z60" i="1"/>
  <c r="Y60" i="1"/>
  <c r="X60" i="1"/>
  <c r="AL60" i="1"/>
  <c r="BD60" i="1"/>
  <c r="AK60" i="1"/>
  <c r="DQ53" i="1" a="1"/>
  <c r="DQ53" i="1" s="1"/>
  <c r="DI53" i="1" a="1"/>
  <c r="DI53" i="1" s="1"/>
  <c r="DA53" i="1" a="1"/>
  <c r="DA53" i="1" s="1"/>
  <c r="CS53" i="1" a="1"/>
  <c r="CS53" i="1" s="1"/>
  <c r="CJ53" i="1" a="1"/>
  <c r="CJ53" i="1" s="1"/>
  <c r="CB53" i="1" a="1"/>
  <c r="CB53" i="1" s="1"/>
  <c r="DP53" i="1" a="1"/>
  <c r="DP53" i="1" s="1"/>
  <c r="DH53" i="1" a="1"/>
  <c r="DH53" i="1" s="1"/>
  <c r="CZ53" i="1" a="1"/>
  <c r="CZ53" i="1" s="1"/>
  <c r="CR53" i="1" a="1"/>
  <c r="CR53" i="1" s="1"/>
  <c r="CI53" i="1" a="1"/>
  <c r="CI53" i="1" s="1"/>
  <c r="CA53" i="1" a="1"/>
  <c r="CA53" i="1" s="1"/>
  <c r="DM53" i="1" a="1"/>
  <c r="DM53" i="1" s="1"/>
  <c r="DC53" i="1" a="1"/>
  <c r="DC53" i="1" s="1"/>
  <c r="CQ53" i="1" a="1"/>
  <c r="CQ53" i="1" s="1"/>
  <c r="CF53" i="1" a="1"/>
  <c r="CF53" i="1" s="1"/>
  <c r="DV53" i="1" a="1"/>
  <c r="DV53" i="1" s="1"/>
  <c r="DL53" i="1" a="1"/>
  <c r="DL53" i="1" s="1"/>
  <c r="DB53" i="1" a="1"/>
  <c r="DB53" i="1" s="1"/>
  <c r="CP53" i="1" a="1"/>
  <c r="CP53" i="1" s="1"/>
  <c r="CE53" i="1" a="1"/>
  <c r="CE53" i="1" s="1"/>
  <c r="DU53" i="1" a="1"/>
  <c r="DU53" i="1" s="1"/>
  <c r="DK53" i="1" a="1"/>
  <c r="DK53" i="1" s="1"/>
  <c r="CY53" i="1" a="1"/>
  <c r="CY53" i="1" s="1"/>
  <c r="CO53" i="1" a="1"/>
  <c r="CO53" i="1" s="1"/>
  <c r="CD53" i="1" a="1"/>
  <c r="CD53" i="1" s="1"/>
  <c r="CK53" i="1" a="1"/>
  <c r="CK53" i="1" s="1"/>
  <c r="DO53" i="1" a="1"/>
  <c r="DO53" i="1" s="1"/>
  <c r="CX53" i="1" a="1"/>
  <c r="CX53" i="1" s="1"/>
  <c r="CH53" i="1" a="1"/>
  <c r="CH53" i="1" s="1"/>
  <c r="DN53" i="1" a="1"/>
  <c r="DN53" i="1" s="1"/>
  <c r="CW53" i="1" a="1"/>
  <c r="CW53" i="1" s="1"/>
  <c r="CG53" i="1" a="1"/>
  <c r="CG53" i="1" s="1"/>
  <c r="DS53" i="1" a="1"/>
  <c r="DS53" i="1" s="1"/>
  <c r="CU53" i="1" a="1"/>
  <c r="CU53" i="1" s="1"/>
  <c r="BX53" i="1" a="1"/>
  <c r="BX53" i="1" s="1"/>
  <c r="DR53" i="1" a="1"/>
  <c r="DR53" i="1" s="1"/>
  <c r="CT53" i="1" a="1"/>
  <c r="CT53" i="1" s="1"/>
  <c r="BW53" i="1" a="1"/>
  <c r="BW53" i="1" s="1"/>
  <c r="DJ53" i="1" a="1"/>
  <c r="DJ53" i="1" s="1"/>
  <c r="CM53" i="1" a="1"/>
  <c r="CM53" i="1" s="1"/>
  <c r="DG53" i="1" a="1"/>
  <c r="DG53" i="1" s="1"/>
  <c r="DD53" i="1" a="1"/>
  <c r="DD53" i="1" s="1"/>
  <c r="CV53" i="1" a="1"/>
  <c r="CV53" i="1" s="1"/>
  <c r="CL53" i="1" a="1"/>
  <c r="CL53" i="1" s="1"/>
  <c r="CC53" i="1" a="1"/>
  <c r="CC53" i="1" s="1"/>
  <c r="DT53" i="1" a="1"/>
  <c r="DT53" i="1" s="1"/>
  <c r="DF53" i="1" a="1"/>
  <c r="DF53" i="1" s="1"/>
  <c r="BZ53" i="1" a="1"/>
  <c r="BZ53" i="1" s="1"/>
  <c r="BY53" i="1" a="1"/>
  <c r="BY53" i="1" s="1"/>
  <c r="DE53" i="1" a="1"/>
  <c r="DE53" i="1" s="1"/>
  <c r="BU62" i="1"/>
  <c r="BD57" i="1"/>
  <c r="AN57" i="1"/>
  <c r="X57" i="1"/>
  <c r="H57" i="1"/>
  <c r="BC57" i="1"/>
  <c r="AM57" i="1"/>
  <c r="W57" i="1"/>
  <c r="G57" i="1"/>
  <c r="BR57" i="1"/>
  <c r="BB57" i="1"/>
  <c r="AL57" i="1"/>
  <c r="V57" i="1"/>
  <c r="F57" i="1"/>
  <c r="BQ57" i="1"/>
  <c r="BA57" i="1"/>
  <c r="AK57" i="1"/>
  <c r="U57" i="1"/>
  <c r="E57" i="1"/>
  <c r="DW57" i="1"/>
  <c r="AZ57" i="1"/>
  <c r="AF57" i="1"/>
  <c r="L57" i="1"/>
  <c r="AY57" i="1"/>
  <c r="AE57" i="1"/>
  <c r="K57" i="1"/>
  <c r="AX57" i="1"/>
  <c r="AD57" i="1"/>
  <c r="J57" i="1"/>
  <c r="AW57" i="1"/>
  <c r="AC57" i="1"/>
  <c r="I57" i="1"/>
  <c r="BP57" i="1"/>
  <c r="AV57" i="1"/>
  <c r="AB57" i="1"/>
  <c r="D57" i="1"/>
  <c r="BE57" i="1"/>
  <c r="S57" i="1"/>
  <c r="AU57" i="1"/>
  <c r="R57" i="1"/>
  <c r="AT57" i="1"/>
  <c r="Q57" i="1"/>
  <c r="AS57" i="1"/>
  <c r="P57" i="1"/>
  <c r="AR57" i="1"/>
  <c r="O57" i="1"/>
  <c r="BG57" i="1"/>
  <c r="A57" i="1"/>
  <c r="BF57" i="1"/>
  <c r="AQ57" i="1"/>
  <c r="AP57" i="1"/>
  <c r="AO57" i="1"/>
  <c r="AJ57" i="1"/>
  <c r="AI57" i="1"/>
  <c r="BN57" i="1"/>
  <c r="BM57" i="1"/>
  <c r="BL57" i="1"/>
  <c r="BK57" i="1"/>
  <c r="BJ57" i="1"/>
  <c r="BI57" i="1"/>
  <c r="BH57" i="1"/>
  <c r="AH57" i="1"/>
  <c r="AG57" i="1"/>
  <c r="AA57" i="1"/>
  <c r="Z57" i="1"/>
  <c r="Y57" i="1"/>
  <c r="N57" i="1"/>
  <c r="BO57" i="1"/>
  <c r="T57" i="1"/>
  <c r="M57" i="1"/>
  <c r="BS56" i="1"/>
  <c r="BT56" i="1" s="1"/>
  <c r="BU56" i="1" s="1"/>
  <c r="BQ63" i="1"/>
  <c r="BA63" i="1"/>
  <c r="AK63" i="1"/>
  <c r="U63" i="1"/>
  <c r="E63" i="1"/>
  <c r="BP63" i="1"/>
  <c r="AZ63" i="1"/>
  <c r="AJ63" i="1"/>
  <c r="T63" i="1"/>
  <c r="D63" i="1"/>
  <c r="BO63" i="1"/>
  <c r="AY63" i="1"/>
  <c r="AI63" i="1"/>
  <c r="S63" i="1"/>
  <c r="C64" i="1"/>
  <c r="BN63" i="1"/>
  <c r="AX63" i="1"/>
  <c r="AH63" i="1"/>
  <c r="R63" i="1"/>
  <c r="A63" i="1"/>
  <c r="BI63" i="1"/>
  <c r="AO63" i="1"/>
  <c r="Q63" i="1"/>
  <c r="BH63" i="1"/>
  <c r="AN63" i="1"/>
  <c r="P63" i="1"/>
  <c r="BG63" i="1"/>
  <c r="AM63" i="1"/>
  <c r="O63" i="1"/>
  <c r="BF63" i="1"/>
  <c r="AL63" i="1"/>
  <c r="N63" i="1"/>
  <c r="BE63" i="1"/>
  <c r="AC63" i="1"/>
  <c r="BD63" i="1"/>
  <c r="AB63" i="1"/>
  <c r="BC63" i="1"/>
  <c r="AA63" i="1"/>
  <c r="BB63" i="1"/>
  <c r="Z63" i="1"/>
  <c r="AW63" i="1"/>
  <c r="Y63" i="1"/>
  <c r="BM63" i="1"/>
  <c r="W63" i="1"/>
  <c r="BL63" i="1"/>
  <c r="V63" i="1"/>
  <c r="BK63" i="1"/>
  <c r="M63" i="1"/>
  <c r="BJ63" i="1"/>
  <c r="L63" i="1"/>
  <c r="AV63" i="1"/>
  <c r="K63" i="1"/>
  <c r="AF63" i="1"/>
  <c r="AE63" i="1"/>
  <c r="AD63" i="1"/>
  <c r="X63" i="1"/>
  <c r="J63" i="1"/>
  <c r="I63" i="1"/>
  <c r="H63" i="1"/>
  <c r="AS63" i="1"/>
  <c r="AR63" i="1"/>
  <c r="AQ63" i="1"/>
  <c r="AP63" i="1"/>
  <c r="AG63" i="1"/>
  <c r="G63" i="1"/>
  <c r="F63" i="1"/>
  <c r="BR63" i="1"/>
  <c r="AU63" i="1"/>
  <c r="DW63" i="1"/>
  <c r="AT63" i="1"/>
  <c r="BS53" i="1"/>
  <c r="DR56" i="1" a="1"/>
  <c r="DR56" i="1" s="1"/>
  <c r="DJ56" i="1" a="1"/>
  <c r="DJ56" i="1" s="1"/>
  <c r="DB56" i="1" a="1"/>
  <c r="DB56" i="1" s="1"/>
  <c r="CT56" i="1" a="1"/>
  <c r="CT56" i="1" s="1"/>
  <c r="CK56" i="1" a="1"/>
  <c r="CK56" i="1" s="1"/>
  <c r="CC56" i="1" a="1"/>
  <c r="CC56" i="1" s="1"/>
  <c r="DQ56" i="1" a="1"/>
  <c r="DQ56" i="1" s="1"/>
  <c r="DI56" i="1" a="1"/>
  <c r="DI56" i="1" s="1"/>
  <c r="DA56" i="1" a="1"/>
  <c r="DA56" i="1" s="1"/>
  <c r="CS56" i="1" a="1"/>
  <c r="CS56" i="1" s="1"/>
  <c r="CJ56" i="1" a="1"/>
  <c r="CJ56" i="1" s="1"/>
  <c r="CB56" i="1" a="1"/>
  <c r="CB56" i="1" s="1"/>
  <c r="DP56" i="1" a="1"/>
  <c r="DP56" i="1" s="1"/>
  <c r="DF56" i="1" a="1"/>
  <c r="DF56" i="1" s="1"/>
  <c r="CV56" i="1" a="1"/>
  <c r="CV56" i="1" s="1"/>
  <c r="CI56" i="1" a="1"/>
  <c r="CI56" i="1" s="1"/>
  <c r="BY56" i="1" a="1"/>
  <c r="BY56" i="1" s="1"/>
  <c r="DO56" i="1" a="1"/>
  <c r="DO56" i="1" s="1"/>
  <c r="DE56" i="1" a="1"/>
  <c r="DE56" i="1" s="1"/>
  <c r="CU56" i="1" a="1"/>
  <c r="CU56" i="1" s="1"/>
  <c r="CH56" i="1" a="1"/>
  <c r="CH56" i="1" s="1"/>
  <c r="BX56" i="1" a="1"/>
  <c r="BX56" i="1" s="1"/>
  <c r="CM56" i="1" a="1"/>
  <c r="CM56" i="1" s="1"/>
  <c r="DS56" i="1" a="1"/>
  <c r="DS56" i="1" s="1"/>
  <c r="CZ56" i="1" a="1"/>
  <c r="CZ56" i="1" s="1"/>
  <c r="DN56" i="1" a="1"/>
  <c r="DN56" i="1" s="1"/>
  <c r="CL56" i="1" a="1"/>
  <c r="CL56" i="1" s="1"/>
  <c r="CY56" i="1" a="1"/>
  <c r="CY56" i="1" s="1"/>
  <c r="CG56" i="1" a="1"/>
  <c r="CG56" i="1" s="1"/>
  <c r="DM56" i="1" a="1"/>
  <c r="DM56" i="1" s="1"/>
  <c r="DD56" i="1" a="1"/>
  <c r="DD56" i="1" s="1"/>
  <c r="CE56" i="1" a="1"/>
  <c r="CE56" i="1" s="1"/>
  <c r="DC56" i="1" a="1"/>
  <c r="DC56" i="1" s="1"/>
  <c r="CD56" i="1" a="1"/>
  <c r="CD56" i="1" s="1"/>
  <c r="DV56" i="1" a="1"/>
  <c r="DV56" i="1" s="1"/>
  <c r="CX56" i="1" a="1"/>
  <c r="CX56" i="1" s="1"/>
  <c r="CA56" i="1" a="1"/>
  <c r="CA56" i="1" s="1"/>
  <c r="DU56" i="1" a="1"/>
  <c r="DU56" i="1" s="1"/>
  <c r="CW56" i="1" a="1"/>
  <c r="CW56" i="1" s="1"/>
  <c r="CR56" i="1" a="1"/>
  <c r="CR56" i="1" s="1"/>
  <c r="BZ56" i="1" a="1"/>
  <c r="BZ56" i="1" s="1"/>
  <c r="DT56" i="1" a="1"/>
  <c r="DT56" i="1" s="1"/>
  <c r="CF56" i="1" a="1"/>
  <c r="CF56" i="1" s="1"/>
  <c r="DL56" i="1" a="1"/>
  <c r="DL56" i="1" s="1"/>
  <c r="BW56" i="1" a="1"/>
  <c r="BW56" i="1" s="1"/>
  <c r="DK56" i="1" a="1"/>
  <c r="DK56" i="1" s="1"/>
  <c r="DH56" i="1" a="1"/>
  <c r="DH56" i="1" s="1"/>
  <c r="DG56" i="1" a="1"/>
  <c r="DG56" i="1" s="1"/>
  <c r="CP56" i="1" a="1"/>
  <c r="CP56" i="1" s="1"/>
  <c r="CQ56" i="1" a="1"/>
  <c r="CQ56" i="1" s="1"/>
  <c r="CO56" i="1" a="1"/>
  <c r="CO56" i="1" s="1"/>
  <c r="BU53" i="1"/>
  <c r="BM66" i="1"/>
  <c r="AW66" i="1"/>
  <c r="AG66" i="1"/>
  <c r="Q66" i="1"/>
  <c r="C70" i="1"/>
  <c r="BK66" i="1"/>
  <c r="AU66" i="1"/>
  <c r="AE66" i="1"/>
  <c r="O66" i="1"/>
  <c r="BJ66" i="1"/>
  <c r="AT66" i="1"/>
  <c r="AD66" i="1"/>
  <c r="N66" i="1"/>
  <c r="BH66" i="1"/>
  <c r="AO66" i="1"/>
  <c r="V66" i="1"/>
  <c r="BG66" i="1"/>
  <c r="AN66" i="1"/>
  <c r="U66" i="1"/>
  <c r="A66" i="1"/>
  <c r="C67" i="1"/>
  <c r="BF66" i="1"/>
  <c r="AM66" i="1"/>
  <c r="T66" i="1"/>
  <c r="DW66" i="1"/>
  <c r="BE66" i="1"/>
  <c r="AL66" i="1"/>
  <c r="S66" i="1"/>
  <c r="BO66" i="1"/>
  <c r="AK66" i="1"/>
  <c r="K66" i="1"/>
  <c r="BN66" i="1"/>
  <c r="AJ66" i="1"/>
  <c r="J66" i="1"/>
  <c r="BL66" i="1"/>
  <c r="AI66" i="1"/>
  <c r="I66" i="1"/>
  <c r="BI66" i="1"/>
  <c r="AH66" i="1"/>
  <c r="H66" i="1"/>
  <c r="AZ66" i="1"/>
  <c r="R66" i="1"/>
  <c r="AY66" i="1"/>
  <c r="P66" i="1"/>
  <c r="AX66" i="1"/>
  <c r="M66" i="1"/>
  <c r="AV66" i="1"/>
  <c r="L66" i="1"/>
  <c r="AS66" i="1"/>
  <c r="G66" i="1"/>
  <c r="Z66" i="1"/>
  <c r="Y66" i="1"/>
  <c r="BR66" i="1"/>
  <c r="X66" i="1"/>
  <c r="BQ66" i="1"/>
  <c r="W66" i="1"/>
  <c r="BP66" i="1"/>
  <c r="F66" i="1"/>
  <c r="E66" i="1"/>
  <c r="D66" i="1"/>
  <c r="BD66" i="1"/>
  <c r="BC66" i="1"/>
  <c r="BB66" i="1"/>
  <c r="BA66" i="1"/>
  <c r="AR66" i="1"/>
  <c r="AQ66" i="1"/>
  <c r="AP66" i="1"/>
  <c r="AC66" i="1"/>
  <c r="AF66" i="1"/>
  <c r="AA66" i="1"/>
  <c r="AB66" i="1"/>
  <c r="DO59" i="1" a="1"/>
  <c r="DO59" i="1" s="1"/>
  <c r="DG59" i="1" a="1"/>
  <c r="DG59" i="1" s="1"/>
  <c r="CY59" i="1" a="1"/>
  <c r="CY59" i="1" s="1"/>
  <c r="CQ59" i="1" a="1"/>
  <c r="CQ59" i="1" s="1"/>
  <c r="CH59" i="1" a="1"/>
  <c r="CH59" i="1" s="1"/>
  <c r="BZ59" i="1" a="1"/>
  <c r="BZ59" i="1" s="1"/>
  <c r="DV59" i="1" a="1"/>
  <c r="DV59" i="1" s="1"/>
  <c r="DN59" i="1" a="1"/>
  <c r="DN59" i="1" s="1"/>
  <c r="DF59" i="1" a="1"/>
  <c r="DF59" i="1" s="1"/>
  <c r="CX59" i="1" a="1"/>
  <c r="CX59" i="1" s="1"/>
  <c r="CP59" i="1" a="1"/>
  <c r="CP59" i="1" s="1"/>
  <c r="CG59" i="1" a="1"/>
  <c r="CG59" i="1" s="1"/>
  <c r="BY59" i="1" a="1"/>
  <c r="BY59" i="1" s="1"/>
  <c r="DJ59" i="1" a="1"/>
  <c r="DJ59" i="1" s="1"/>
  <c r="CE59" i="1" a="1"/>
  <c r="CE59" i="1" s="1"/>
  <c r="DS59" i="1" a="1"/>
  <c r="DS59" i="1" s="1"/>
  <c r="CZ59" i="1" a="1"/>
  <c r="CZ59" i="1" s="1"/>
  <c r="CO59" i="1" a="1"/>
  <c r="CO59" i="1" s="1"/>
  <c r="DI59" i="1" a="1"/>
  <c r="DI59" i="1" s="1"/>
  <c r="CD59" i="1" a="1"/>
  <c r="CD59" i="1" s="1"/>
  <c r="DR59" i="1" a="1"/>
  <c r="DR59" i="1" s="1"/>
  <c r="CM59" i="1" a="1"/>
  <c r="CM59" i="1" s="1"/>
  <c r="CS59" i="1" a="1"/>
  <c r="CS59" i="1" s="1"/>
  <c r="CC59" i="1" a="1"/>
  <c r="CC59" i="1" s="1"/>
  <c r="DQ59" i="1" a="1"/>
  <c r="DQ59" i="1" s="1"/>
  <c r="DD59" i="1" a="1"/>
  <c r="DD59" i="1" s="1"/>
  <c r="CR59" i="1" a="1"/>
  <c r="CR59" i="1" s="1"/>
  <c r="CB59" i="1" a="1"/>
  <c r="CB59" i="1" s="1"/>
  <c r="DP59" i="1" a="1"/>
  <c r="DP59" i="1" s="1"/>
  <c r="DC59" i="1" a="1"/>
  <c r="DC59" i="1" s="1"/>
  <c r="CA59" i="1" a="1"/>
  <c r="CA59" i="1" s="1"/>
  <c r="DK59" i="1" a="1"/>
  <c r="DK59" i="1" s="1"/>
  <c r="BW59" i="1" a="1"/>
  <c r="BW59" i="1" s="1"/>
  <c r="CL59" i="1" a="1"/>
  <c r="CL59" i="1" s="1"/>
  <c r="DH59" i="1" a="1"/>
  <c r="DH59" i="1" s="1"/>
  <c r="CK59" i="1" a="1"/>
  <c r="CK59" i="1" s="1"/>
  <c r="DA59" i="1" a="1"/>
  <c r="DA59" i="1" s="1"/>
  <c r="CW59" i="1" a="1"/>
  <c r="CW59" i="1" s="1"/>
  <c r="BX59" i="1" a="1"/>
  <c r="BX59" i="1" s="1"/>
  <c r="CV59" i="1" a="1"/>
  <c r="CV59" i="1" s="1"/>
  <c r="DU59" i="1" a="1"/>
  <c r="DU59" i="1" s="1"/>
  <c r="CU59" i="1" a="1"/>
  <c r="CU59" i="1" s="1"/>
  <c r="CT59" i="1" a="1"/>
  <c r="CT59" i="1" s="1"/>
  <c r="CJ59" i="1" a="1"/>
  <c r="CJ59" i="1" s="1"/>
  <c r="CI59" i="1" a="1"/>
  <c r="CI59" i="1" s="1"/>
  <c r="CF59" i="1" a="1"/>
  <c r="CF59" i="1" s="1"/>
  <c r="DT59" i="1" a="1"/>
  <c r="DT59" i="1" s="1"/>
  <c r="DM59" i="1" a="1"/>
  <c r="DM59" i="1" s="1"/>
  <c r="DE59" i="1" a="1"/>
  <c r="DE59" i="1" s="1"/>
  <c r="DL59" i="1" a="1"/>
  <c r="DL59" i="1" s="1"/>
  <c r="DB59" i="1" a="1"/>
  <c r="DB59" i="1" s="1"/>
  <c r="DQ62" i="1" a="1"/>
  <c r="DQ62" i="1" s="1"/>
  <c r="DI62" i="1" a="1"/>
  <c r="DI62" i="1" s="1"/>
  <c r="DA62" i="1" a="1"/>
  <c r="DA62" i="1" s="1"/>
  <c r="CS62" i="1" a="1"/>
  <c r="CS62" i="1" s="1"/>
  <c r="CJ62" i="1" a="1"/>
  <c r="CJ62" i="1" s="1"/>
  <c r="CB62" i="1" a="1"/>
  <c r="CB62" i="1" s="1"/>
  <c r="DP62" i="1" a="1"/>
  <c r="DP62" i="1" s="1"/>
  <c r="DH62" i="1" a="1"/>
  <c r="DH62" i="1" s="1"/>
  <c r="CZ62" i="1" a="1"/>
  <c r="CZ62" i="1" s="1"/>
  <c r="CR62" i="1" a="1"/>
  <c r="CR62" i="1" s="1"/>
  <c r="CI62" i="1" a="1"/>
  <c r="CI62" i="1" s="1"/>
  <c r="CA62" i="1" a="1"/>
  <c r="CA62" i="1" s="1"/>
  <c r="DU62" i="1" a="1"/>
  <c r="DU62" i="1" s="1"/>
  <c r="DK62" i="1" a="1"/>
  <c r="DK62" i="1" s="1"/>
  <c r="CY62" i="1" a="1"/>
  <c r="CY62" i="1" s="1"/>
  <c r="CO62" i="1" a="1"/>
  <c r="CO62" i="1" s="1"/>
  <c r="CD62" i="1" a="1"/>
  <c r="CD62" i="1" s="1"/>
  <c r="DT62" i="1" a="1"/>
  <c r="DT62" i="1" s="1"/>
  <c r="DJ62" i="1" a="1"/>
  <c r="DJ62" i="1" s="1"/>
  <c r="CX62" i="1" a="1"/>
  <c r="CX62" i="1" s="1"/>
  <c r="CM62" i="1" a="1"/>
  <c r="CM62" i="1" s="1"/>
  <c r="CC62" i="1" a="1"/>
  <c r="CC62" i="1" s="1"/>
  <c r="DG62" i="1" a="1"/>
  <c r="DG62" i="1" s="1"/>
  <c r="CU62" i="1" a="1"/>
  <c r="CU62" i="1" s="1"/>
  <c r="CF62" i="1" a="1"/>
  <c r="CF62" i="1" s="1"/>
  <c r="DV62" i="1" a="1"/>
  <c r="DV62" i="1" s="1"/>
  <c r="DF62" i="1" a="1"/>
  <c r="DF62" i="1" s="1"/>
  <c r="CT62" i="1" a="1"/>
  <c r="CT62" i="1" s="1"/>
  <c r="CE62" i="1" a="1"/>
  <c r="CE62" i="1" s="1"/>
  <c r="DS62" i="1" a="1"/>
  <c r="DS62" i="1" s="1"/>
  <c r="DE62" i="1" a="1"/>
  <c r="DE62" i="1" s="1"/>
  <c r="CQ62" i="1" a="1"/>
  <c r="CQ62" i="1" s="1"/>
  <c r="BZ62" i="1" a="1"/>
  <c r="BZ62" i="1" s="1"/>
  <c r="BW62" i="1" a="1"/>
  <c r="BW62" i="1" s="1"/>
  <c r="DM62" i="1" a="1"/>
  <c r="DM62" i="1" s="1"/>
  <c r="CP62" i="1" a="1"/>
  <c r="CP62" i="1" s="1"/>
  <c r="DL62" i="1" a="1"/>
  <c r="DL62" i="1" s="1"/>
  <c r="CL62" i="1" a="1"/>
  <c r="CL62" i="1" s="1"/>
  <c r="DD62" i="1" a="1"/>
  <c r="DD62" i="1" s="1"/>
  <c r="BY62" i="1" a="1"/>
  <c r="BY62" i="1" s="1"/>
  <c r="DC62" i="1" a="1"/>
  <c r="DC62" i="1" s="1"/>
  <c r="BX62" i="1" a="1"/>
  <c r="BX62" i="1" s="1"/>
  <c r="DB62" i="1" a="1"/>
  <c r="DB62" i="1" s="1"/>
  <c r="CW62" i="1" a="1"/>
  <c r="CW62" i="1" s="1"/>
  <c r="CK62" i="1" a="1"/>
  <c r="CK62" i="1" s="1"/>
  <c r="CH62" i="1" a="1"/>
  <c r="CH62" i="1" s="1"/>
  <c r="CG62" i="1" a="1"/>
  <c r="CG62" i="1" s="1"/>
  <c r="DR62" i="1" a="1"/>
  <c r="DR62" i="1" s="1"/>
  <c r="DO62" i="1" a="1"/>
  <c r="DO62" i="1" s="1"/>
  <c r="CV62" i="1" a="1"/>
  <c r="CV62" i="1" s="1"/>
  <c r="DN62" i="1" a="1"/>
  <c r="DN62" i="1" s="1"/>
  <c r="BT59" i="1"/>
  <c r="BU59" i="1" s="1"/>
  <c r="BT53" i="1"/>
  <c r="DQ63" i="1" l="1" a="1"/>
  <c r="DQ63" i="1" s="1"/>
  <c r="DI63" i="1" a="1"/>
  <c r="DI63" i="1" s="1"/>
  <c r="DA63" i="1" a="1"/>
  <c r="DA63" i="1" s="1"/>
  <c r="CS63" i="1" a="1"/>
  <c r="CS63" i="1" s="1"/>
  <c r="CJ63" i="1" a="1"/>
  <c r="CJ63" i="1" s="1"/>
  <c r="CB63" i="1" a="1"/>
  <c r="CB63" i="1" s="1"/>
  <c r="DP63" i="1" a="1"/>
  <c r="DP63" i="1" s="1"/>
  <c r="DH63" i="1" a="1"/>
  <c r="DH63" i="1" s="1"/>
  <c r="CZ63" i="1" a="1"/>
  <c r="CZ63" i="1" s="1"/>
  <c r="CR63" i="1" a="1"/>
  <c r="CR63" i="1" s="1"/>
  <c r="CI63" i="1" a="1"/>
  <c r="CI63" i="1" s="1"/>
  <c r="CA63" i="1" a="1"/>
  <c r="CA63" i="1" s="1"/>
  <c r="DS63" i="1" a="1"/>
  <c r="DS63" i="1" s="1"/>
  <c r="DG63" i="1" a="1"/>
  <c r="DG63" i="1" s="1"/>
  <c r="CW63" i="1" a="1"/>
  <c r="CW63" i="1" s="1"/>
  <c r="CL63" i="1" a="1"/>
  <c r="CL63" i="1" s="1"/>
  <c r="BZ63" i="1" a="1"/>
  <c r="BZ63" i="1" s="1"/>
  <c r="DR63" i="1" a="1"/>
  <c r="DR63" i="1" s="1"/>
  <c r="DF63" i="1" a="1"/>
  <c r="DF63" i="1" s="1"/>
  <c r="CV63" i="1" a="1"/>
  <c r="CV63" i="1" s="1"/>
  <c r="CK63" i="1" a="1"/>
  <c r="CK63" i="1" s="1"/>
  <c r="BY63" i="1" a="1"/>
  <c r="BY63" i="1" s="1"/>
  <c r="DU63" i="1" a="1"/>
  <c r="DU63" i="1" s="1"/>
  <c r="DE63" i="1" a="1"/>
  <c r="DE63" i="1" s="1"/>
  <c r="CQ63" i="1" a="1"/>
  <c r="CQ63" i="1" s="1"/>
  <c r="CD63" i="1" a="1"/>
  <c r="CD63" i="1" s="1"/>
  <c r="DT63" i="1" a="1"/>
  <c r="DT63" i="1" s="1"/>
  <c r="DD63" i="1" a="1"/>
  <c r="DD63" i="1" s="1"/>
  <c r="CP63" i="1" a="1"/>
  <c r="CP63" i="1" s="1"/>
  <c r="CC63" i="1" a="1"/>
  <c r="CC63" i="1" s="1"/>
  <c r="DK63" i="1" a="1"/>
  <c r="DK63" i="1" s="1"/>
  <c r="CM63" i="1" a="1"/>
  <c r="CM63" i="1" s="1"/>
  <c r="DJ63" i="1" a="1"/>
  <c r="DJ63" i="1" s="1"/>
  <c r="CH63" i="1" a="1"/>
  <c r="CH63" i="1" s="1"/>
  <c r="DC63" i="1" a="1"/>
  <c r="DC63" i="1" s="1"/>
  <c r="CG63" i="1" a="1"/>
  <c r="CG63" i="1" s="1"/>
  <c r="DL63" i="1" a="1"/>
  <c r="DL63" i="1" s="1"/>
  <c r="CE63" i="1" a="1"/>
  <c r="CE63" i="1" s="1"/>
  <c r="BX63" i="1" a="1"/>
  <c r="BX63" i="1" s="1"/>
  <c r="DB63" i="1" a="1"/>
  <c r="DB63" i="1" s="1"/>
  <c r="BW63" i="1" a="1"/>
  <c r="BW63" i="1" s="1"/>
  <c r="CY63" i="1" a="1"/>
  <c r="CY63" i="1" s="1"/>
  <c r="DN63" i="1" a="1"/>
  <c r="DN63" i="1" s="1"/>
  <c r="DM63" i="1" a="1"/>
  <c r="DM63" i="1" s="1"/>
  <c r="CX63" i="1" a="1"/>
  <c r="CX63" i="1" s="1"/>
  <c r="CU63" i="1" a="1"/>
  <c r="CU63" i="1" s="1"/>
  <c r="CT63" i="1" a="1"/>
  <c r="CT63" i="1" s="1"/>
  <c r="CO63" i="1" a="1"/>
  <c r="CO63" i="1" s="1"/>
  <c r="DV63" i="1" a="1"/>
  <c r="DV63" i="1" s="1"/>
  <c r="DO63" i="1" a="1"/>
  <c r="DO63" i="1" s="1"/>
  <c r="CF63" i="1" a="1"/>
  <c r="CF63" i="1" s="1"/>
  <c r="BS66" i="1"/>
  <c r="DP60" i="1" a="1"/>
  <c r="DP60" i="1" s="1"/>
  <c r="DH60" i="1" a="1"/>
  <c r="DH60" i="1" s="1"/>
  <c r="CZ60" i="1" a="1"/>
  <c r="CZ60" i="1" s="1"/>
  <c r="CR60" i="1" a="1"/>
  <c r="CR60" i="1" s="1"/>
  <c r="CI60" i="1" a="1"/>
  <c r="CI60" i="1" s="1"/>
  <c r="CA60" i="1" a="1"/>
  <c r="CA60" i="1" s="1"/>
  <c r="DO60" i="1" a="1"/>
  <c r="DO60" i="1" s="1"/>
  <c r="DG60" i="1" a="1"/>
  <c r="DG60" i="1" s="1"/>
  <c r="CY60" i="1" a="1"/>
  <c r="CY60" i="1" s="1"/>
  <c r="CQ60" i="1" a="1"/>
  <c r="CQ60" i="1" s="1"/>
  <c r="CH60" i="1" a="1"/>
  <c r="CH60" i="1" s="1"/>
  <c r="BZ60" i="1" a="1"/>
  <c r="BZ60" i="1" s="1"/>
  <c r="DN60" i="1" a="1"/>
  <c r="DN60" i="1" s="1"/>
  <c r="DD60" i="1" a="1"/>
  <c r="DD60" i="1" s="1"/>
  <c r="CT60" i="1" a="1"/>
  <c r="CT60" i="1" s="1"/>
  <c r="CG60" i="1" a="1"/>
  <c r="CG60" i="1" s="1"/>
  <c r="BW60" i="1" a="1"/>
  <c r="BW60" i="1" s="1"/>
  <c r="DM60" i="1" a="1"/>
  <c r="DM60" i="1" s="1"/>
  <c r="DC60" i="1" a="1"/>
  <c r="DC60" i="1" s="1"/>
  <c r="CS60" i="1" a="1"/>
  <c r="CS60" i="1" s="1"/>
  <c r="CF60" i="1" a="1"/>
  <c r="CF60" i="1" s="1"/>
  <c r="DL60" i="1" a="1"/>
  <c r="DL60" i="1" s="1"/>
  <c r="CX60" i="1" a="1"/>
  <c r="CX60" i="1" s="1"/>
  <c r="CK60" i="1" a="1"/>
  <c r="CK60" i="1" s="1"/>
  <c r="DK60" i="1" a="1"/>
  <c r="DK60" i="1" s="1"/>
  <c r="CW60" i="1" a="1"/>
  <c r="CW60" i="1" s="1"/>
  <c r="CJ60" i="1" a="1"/>
  <c r="CJ60" i="1" s="1"/>
  <c r="DV60" i="1" a="1"/>
  <c r="DV60" i="1" s="1"/>
  <c r="DJ60" i="1" a="1"/>
  <c r="DJ60" i="1" s="1"/>
  <c r="CV60" i="1" a="1"/>
  <c r="CV60" i="1" s="1"/>
  <c r="CE60" i="1" a="1"/>
  <c r="CE60" i="1" s="1"/>
  <c r="DB60" i="1" a="1"/>
  <c r="DB60" i="1" s="1"/>
  <c r="CD60" i="1" a="1"/>
  <c r="CD60" i="1" s="1"/>
  <c r="DT60" i="1" a="1"/>
  <c r="DT60" i="1" s="1"/>
  <c r="DA60" i="1" a="1"/>
  <c r="DA60" i="1" s="1"/>
  <c r="CC60" i="1" a="1"/>
  <c r="CC60" i="1" s="1"/>
  <c r="DS60" i="1" a="1"/>
  <c r="DS60" i="1" s="1"/>
  <c r="CB60" i="1" a="1"/>
  <c r="CB60" i="1" s="1"/>
  <c r="DE60" i="1" a="1"/>
  <c r="DE60" i="1" s="1"/>
  <c r="BX60" i="1" a="1"/>
  <c r="BX60" i="1" s="1"/>
  <c r="CU60" i="1" a="1"/>
  <c r="CU60" i="1" s="1"/>
  <c r="CP60" i="1" a="1"/>
  <c r="CP60" i="1" s="1"/>
  <c r="DU60" i="1" a="1"/>
  <c r="DU60" i="1" s="1"/>
  <c r="CO60" i="1" a="1"/>
  <c r="CO60" i="1" s="1"/>
  <c r="DI60" i="1" a="1"/>
  <c r="DI60" i="1" s="1"/>
  <c r="DF60" i="1" a="1"/>
  <c r="DF60" i="1" s="1"/>
  <c r="CM60" i="1" a="1"/>
  <c r="CM60" i="1" s="1"/>
  <c r="CL60" i="1" a="1"/>
  <c r="CL60" i="1" s="1"/>
  <c r="DQ60" i="1" a="1"/>
  <c r="DQ60" i="1" s="1"/>
  <c r="BY60" i="1" a="1"/>
  <c r="BY60" i="1" s="1"/>
  <c r="DR60" i="1" a="1"/>
  <c r="DR60" i="1" s="1"/>
  <c r="DV57" i="1" a="1"/>
  <c r="DV57" i="1" s="1"/>
  <c r="DN57" i="1" a="1"/>
  <c r="DN57" i="1" s="1"/>
  <c r="DF57" i="1" a="1"/>
  <c r="DF57" i="1" s="1"/>
  <c r="CX57" i="1" a="1"/>
  <c r="CX57" i="1" s="1"/>
  <c r="CP57" i="1" a="1"/>
  <c r="CP57" i="1" s="1"/>
  <c r="DU57" i="1" a="1"/>
  <c r="DU57" i="1" s="1"/>
  <c r="DM57" i="1" a="1"/>
  <c r="DM57" i="1" s="1"/>
  <c r="DE57" i="1" a="1"/>
  <c r="DE57" i="1" s="1"/>
  <c r="CW57" i="1" a="1"/>
  <c r="CW57" i="1" s="1"/>
  <c r="CO57" i="1" a="1"/>
  <c r="CO57" i="1" s="1"/>
  <c r="DH57" i="1" a="1"/>
  <c r="DH57" i="1" s="1"/>
  <c r="CD57" i="1" a="1"/>
  <c r="CD57" i="1" s="1"/>
  <c r="DQ57" i="1" a="1"/>
  <c r="DQ57" i="1" s="1"/>
  <c r="CL57" i="1" a="1"/>
  <c r="CL57" i="1" s="1"/>
  <c r="DG57" i="1" a="1"/>
  <c r="DG57" i="1" s="1"/>
  <c r="CV57" i="1" a="1"/>
  <c r="CV57" i="1" s="1"/>
  <c r="CC57" i="1" a="1"/>
  <c r="CC57" i="1" s="1"/>
  <c r="DP57" i="1" a="1"/>
  <c r="DP57" i="1" s="1"/>
  <c r="CK57" i="1" a="1"/>
  <c r="CK57" i="1" s="1"/>
  <c r="DJ57" i="1" a="1"/>
  <c r="DJ57" i="1" s="1"/>
  <c r="CU57" i="1" a="1"/>
  <c r="CU57" i="1" s="1"/>
  <c r="BX57" i="1" a="1"/>
  <c r="BX57" i="1" s="1"/>
  <c r="CH57" i="1" a="1"/>
  <c r="CH57" i="1" s="1"/>
  <c r="DI57" i="1" a="1"/>
  <c r="DI57" i="1" s="1"/>
  <c r="CT57" i="1" a="1"/>
  <c r="CT57" i="1" s="1"/>
  <c r="CG57" i="1" a="1"/>
  <c r="CG57" i="1" s="1"/>
  <c r="BW57" i="1" a="1"/>
  <c r="BW57" i="1" s="1"/>
  <c r="DT57" i="1" a="1"/>
  <c r="DT57" i="1" s="1"/>
  <c r="CS57" i="1" a="1"/>
  <c r="CS57" i="1" s="1"/>
  <c r="CF57" i="1" a="1"/>
  <c r="CF57" i="1" s="1"/>
  <c r="CA57" i="1" a="1"/>
  <c r="CA57" i="1" s="1"/>
  <c r="DL57" i="1" a="1"/>
  <c r="DL57" i="1" s="1"/>
  <c r="CR57" i="1" a="1"/>
  <c r="CR57" i="1" s="1"/>
  <c r="BZ57" i="1" a="1"/>
  <c r="BZ57" i="1" s="1"/>
  <c r="DK57" i="1" a="1"/>
  <c r="DK57" i="1" s="1"/>
  <c r="CQ57" i="1" a="1"/>
  <c r="CQ57" i="1" s="1"/>
  <c r="BY57" i="1" a="1"/>
  <c r="BY57" i="1" s="1"/>
  <c r="DD57" i="1" a="1"/>
  <c r="DD57" i="1" s="1"/>
  <c r="CI57" i="1" a="1"/>
  <c r="CI57" i="1" s="1"/>
  <c r="DC57" i="1" a="1"/>
  <c r="DC57" i="1" s="1"/>
  <c r="CE57" i="1" a="1"/>
  <c r="CE57" i="1" s="1"/>
  <c r="DB57" i="1" a="1"/>
  <c r="DB57" i="1" s="1"/>
  <c r="CB57" i="1" a="1"/>
  <c r="CB57" i="1" s="1"/>
  <c r="DS57" i="1" a="1"/>
  <c r="DS57" i="1" s="1"/>
  <c r="DR57" i="1" a="1"/>
  <c r="DR57" i="1" s="1"/>
  <c r="DO57" i="1" a="1"/>
  <c r="DO57" i="1" s="1"/>
  <c r="DA57" i="1" a="1"/>
  <c r="DA57" i="1" s="1"/>
  <c r="CZ57" i="1" a="1"/>
  <c r="CZ57" i="1" s="1"/>
  <c r="CY57" i="1" a="1"/>
  <c r="CY57" i="1" s="1"/>
  <c r="CJ57" i="1" a="1"/>
  <c r="CJ57" i="1" s="1"/>
  <c r="CM57" i="1" a="1"/>
  <c r="CM57" i="1" s="1"/>
  <c r="BS63" i="1"/>
  <c r="BU60" i="1"/>
  <c r="BT66" i="1"/>
  <c r="BU66" i="1" s="1"/>
  <c r="C68" i="1"/>
  <c r="BN67" i="1"/>
  <c r="AX67" i="1"/>
  <c r="AH67" i="1"/>
  <c r="R67" i="1"/>
  <c r="A67" i="1"/>
  <c r="DW67" i="1"/>
  <c r="BL67" i="1"/>
  <c r="AV67" i="1"/>
  <c r="AF67" i="1"/>
  <c r="P67" i="1"/>
  <c r="BK67" i="1"/>
  <c r="AU67" i="1"/>
  <c r="AE67" i="1"/>
  <c r="O67" i="1"/>
  <c r="BJ67" i="1"/>
  <c r="AQ67" i="1"/>
  <c r="X67" i="1"/>
  <c r="E67" i="1"/>
  <c r="BI67" i="1"/>
  <c r="AP67" i="1"/>
  <c r="W67" i="1"/>
  <c r="D67" i="1"/>
  <c r="BH67" i="1"/>
  <c r="AO67" i="1"/>
  <c r="V67" i="1"/>
  <c r="BG67" i="1"/>
  <c r="AN67" i="1"/>
  <c r="U67" i="1"/>
  <c r="AW67" i="1"/>
  <c r="T67" i="1"/>
  <c r="AT67" i="1"/>
  <c r="S67" i="1"/>
  <c r="AS67" i="1"/>
  <c r="Q67" i="1"/>
  <c r="BR67" i="1"/>
  <c r="AR67" i="1"/>
  <c r="N67" i="1"/>
  <c r="BB67" i="1"/>
  <c r="M67" i="1"/>
  <c r="BA67" i="1"/>
  <c r="L67" i="1"/>
  <c r="AZ67" i="1"/>
  <c r="K67" i="1"/>
  <c r="AY67" i="1"/>
  <c r="J67" i="1"/>
  <c r="AM67" i="1"/>
  <c r="I67" i="1"/>
  <c r="BD67" i="1"/>
  <c r="BC67" i="1"/>
  <c r="AL67" i="1"/>
  <c r="AK67" i="1"/>
  <c r="AJ67" i="1"/>
  <c r="BO67" i="1"/>
  <c r="BM67" i="1"/>
  <c r="BF67" i="1"/>
  <c r="BE67" i="1"/>
  <c r="AI67" i="1"/>
  <c r="AG67" i="1"/>
  <c r="AD67" i="1"/>
  <c r="BQ67" i="1"/>
  <c r="BP67" i="1"/>
  <c r="AC67" i="1"/>
  <c r="AB67" i="1"/>
  <c r="AA67" i="1"/>
  <c r="Z67" i="1"/>
  <c r="Y67" i="1"/>
  <c r="H67" i="1"/>
  <c r="G67" i="1"/>
  <c r="F67" i="1"/>
  <c r="C74" i="1"/>
  <c r="BQ70" i="1"/>
  <c r="BA70" i="1"/>
  <c r="AK70" i="1"/>
  <c r="U70" i="1"/>
  <c r="E70" i="1"/>
  <c r="BP70" i="1"/>
  <c r="AZ70" i="1"/>
  <c r="AJ70" i="1"/>
  <c r="T70" i="1"/>
  <c r="D70" i="1"/>
  <c r="BO70" i="1"/>
  <c r="AY70" i="1"/>
  <c r="AI70" i="1"/>
  <c r="S70" i="1"/>
  <c r="C71" i="1"/>
  <c r="BN70" i="1"/>
  <c r="AX70" i="1"/>
  <c r="AH70" i="1"/>
  <c r="R70" i="1"/>
  <c r="A70" i="1"/>
  <c r="BM70" i="1"/>
  <c r="AS70" i="1"/>
  <c r="Y70" i="1"/>
  <c r="BL70" i="1"/>
  <c r="AR70" i="1"/>
  <c r="X70" i="1"/>
  <c r="BK70" i="1"/>
  <c r="AQ70" i="1"/>
  <c r="W70" i="1"/>
  <c r="BJ70" i="1"/>
  <c r="AP70" i="1"/>
  <c r="V70" i="1"/>
  <c r="BE70" i="1"/>
  <c r="AC70" i="1"/>
  <c r="BD70" i="1"/>
  <c r="AB70" i="1"/>
  <c r="BC70" i="1"/>
  <c r="AA70" i="1"/>
  <c r="BB70" i="1"/>
  <c r="Z70" i="1"/>
  <c r="AW70" i="1"/>
  <c r="M70" i="1"/>
  <c r="AV70" i="1"/>
  <c r="L70" i="1"/>
  <c r="AU70" i="1"/>
  <c r="K70" i="1"/>
  <c r="AT70" i="1"/>
  <c r="J70" i="1"/>
  <c r="AO70" i="1"/>
  <c r="I70" i="1"/>
  <c r="P70" i="1"/>
  <c r="O70" i="1"/>
  <c r="N70" i="1"/>
  <c r="BR70" i="1"/>
  <c r="H70" i="1"/>
  <c r="DW70" i="1"/>
  <c r="BI70" i="1"/>
  <c r="G70" i="1"/>
  <c r="Q70" i="1"/>
  <c r="F70" i="1"/>
  <c r="BH70" i="1"/>
  <c r="BG70" i="1"/>
  <c r="BF70" i="1"/>
  <c r="AN70" i="1"/>
  <c r="AM70" i="1"/>
  <c r="AL70" i="1"/>
  <c r="AG70" i="1"/>
  <c r="AF70" i="1"/>
  <c r="AE70" i="1"/>
  <c r="AD70" i="1"/>
  <c r="DV66" i="1" a="1"/>
  <c r="DV66" i="1" s="1"/>
  <c r="DN66" i="1" a="1"/>
  <c r="DN66" i="1" s="1"/>
  <c r="DF66" i="1" a="1"/>
  <c r="DF66" i="1" s="1"/>
  <c r="CX66" i="1" a="1"/>
  <c r="CX66" i="1" s="1"/>
  <c r="CP66" i="1" a="1"/>
  <c r="CP66" i="1" s="1"/>
  <c r="CG66" i="1" a="1"/>
  <c r="CG66" i="1" s="1"/>
  <c r="BY66" i="1" a="1"/>
  <c r="BY66" i="1" s="1"/>
  <c r="DO66" i="1" a="1"/>
  <c r="DO66" i="1" s="1"/>
  <c r="CU66" i="1" a="1"/>
  <c r="CU66" i="1" s="1"/>
  <c r="CA66" i="1" a="1"/>
  <c r="CA66" i="1" s="1"/>
  <c r="DD66" i="1" a="1"/>
  <c r="DD66" i="1" s="1"/>
  <c r="CJ66" i="1" a="1"/>
  <c r="CJ66" i="1" s="1"/>
  <c r="BZ66" i="1" a="1"/>
  <c r="BZ66" i="1" s="1"/>
  <c r="DM66" i="1" a="1"/>
  <c r="DM66" i="1" s="1"/>
  <c r="CT66" i="1" a="1"/>
  <c r="CT66" i="1" s="1"/>
  <c r="DC66" i="1" a="1"/>
  <c r="DC66" i="1" s="1"/>
  <c r="CI66" i="1" a="1"/>
  <c r="CI66" i="1" s="1"/>
  <c r="BX66" i="1" a="1"/>
  <c r="BX66" i="1" s="1"/>
  <c r="DH66" i="1" a="1"/>
  <c r="DH66" i="1" s="1"/>
  <c r="CS66" i="1" a="1"/>
  <c r="CS66" i="1" s="1"/>
  <c r="CE66" i="1" a="1"/>
  <c r="CE66" i="1" s="1"/>
  <c r="DS66" i="1" a="1"/>
  <c r="DS66" i="1" s="1"/>
  <c r="DG66" i="1" a="1"/>
  <c r="DG66" i="1" s="1"/>
  <c r="CR66" i="1" a="1"/>
  <c r="CR66" i="1" s="1"/>
  <c r="CD66" i="1" a="1"/>
  <c r="CD66" i="1" s="1"/>
  <c r="DR66" i="1" a="1"/>
  <c r="DR66" i="1" s="1"/>
  <c r="DE66" i="1" a="1"/>
  <c r="DE66" i="1" s="1"/>
  <c r="CQ66" i="1" a="1"/>
  <c r="CQ66" i="1" s="1"/>
  <c r="DL66" i="1" a="1"/>
  <c r="DL66" i="1" s="1"/>
  <c r="CW66" i="1" a="1"/>
  <c r="CW66" i="1" s="1"/>
  <c r="CC66" i="1" a="1"/>
  <c r="CC66" i="1" s="1"/>
  <c r="DK66" i="1" a="1"/>
  <c r="DK66" i="1" s="1"/>
  <c r="CV66" i="1" a="1"/>
  <c r="CV66" i="1" s="1"/>
  <c r="CB66" i="1" a="1"/>
  <c r="CB66" i="1" s="1"/>
  <c r="DJ66" i="1" a="1"/>
  <c r="DJ66" i="1" s="1"/>
  <c r="CZ66" i="1" a="1"/>
  <c r="CZ66" i="1" s="1"/>
  <c r="DU66" i="1" a="1"/>
  <c r="DU66" i="1" s="1"/>
  <c r="CY66" i="1" a="1"/>
  <c r="CY66" i="1" s="1"/>
  <c r="DT66" i="1" a="1"/>
  <c r="DT66" i="1" s="1"/>
  <c r="CO66" i="1" a="1"/>
  <c r="CO66" i="1" s="1"/>
  <c r="DP66" i="1" a="1"/>
  <c r="DP66" i="1" s="1"/>
  <c r="CF66" i="1" a="1"/>
  <c r="CF66" i="1" s="1"/>
  <c r="DI66" i="1" a="1"/>
  <c r="DI66" i="1" s="1"/>
  <c r="BW66" i="1" a="1"/>
  <c r="BW66" i="1" s="1"/>
  <c r="DB66" i="1" a="1"/>
  <c r="DB66" i="1" s="1"/>
  <c r="CL66" i="1" a="1"/>
  <c r="CL66" i="1" s="1"/>
  <c r="CK66" i="1" a="1"/>
  <c r="CK66" i="1" s="1"/>
  <c r="CH66" i="1" a="1"/>
  <c r="CH66" i="1" s="1"/>
  <c r="DQ66" i="1" a="1"/>
  <c r="DQ66" i="1" s="1"/>
  <c r="DA66" i="1" a="1"/>
  <c r="DA66" i="1" s="1"/>
  <c r="CM66" i="1" a="1"/>
  <c r="CM66" i="1" s="1"/>
  <c r="BR64" i="1"/>
  <c r="BB64" i="1"/>
  <c r="AL64" i="1"/>
  <c r="V64" i="1"/>
  <c r="F64" i="1"/>
  <c r="BQ64" i="1"/>
  <c r="BA64" i="1"/>
  <c r="AK64" i="1"/>
  <c r="U64" i="1"/>
  <c r="E64" i="1"/>
  <c r="BP64" i="1"/>
  <c r="AZ64" i="1"/>
  <c r="AJ64" i="1"/>
  <c r="T64" i="1"/>
  <c r="D64" i="1"/>
  <c r="BO64" i="1"/>
  <c r="AY64" i="1"/>
  <c r="AI64" i="1"/>
  <c r="S64" i="1"/>
  <c r="BF64" i="1"/>
  <c r="AH64" i="1"/>
  <c r="N64" i="1"/>
  <c r="BE64" i="1"/>
  <c r="AG64" i="1"/>
  <c r="M64" i="1"/>
  <c r="BD64" i="1"/>
  <c r="AF64" i="1"/>
  <c r="L64" i="1"/>
  <c r="BC64" i="1"/>
  <c r="AE64" i="1"/>
  <c r="K64" i="1"/>
  <c r="AX64" i="1"/>
  <c r="Z64" i="1"/>
  <c r="AW64" i="1"/>
  <c r="Y64" i="1"/>
  <c r="AV64" i="1"/>
  <c r="X64" i="1"/>
  <c r="AU64" i="1"/>
  <c r="W64" i="1"/>
  <c r="AT64" i="1"/>
  <c r="R64" i="1"/>
  <c r="DW64" i="1"/>
  <c r="BH64" i="1"/>
  <c r="J64" i="1"/>
  <c r="BG64" i="1"/>
  <c r="I64" i="1"/>
  <c r="AS64" i="1"/>
  <c r="H64" i="1"/>
  <c r="AR64" i="1"/>
  <c r="G64" i="1"/>
  <c r="AQ64" i="1"/>
  <c r="A64" i="1"/>
  <c r="AM64" i="1"/>
  <c r="AD64" i="1"/>
  <c r="AC64" i="1"/>
  <c r="AB64" i="1"/>
  <c r="AA64" i="1"/>
  <c r="Q64" i="1"/>
  <c r="P64" i="1"/>
  <c r="BN64" i="1"/>
  <c r="C65" i="1"/>
  <c r="BM64" i="1"/>
  <c r="BL64" i="1"/>
  <c r="BK64" i="1"/>
  <c r="BJ64" i="1"/>
  <c r="BI64" i="1"/>
  <c r="AP64" i="1"/>
  <c r="AO64" i="1"/>
  <c r="AN64" i="1"/>
  <c r="O64" i="1"/>
  <c r="BO61" i="1"/>
  <c r="AY61" i="1"/>
  <c r="AI61" i="1"/>
  <c r="S61" i="1"/>
  <c r="BN61" i="1"/>
  <c r="AX61" i="1"/>
  <c r="AH61" i="1"/>
  <c r="R61" i="1"/>
  <c r="A61" i="1"/>
  <c r="BM61" i="1"/>
  <c r="AW61" i="1"/>
  <c r="AG61" i="1"/>
  <c r="Q61" i="1"/>
  <c r="DW61" i="1"/>
  <c r="BL61" i="1"/>
  <c r="AV61" i="1"/>
  <c r="AF61" i="1"/>
  <c r="P61" i="1"/>
  <c r="AU61" i="1"/>
  <c r="AA61" i="1"/>
  <c r="G61" i="1"/>
  <c r="BR61" i="1"/>
  <c r="AT61" i="1"/>
  <c r="Z61" i="1"/>
  <c r="F61" i="1"/>
  <c r="BQ61" i="1"/>
  <c r="AS61" i="1"/>
  <c r="Y61" i="1"/>
  <c r="E61" i="1"/>
  <c r="BP61" i="1"/>
  <c r="AR61" i="1"/>
  <c r="X61" i="1"/>
  <c r="D61" i="1"/>
  <c r="BK61" i="1"/>
  <c r="AM61" i="1"/>
  <c r="K61" i="1"/>
  <c r="BJ61" i="1"/>
  <c r="AL61" i="1"/>
  <c r="J61" i="1"/>
  <c r="BI61" i="1"/>
  <c r="AK61" i="1"/>
  <c r="I61" i="1"/>
  <c r="BH61" i="1"/>
  <c r="AJ61" i="1"/>
  <c r="H61" i="1"/>
  <c r="BG61" i="1"/>
  <c r="AE61" i="1"/>
  <c r="AP61" i="1"/>
  <c r="AO61" i="1"/>
  <c r="AN61" i="1"/>
  <c r="AD61" i="1"/>
  <c r="AC61" i="1"/>
  <c r="T61" i="1"/>
  <c r="O61" i="1"/>
  <c r="N61" i="1"/>
  <c r="M61" i="1"/>
  <c r="BF61" i="1"/>
  <c r="L61" i="1"/>
  <c r="BE61" i="1"/>
  <c r="BS61" i="1" s="1"/>
  <c r="BD61" i="1"/>
  <c r="BC61" i="1"/>
  <c r="BB61" i="1"/>
  <c r="BA61" i="1"/>
  <c r="AZ61" i="1"/>
  <c r="AQ61" i="1"/>
  <c r="AB61" i="1"/>
  <c r="V61" i="1"/>
  <c r="W61" i="1"/>
  <c r="U61" i="1"/>
  <c r="BT60" i="1"/>
  <c r="BT63" i="1"/>
  <c r="BU63" i="1" s="1"/>
  <c r="BS57" i="1"/>
  <c r="BT57" i="1" s="1"/>
  <c r="BU57" i="1" s="1"/>
  <c r="DP61" i="1" l="1" a="1"/>
  <c r="DP61" i="1" s="1"/>
  <c r="DH61" i="1" a="1"/>
  <c r="DH61" i="1" s="1"/>
  <c r="CZ61" i="1" a="1"/>
  <c r="CZ61" i="1" s="1"/>
  <c r="CR61" i="1" a="1"/>
  <c r="CR61" i="1" s="1"/>
  <c r="CI61" i="1" a="1"/>
  <c r="CI61" i="1" s="1"/>
  <c r="CA61" i="1" a="1"/>
  <c r="CA61" i="1" s="1"/>
  <c r="DO61" i="1" a="1"/>
  <c r="DO61" i="1" s="1"/>
  <c r="DG61" i="1" a="1"/>
  <c r="DG61" i="1" s="1"/>
  <c r="CY61" i="1" a="1"/>
  <c r="CY61" i="1" s="1"/>
  <c r="CQ61" i="1" a="1"/>
  <c r="CQ61" i="1" s="1"/>
  <c r="CH61" i="1" a="1"/>
  <c r="CH61" i="1" s="1"/>
  <c r="BZ61" i="1" a="1"/>
  <c r="BZ61" i="1" s="1"/>
  <c r="DV61" i="1" a="1"/>
  <c r="DV61" i="1" s="1"/>
  <c r="DL61" i="1" a="1"/>
  <c r="DL61" i="1" s="1"/>
  <c r="DB61" i="1" a="1"/>
  <c r="DB61" i="1" s="1"/>
  <c r="CP61" i="1" a="1"/>
  <c r="CP61" i="1" s="1"/>
  <c r="CE61" i="1" a="1"/>
  <c r="CE61" i="1" s="1"/>
  <c r="DU61" i="1" a="1"/>
  <c r="DU61" i="1" s="1"/>
  <c r="DK61" i="1" a="1"/>
  <c r="DK61" i="1" s="1"/>
  <c r="DA61" i="1" a="1"/>
  <c r="DA61" i="1" s="1"/>
  <c r="CO61" i="1" a="1"/>
  <c r="CO61" i="1" s="1"/>
  <c r="CD61" i="1" a="1"/>
  <c r="CD61" i="1" s="1"/>
  <c r="DJ61" i="1" a="1"/>
  <c r="DJ61" i="1" s="1"/>
  <c r="CV61" i="1" a="1"/>
  <c r="CV61" i="1" s="1"/>
  <c r="CG61" i="1" a="1"/>
  <c r="CG61" i="1" s="1"/>
  <c r="DI61" i="1" a="1"/>
  <c r="DI61" i="1" s="1"/>
  <c r="CU61" i="1" a="1"/>
  <c r="CU61" i="1" s="1"/>
  <c r="CF61" i="1" a="1"/>
  <c r="CF61" i="1" s="1"/>
  <c r="DR61" i="1" a="1"/>
  <c r="DR61" i="1" s="1"/>
  <c r="CW61" i="1" a="1"/>
  <c r="CW61" i="1" s="1"/>
  <c r="BY61" i="1" a="1"/>
  <c r="BY61" i="1" s="1"/>
  <c r="DQ61" i="1" a="1"/>
  <c r="DQ61" i="1" s="1"/>
  <c r="CT61" i="1" a="1"/>
  <c r="CT61" i="1" s="1"/>
  <c r="BX61" i="1" a="1"/>
  <c r="BX61" i="1" s="1"/>
  <c r="DN61" i="1" a="1"/>
  <c r="DN61" i="1" s="1"/>
  <c r="CS61" i="1" a="1"/>
  <c r="CS61" i="1" s="1"/>
  <c r="CB61" i="1" a="1"/>
  <c r="CB61" i="1" s="1"/>
  <c r="DD61" i="1" a="1"/>
  <c r="DD61" i="1" s="1"/>
  <c r="BW61" i="1" a="1"/>
  <c r="BW61" i="1" s="1"/>
  <c r="DC61" i="1" a="1"/>
  <c r="DC61" i="1" s="1"/>
  <c r="CX61" i="1" a="1"/>
  <c r="CX61" i="1" s="1"/>
  <c r="DT61" i="1" a="1"/>
  <c r="DT61" i="1" s="1"/>
  <c r="CC61" i="1" a="1"/>
  <c r="CC61" i="1" s="1"/>
  <c r="DS61" i="1" a="1"/>
  <c r="DS61" i="1" s="1"/>
  <c r="DM61" i="1" a="1"/>
  <c r="DM61" i="1" s="1"/>
  <c r="DF61" i="1" a="1"/>
  <c r="DF61" i="1" s="1"/>
  <c r="DE61" i="1" a="1"/>
  <c r="DE61" i="1" s="1"/>
  <c r="CM61" i="1" a="1"/>
  <c r="CM61" i="1" s="1"/>
  <c r="CL61" i="1" a="1"/>
  <c r="CL61" i="1" s="1"/>
  <c r="CK61" i="1" a="1"/>
  <c r="CK61" i="1" s="1"/>
  <c r="CJ61" i="1" a="1"/>
  <c r="CJ61" i="1" s="1"/>
  <c r="DW65" i="1"/>
  <c r="BL65" i="1"/>
  <c r="AV65" i="1"/>
  <c r="AF65" i="1"/>
  <c r="BJ65" i="1"/>
  <c r="AT65" i="1"/>
  <c r="BI65" i="1"/>
  <c r="BF65" i="1"/>
  <c r="AN65" i="1"/>
  <c r="W65" i="1"/>
  <c r="G65" i="1"/>
  <c r="BE65" i="1"/>
  <c r="BS65" i="1" s="1"/>
  <c r="AM65" i="1"/>
  <c r="V65" i="1"/>
  <c r="F65" i="1"/>
  <c r="BD65" i="1"/>
  <c r="AL65" i="1"/>
  <c r="U65" i="1"/>
  <c r="E65" i="1"/>
  <c r="BC65" i="1"/>
  <c r="AK65" i="1"/>
  <c r="T65" i="1"/>
  <c r="D65" i="1"/>
  <c r="BB65" i="1"/>
  <c r="AE65" i="1"/>
  <c r="K65" i="1"/>
  <c r="BA65" i="1"/>
  <c r="AD65" i="1"/>
  <c r="J65" i="1"/>
  <c r="AZ65" i="1"/>
  <c r="AC65" i="1"/>
  <c r="I65" i="1"/>
  <c r="AY65" i="1"/>
  <c r="AB65" i="1"/>
  <c r="H65" i="1"/>
  <c r="AX65" i="1"/>
  <c r="S65" i="1"/>
  <c r="AW65" i="1"/>
  <c r="R65" i="1"/>
  <c r="AU65" i="1"/>
  <c r="Q65" i="1"/>
  <c r="AS65" i="1"/>
  <c r="P65" i="1"/>
  <c r="AR65" i="1"/>
  <c r="O65" i="1"/>
  <c r="AQ65" i="1"/>
  <c r="AP65" i="1"/>
  <c r="AO65" i="1"/>
  <c r="AJ65" i="1"/>
  <c r="AI65" i="1"/>
  <c r="BG65" i="1"/>
  <c r="AH65" i="1"/>
  <c r="AG65" i="1"/>
  <c r="AA65" i="1"/>
  <c r="Z65" i="1"/>
  <c r="Y65" i="1"/>
  <c r="X65" i="1"/>
  <c r="M65" i="1"/>
  <c r="L65" i="1"/>
  <c r="A65" i="1"/>
  <c r="BR65" i="1"/>
  <c r="BT65" i="1" s="1"/>
  <c r="BQ65" i="1"/>
  <c r="BP65" i="1"/>
  <c r="BO65" i="1"/>
  <c r="BH65" i="1"/>
  <c r="BN65" i="1"/>
  <c r="BK65" i="1"/>
  <c r="N65" i="1"/>
  <c r="BM65" i="1"/>
  <c r="BT61" i="1"/>
  <c r="BS67" i="1"/>
  <c r="BS70" i="1"/>
  <c r="BT70" i="1" s="1"/>
  <c r="BU70" i="1" s="1"/>
  <c r="BG74" i="1"/>
  <c r="AQ74" i="1"/>
  <c r="AA74" i="1"/>
  <c r="K74" i="1"/>
  <c r="BF74" i="1"/>
  <c r="AP74" i="1"/>
  <c r="Z74" i="1"/>
  <c r="J74" i="1"/>
  <c r="BE74" i="1"/>
  <c r="AO74" i="1"/>
  <c r="Y74" i="1"/>
  <c r="I74" i="1"/>
  <c r="BD74" i="1"/>
  <c r="AN74" i="1"/>
  <c r="X74" i="1"/>
  <c r="H74" i="1"/>
  <c r="BO74" i="1"/>
  <c r="AU74" i="1"/>
  <c r="W74" i="1"/>
  <c r="BN74" i="1"/>
  <c r="AT74" i="1"/>
  <c r="V74" i="1"/>
  <c r="A74" i="1"/>
  <c r="BM74" i="1"/>
  <c r="AS74" i="1"/>
  <c r="U74" i="1"/>
  <c r="BL74" i="1"/>
  <c r="AR74" i="1"/>
  <c r="T74" i="1"/>
  <c r="BK74" i="1"/>
  <c r="AI74" i="1"/>
  <c r="G74" i="1"/>
  <c r="C75" i="1"/>
  <c r="BJ74" i="1"/>
  <c r="AH74" i="1"/>
  <c r="F74" i="1"/>
  <c r="BI74" i="1"/>
  <c r="AG74" i="1"/>
  <c r="E74" i="1"/>
  <c r="DW74" i="1"/>
  <c r="BH74" i="1"/>
  <c r="AF74" i="1"/>
  <c r="D74" i="1"/>
  <c r="AE74" i="1"/>
  <c r="BR74" i="1"/>
  <c r="AD74" i="1"/>
  <c r="BQ74" i="1"/>
  <c r="AC74" i="1"/>
  <c r="BP74" i="1"/>
  <c r="AB74" i="1"/>
  <c r="C78" i="1"/>
  <c r="AY74" i="1"/>
  <c r="AX74" i="1"/>
  <c r="AW74" i="1"/>
  <c r="AV74" i="1"/>
  <c r="AM74" i="1"/>
  <c r="S74" i="1"/>
  <c r="R74" i="1"/>
  <c r="Q74" i="1"/>
  <c r="P74" i="1"/>
  <c r="O74" i="1"/>
  <c r="BC74" i="1"/>
  <c r="BB74" i="1"/>
  <c r="BA74" i="1"/>
  <c r="AZ74" i="1"/>
  <c r="AL74" i="1"/>
  <c r="AK74" i="1"/>
  <c r="AJ74" i="1"/>
  <c r="N74" i="1"/>
  <c r="M74" i="1"/>
  <c r="L74" i="1"/>
  <c r="BR71" i="1"/>
  <c r="BB71" i="1"/>
  <c r="AL71" i="1"/>
  <c r="V71" i="1"/>
  <c r="F71" i="1"/>
  <c r="BQ71" i="1"/>
  <c r="BA71" i="1"/>
  <c r="AK71" i="1"/>
  <c r="U71" i="1"/>
  <c r="E71" i="1"/>
  <c r="BP71" i="1"/>
  <c r="AZ71" i="1"/>
  <c r="AJ71" i="1"/>
  <c r="T71" i="1"/>
  <c r="D71" i="1"/>
  <c r="BO71" i="1"/>
  <c r="AY71" i="1"/>
  <c r="AI71" i="1"/>
  <c r="S71" i="1"/>
  <c r="BJ71" i="1"/>
  <c r="AP71" i="1"/>
  <c r="R71" i="1"/>
  <c r="BI71" i="1"/>
  <c r="AO71" i="1"/>
  <c r="Q71" i="1"/>
  <c r="BH71" i="1"/>
  <c r="AN71" i="1"/>
  <c r="P71" i="1"/>
  <c r="BG71" i="1"/>
  <c r="AM71" i="1"/>
  <c r="O71" i="1"/>
  <c r="AX71" i="1"/>
  <c r="Z71" i="1"/>
  <c r="AW71" i="1"/>
  <c r="Y71" i="1"/>
  <c r="AV71" i="1"/>
  <c r="X71" i="1"/>
  <c r="AU71" i="1"/>
  <c r="W71" i="1"/>
  <c r="C72" i="1"/>
  <c r="BN71" i="1"/>
  <c r="AD71" i="1"/>
  <c r="BM71" i="1"/>
  <c r="AC71" i="1"/>
  <c r="DW71" i="1"/>
  <c r="BL71" i="1"/>
  <c r="AB71" i="1"/>
  <c r="BK71" i="1"/>
  <c r="AA71" i="1"/>
  <c r="BF71" i="1"/>
  <c r="N71" i="1"/>
  <c r="I71" i="1"/>
  <c r="BE71" i="1"/>
  <c r="H71" i="1"/>
  <c r="BD71" i="1"/>
  <c r="G71" i="1"/>
  <c r="BC71" i="1"/>
  <c r="A71" i="1"/>
  <c r="AT71" i="1"/>
  <c r="AS71" i="1"/>
  <c r="AR71" i="1"/>
  <c r="AQ71" i="1"/>
  <c r="AH71" i="1"/>
  <c r="AG71" i="1"/>
  <c r="AF71" i="1"/>
  <c r="AE71" i="1"/>
  <c r="M71" i="1"/>
  <c r="L71" i="1"/>
  <c r="K71" i="1"/>
  <c r="J71" i="1"/>
  <c r="DP67" i="1" a="1"/>
  <c r="DP67" i="1" s="1"/>
  <c r="DH67" i="1" a="1"/>
  <c r="DH67" i="1" s="1"/>
  <c r="CZ67" i="1" a="1"/>
  <c r="CZ67" i="1" s="1"/>
  <c r="CR67" i="1" a="1"/>
  <c r="CR67" i="1" s="1"/>
  <c r="CI67" i="1" a="1"/>
  <c r="CI67" i="1" s="1"/>
  <c r="CA67" i="1" a="1"/>
  <c r="CA67" i="1" s="1"/>
  <c r="DO67" i="1" a="1"/>
  <c r="DO67" i="1" s="1"/>
  <c r="DG67" i="1" a="1"/>
  <c r="DG67" i="1" s="1"/>
  <c r="CY67" i="1" a="1"/>
  <c r="CY67" i="1" s="1"/>
  <c r="CQ67" i="1" a="1"/>
  <c r="CQ67" i="1" s="1"/>
  <c r="CH67" i="1" a="1"/>
  <c r="CH67" i="1" s="1"/>
  <c r="BZ67" i="1" a="1"/>
  <c r="BZ67" i="1" s="1"/>
  <c r="DR67" i="1" a="1"/>
  <c r="DR67" i="1" s="1"/>
  <c r="DF67" i="1" a="1"/>
  <c r="DF67" i="1" s="1"/>
  <c r="CV67" i="1" a="1"/>
  <c r="CV67" i="1" s="1"/>
  <c r="CB67" i="1" a="1"/>
  <c r="CB67" i="1" s="1"/>
  <c r="CK67" i="1" a="1"/>
  <c r="CK67" i="1" s="1"/>
  <c r="DQ67" i="1" a="1"/>
  <c r="DQ67" i="1" s="1"/>
  <c r="DE67" i="1" a="1"/>
  <c r="DE67" i="1" s="1"/>
  <c r="CU67" i="1" a="1"/>
  <c r="CU67" i="1" s="1"/>
  <c r="CJ67" i="1" a="1"/>
  <c r="CJ67" i="1" s="1"/>
  <c r="BY67" i="1" a="1"/>
  <c r="BY67" i="1" s="1"/>
  <c r="DL67" i="1" a="1"/>
  <c r="DL67" i="1" s="1"/>
  <c r="CX67" i="1" a="1"/>
  <c r="CX67" i="1" s="1"/>
  <c r="DK67" i="1" a="1"/>
  <c r="DK67" i="1" s="1"/>
  <c r="CW67" i="1" a="1"/>
  <c r="CW67" i="1" s="1"/>
  <c r="CG67" i="1" a="1"/>
  <c r="CG67" i="1" s="1"/>
  <c r="DN67" i="1" a="1"/>
  <c r="DN67" i="1" s="1"/>
  <c r="CT67" i="1" a="1"/>
  <c r="CT67" i="1" s="1"/>
  <c r="CD67" i="1" a="1"/>
  <c r="CD67" i="1" s="1"/>
  <c r="DM67" i="1" a="1"/>
  <c r="DM67" i="1" s="1"/>
  <c r="CS67" i="1" a="1"/>
  <c r="CS67" i="1" s="1"/>
  <c r="CC67" i="1" a="1"/>
  <c r="CC67" i="1" s="1"/>
  <c r="DJ67" i="1" a="1"/>
  <c r="DJ67" i="1" s="1"/>
  <c r="CM67" i="1" a="1"/>
  <c r="CM67" i="1" s="1"/>
  <c r="DI67" i="1" a="1"/>
  <c r="DI67" i="1" s="1"/>
  <c r="CL67" i="1" a="1"/>
  <c r="CL67" i="1" s="1"/>
  <c r="CF67" i="1" a="1"/>
  <c r="CF67" i="1" s="1"/>
  <c r="DD67" i="1" a="1"/>
  <c r="DD67" i="1" s="1"/>
  <c r="DB67" i="1" a="1"/>
  <c r="DB67" i="1" s="1"/>
  <c r="DA67" i="1" a="1"/>
  <c r="DA67" i="1" s="1"/>
  <c r="CP67" i="1" a="1"/>
  <c r="CP67" i="1" s="1"/>
  <c r="DV67" i="1" a="1"/>
  <c r="DV67" i="1" s="1"/>
  <c r="DU67" i="1" a="1"/>
  <c r="DU67" i="1" s="1"/>
  <c r="DT67" i="1" a="1"/>
  <c r="DT67" i="1" s="1"/>
  <c r="DS67" i="1" a="1"/>
  <c r="DS67" i="1" s="1"/>
  <c r="DC67" i="1" a="1"/>
  <c r="DC67" i="1" s="1"/>
  <c r="CO67" i="1" a="1"/>
  <c r="CO67" i="1" s="1"/>
  <c r="BX67" i="1" a="1"/>
  <c r="BX67" i="1" s="1"/>
  <c r="BW67" i="1" a="1"/>
  <c r="BW67" i="1" s="1"/>
  <c r="CE67" i="1" a="1"/>
  <c r="CE67" i="1" s="1"/>
  <c r="BO68" i="1"/>
  <c r="AY68" i="1"/>
  <c r="AI68" i="1"/>
  <c r="S68" i="1"/>
  <c r="C69" i="1"/>
  <c r="BN68" i="1"/>
  <c r="AX68" i="1"/>
  <c r="AH68" i="1"/>
  <c r="R68" i="1"/>
  <c r="A68" i="1"/>
  <c r="BM68" i="1"/>
  <c r="AW68" i="1"/>
  <c r="AG68" i="1"/>
  <c r="Q68" i="1"/>
  <c r="DW68" i="1"/>
  <c r="BL68" i="1"/>
  <c r="AV68" i="1"/>
  <c r="AF68" i="1"/>
  <c r="P68" i="1"/>
  <c r="BC68" i="1"/>
  <c r="AE68" i="1"/>
  <c r="K68" i="1"/>
  <c r="BB68" i="1"/>
  <c r="AD68" i="1"/>
  <c r="J68" i="1"/>
  <c r="BA68" i="1"/>
  <c r="AC68" i="1"/>
  <c r="I68" i="1"/>
  <c r="AZ68" i="1"/>
  <c r="AB68" i="1"/>
  <c r="H68" i="1"/>
  <c r="BK68" i="1"/>
  <c r="AM68" i="1"/>
  <c r="G68" i="1"/>
  <c r="BJ68" i="1"/>
  <c r="AL68" i="1"/>
  <c r="F68" i="1"/>
  <c r="BI68" i="1"/>
  <c r="AK68" i="1"/>
  <c r="E68" i="1"/>
  <c r="BH68" i="1"/>
  <c r="AJ68" i="1"/>
  <c r="D68" i="1"/>
  <c r="BG68" i="1"/>
  <c r="W68" i="1"/>
  <c r="BF68" i="1"/>
  <c r="V68" i="1"/>
  <c r="BE68" i="1"/>
  <c r="BS68" i="1" s="1"/>
  <c r="U68" i="1"/>
  <c r="BD68" i="1"/>
  <c r="T68" i="1"/>
  <c r="AU68" i="1"/>
  <c r="O68" i="1"/>
  <c r="AO68" i="1"/>
  <c r="AN68" i="1"/>
  <c r="AA68" i="1"/>
  <c r="Z68" i="1"/>
  <c r="Y68" i="1"/>
  <c r="AR68" i="1"/>
  <c r="AQ68" i="1"/>
  <c r="AP68" i="1"/>
  <c r="X68" i="1"/>
  <c r="N68" i="1"/>
  <c r="M68" i="1"/>
  <c r="L68" i="1"/>
  <c r="AT68" i="1"/>
  <c r="BR68" i="1"/>
  <c r="BT68" i="1" s="1"/>
  <c r="AS68" i="1"/>
  <c r="BQ68" i="1"/>
  <c r="BP68" i="1"/>
  <c r="DQ70" i="1" a="1"/>
  <c r="DQ70" i="1" s="1"/>
  <c r="DI70" i="1" a="1"/>
  <c r="DI70" i="1" s="1"/>
  <c r="DA70" i="1" a="1"/>
  <c r="DA70" i="1" s="1"/>
  <c r="CS70" i="1" a="1"/>
  <c r="CS70" i="1" s="1"/>
  <c r="CJ70" i="1" a="1"/>
  <c r="CJ70" i="1" s="1"/>
  <c r="CB70" i="1" a="1"/>
  <c r="CB70" i="1" s="1"/>
  <c r="DP70" i="1" a="1"/>
  <c r="DP70" i="1" s="1"/>
  <c r="DH70" i="1" a="1"/>
  <c r="DH70" i="1" s="1"/>
  <c r="CZ70" i="1" a="1"/>
  <c r="CZ70" i="1" s="1"/>
  <c r="CR70" i="1" a="1"/>
  <c r="CR70" i="1" s="1"/>
  <c r="CI70" i="1" a="1"/>
  <c r="CI70" i="1" s="1"/>
  <c r="CA70" i="1" a="1"/>
  <c r="CA70" i="1" s="1"/>
  <c r="DU70" i="1" a="1"/>
  <c r="DU70" i="1" s="1"/>
  <c r="DK70" i="1" a="1"/>
  <c r="DK70" i="1" s="1"/>
  <c r="CY70" i="1" a="1"/>
  <c r="CY70" i="1" s="1"/>
  <c r="CO70" i="1" a="1"/>
  <c r="CO70" i="1" s="1"/>
  <c r="CD70" i="1" a="1"/>
  <c r="CD70" i="1" s="1"/>
  <c r="DT70" i="1" a="1"/>
  <c r="DT70" i="1" s="1"/>
  <c r="DJ70" i="1" a="1"/>
  <c r="DJ70" i="1" s="1"/>
  <c r="CX70" i="1" a="1"/>
  <c r="CX70" i="1" s="1"/>
  <c r="CM70" i="1" a="1"/>
  <c r="CM70" i="1" s="1"/>
  <c r="CC70" i="1" a="1"/>
  <c r="CC70" i="1" s="1"/>
  <c r="DS70" i="1" a="1"/>
  <c r="DS70" i="1" s="1"/>
  <c r="DE70" i="1" a="1"/>
  <c r="DE70" i="1" s="1"/>
  <c r="CQ70" i="1" a="1"/>
  <c r="CQ70" i="1" s="1"/>
  <c r="BZ70" i="1" a="1"/>
  <c r="BZ70" i="1" s="1"/>
  <c r="DR70" i="1" a="1"/>
  <c r="DR70" i="1" s="1"/>
  <c r="DD70" i="1" a="1"/>
  <c r="DD70" i="1" s="1"/>
  <c r="CP70" i="1" a="1"/>
  <c r="CP70" i="1" s="1"/>
  <c r="BY70" i="1" a="1"/>
  <c r="BY70" i="1" s="1"/>
  <c r="DO70" i="1" a="1"/>
  <c r="DO70" i="1" s="1"/>
  <c r="CW70" i="1" a="1"/>
  <c r="CW70" i="1" s="1"/>
  <c r="CF70" i="1" a="1"/>
  <c r="CF70" i="1" s="1"/>
  <c r="DN70" i="1" a="1"/>
  <c r="DN70" i="1" s="1"/>
  <c r="CV70" i="1" a="1"/>
  <c r="CV70" i="1" s="1"/>
  <c r="CE70" i="1" a="1"/>
  <c r="CE70" i="1" s="1"/>
  <c r="DB70" i="1" a="1"/>
  <c r="DB70" i="1" s="1"/>
  <c r="CU70" i="1" a="1"/>
  <c r="CU70" i="1" s="1"/>
  <c r="CT70" i="1" a="1"/>
  <c r="CT70" i="1" s="1"/>
  <c r="CH70" i="1" a="1"/>
  <c r="CH70" i="1" s="1"/>
  <c r="DV70" i="1" a="1"/>
  <c r="DV70" i="1" s="1"/>
  <c r="DM70" i="1" a="1"/>
  <c r="DM70" i="1" s="1"/>
  <c r="CG70" i="1" a="1"/>
  <c r="CG70" i="1" s="1"/>
  <c r="BX70" i="1" a="1"/>
  <c r="BX70" i="1" s="1"/>
  <c r="DL70" i="1" a="1"/>
  <c r="DL70" i="1" s="1"/>
  <c r="BW70" i="1" a="1"/>
  <c r="BW70" i="1" s="1"/>
  <c r="DG70" i="1" a="1"/>
  <c r="DG70" i="1" s="1"/>
  <c r="CK70" i="1" a="1"/>
  <c r="CK70" i="1" s="1"/>
  <c r="DC70" i="1" a="1"/>
  <c r="DC70" i="1" s="1"/>
  <c r="CL70" i="1" a="1"/>
  <c r="CL70" i="1" s="1"/>
  <c r="DF70" i="1" a="1"/>
  <c r="DF70" i="1" s="1"/>
  <c r="BS64" i="1"/>
  <c r="BT64" i="1"/>
  <c r="BU64" i="1"/>
  <c r="DR64" i="1" a="1"/>
  <c r="DR64" i="1" s="1"/>
  <c r="DJ64" i="1" a="1"/>
  <c r="DJ64" i="1" s="1"/>
  <c r="DB64" i="1" a="1"/>
  <c r="DB64" i="1" s="1"/>
  <c r="CT64" i="1" a="1"/>
  <c r="CT64" i="1" s="1"/>
  <c r="CK64" i="1" a="1"/>
  <c r="CK64" i="1" s="1"/>
  <c r="CC64" i="1" a="1"/>
  <c r="CC64" i="1" s="1"/>
  <c r="DQ64" i="1" a="1"/>
  <c r="DQ64" i="1" s="1"/>
  <c r="DI64" i="1" a="1"/>
  <c r="DI64" i="1" s="1"/>
  <c r="DA64" i="1" a="1"/>
  <c r="DA64" i="1" s="1"/>
  <c r="CS64" i="1" a="1"/>
  <c r="CS64" i="1" s="1"/>
  <c r="CJ64" i="1" a="1"/>
  <c r="CJ64" i="1" s="1"/>
  <c r="CB64" i="1" a="1"/>
  <c r="CB64" i="1" s="1"/>
  <c r="DP64" i="1" a="1"/>
  <c r="DP64" i="1" s="1"/>
  <c r="DF64" i="1" a="1"/>
  <c r="DF64" i="1" s="1"/>
  <c r="CV64" i="1" a="1"/>
  <c r="CV64" i="1" s="1"/>
  <c r="CI64" i="1" a="1"/>
  <c r="CI64" i="1" s="1"/>
  <c r="BY64" i="1" a="1"/>
  <c r="BY64" i="1" s="1"/>
  <c r="DO64" i="1" a="1"/>
  <c r="DO64" i="1" s="1"/>
  <c r="DE64" i="1" a="1"/>
  <c r="DE64" i="1" s="1"/>
  <c r="CU64" i="1" a="1"/>
  <c r="CU64" i="1" s="1"/>
  <c r="CH64" i="1" a="1"/>
  <c r="CH64" i="1" s="1"/>
  <c r="BX64" i="1" a="1"/>
  <c r="BX64" i="1" s="1"/>
  <c r="DT64" i="1" a="1"/>
  <c r="DT64" i="1" s="1"/>
  <c r="DD64" i="1" a="1"/>
  <c r="DD64" i="1" s="1"/>
  <c r="CP64" i="1" a="1"/>
  <c r="CP64" i="1" s="1"/>
  <c r="CA64" i="1" a="1"/>
  <c r="CA64" i="1" s="1"/>
  <c r="DS64" i="1" a="1"/>
  <c r="DS64" i="1" s="1"/>
  <c r="DC64" i="1" a="1"/>
  <c r="DC64" i="1" s="1"/>
  <c r="CO64" i="1" a="1"/>
  <c r="CO64" i="1" s="1"/>
  <c r="BZ64" i="1" a="1"/>
  <c r="BZ64" i="1" s="1"/>
  <c r="DN64" i="1" a="1"/>
  <c r="DN64" i="1" s="1"/>
  <c r="CZ64" i="1" a="1"/>
  <c r="CZ64" i="1" s="1"/>
  <c r="CM64" i="1" a="1"/>
  <c r="CM64" i="1" s="1"/>
  <c r="BW64" i="1" a="1"/>
  <c r="BW64" i="1" s="1"/>
  <c r="CF64" i="1" a="1"/>
  <c r="CF64" i="1" s="1"/>
  <c r="DV64" i="1" a="1"/>
  <c r="DV64" i="1" s="1"/>
  <c r="CY64" i="1" a="1"/>
  <c r="CY64" i="1" s="1"/>
  <c r="CE64" i="1" a="1"/>
  <c r="CE64" i="1" s="1"/>
  <c r="DU64" i="1" a="1"/>
  <c r="DU64" i="1" s="1"/>
  <c r="CX64" i="1" a="1"/>
  <c r="CX64" i="1" s="1"/>
  <c r="DL64" i="1" a="1"/>
  <c r="DL64" i="1" s="1"/>
  <c r="CG64" i="1" a="1"/>
  <c r="CG64" i="1" s="1"/>
  <c r="DK64" i="1" a="1"/>
  <c r="DK64" i="1" s="1"/>
  <c r="CD64" i="1" a="1"/>
  <c r="CD64" i="1" s="1"/>
  <c r="DH64" i="1" a="1"/>
  <c r="DH64" i="1" s="1"/>
  <c r="DG64" i="1" a="1"/>
  <c r="DG64" i="1" s="1"/>
  <c r="CL64" i="1" a="1"/>
  <c r="CL64" i="1" s="1"/>
  <c r="DM64" i="1" a="1"/>
  <c r="DM64" i="1" s="1"/>
  <c r="CW64" i="1" a="1"/>
  <c r="CW64" i="1" s="1"/>
  <c r="CQ64" i="1" a="1"/>
  <c r="CQ64" i="1" s="1"/>
  <c r="CR64" i="1" a="1"/>
  <c r="CR64" i="1" s="1"/>
  <c r="BT67" i="1"/>
  <c r="BU61" i="1"/>
  <c r="BU67" i="1"/>
  <c r="BH75" i="1" l="1"/>
  <c r="AR75" i="1"/>
  <c r="AB75" i="1"/>
  <c r="L75" i="1"/>
  <c r="BG75" i="1"/>
  <c r="AQ75" i="1"/>
  <c r="AA75" i="1"/>
  <c r="K75" i="1"/>
  <c r="BF75" i="1"/>
  <c r="AP75" i="1"/>
  <c r="Z75" i="1"/>
  <c r="J75" i="1"/>
  <c r="BE75" i="1"/>
  <c r="BS75" i="1" s="1"/>
  <c r="AO75" i="1"/>
  <c r="Y75" i="1"/>
  <c r="I75" i="1"/>
  <c r="BL75" i="1"/>
  <c r="AN75" i="1"/>
  <c r="T75" i="1"/>
  <c r="BK75" i="1"/>
  <c r="AM75" i="1"/>
  <c r="S75" i="1"/>
  <c r="BJ75" i="1"/>
  <c r="AL75" i="1"/>
  <c r="R75" i="1"/>
  <c r="BI75" i="1"/>
  <c r="AK75" i="1"/>
  <c r="Q75" i="1"/>
  <c r="DW75" i="1"/>
  <c r="BD75" i="1"/>
  <c r="AF75" i="1"/>
  <c r="D75" i="1"/>
  <c r="BC75" i="1"/>
  <c r="AE75" i="1"/>
  <c r="BB75" i="1"/>
  <c r="AD75" i="1"/>
  <c r="A75" i="1"/>
  <c r="BA75" i="1"/>
  <c r="AC75" i="1"/>
  <c r="AV75" i="1"/>
  <c r="H75" i="1"/>
  <c r="AU75" i="1"/>
  <c r="G75" i="1"/>
  <c r="AT75" i="1"/>
  <c r="F75" i="1"/>
  <c r="AS75" i="1"/>
  <c r="E75" i="1"/>
  <c r="X75" i="1"/>
  <c r="W75" i="1"/>
  <c r="C76" i="1"/>
  <c r="BR75" i="1"/>
  <c r="V75" i="1"/>
  <c r="BQ75" i="1"/>
  <c r="U75" i="1"/>
  <c r="BP75" i="1"/>
  <c r="P75" i="1"/>
  <c r="BO75" i="1"/>
  <c r="BN75" i="1"/>
  <c r="BM75" i="1"/>
  <c r="AZ75" i="1"/>
  <c r="AI75" i="1"/>
  <c r="AH75" i="1"/>
  <c r="AG75" i="1"/>
  <c r="O75" i="1"/>
  <c r="N75" i="1"/>
  <c r="M75" i="1"/>
  <c r="AY75" i="1"/>
  <c r="AX75" i="1"/>
  <c r="AW75" i="1"/>
  <c r="AJ75" i="1"/>
  <c r="BC72" i="1"/>
  <c r="AM72" i="1"/>
  <c r="W72" i="1"/>
  <c r="G72" i="1"/>
  <c r="BR72" i="1"/>
  <c r="BB72" i="1"/>
  <c r="AL72" i="1"/>
  <c r="V72" i="1"/>
  <c r="F72" i="1"/>
  <c r="BQ72" i="1"/>
  <c r="BA72" i="1"/>
  <c r="AK72" i="1"/>
  <c r="U72" i="1"/>
  <c r="E72" i="1"/>
  <c r="BP72" i="1"/>
  <c r="AZ72" i="1"/>
  <c r="AJ72" i="1"/>
  <c r="T72" i="1"/>
  <c r="D72" i="1"/>
  <c r="BG72" i="1"/>
  <c r="AI72" i="1"/>
  <c r="O72" i="1"/>
  <c r="BF72" i="1"/>
  <c r="AH72" i="1"/>
  <c r="N72" i="1"/>
  <c r="BE72" i="1"/>
  <c r="BS72" i="1" s="1"/>
  <c r="AG72" i="1"/>
  <c r="M72" i="1"/>
  <c r="BD72" i="1"/>
  <c r="AF72" i="1"/>
  <c r="L72" i="1"/>
  <c r="AU72" i="1"/>
  <c r="S72" i="1"/>
  <c r="AT72" i="1"/>
  <c r="R72" i="1"/>
  <c r="AS72" i="1"/>
  <c r="Q72" i="1"/>
  <c r="AR72" i="1"/>
  <c r="P72" i="1"/>
  <c r="AQ72" i="1"/>
  <c r="AP72" i="1"/>
  <c r="A72" i="1"/>
  <c r="AO72" i="1"/>
  <c r="AN72" i="1"/>
  <c r="BO72" i="1"/>
  <c r="AE72" i="1"/>
  <c r="BH72" i="1"/>
  <c r="AY72" i="1"/>
  <c r="AX72" i="1"/>
  <c r="AW72" i="1"/>
  <c r="AV72" i="1"/>
  <c r="BL72" i="1"/>
  <c r="BK72" i="1"/>
  <c r="BJ72" i="1"/>
  <c r="BI72" i="1"/>
  <c r="AD72" i="1"/>
  <c r="AC72" i="1"/>
  <c r="AB72" i="1"/>
  <c r="C73" i="1"/>
  <c r="AA72" i="1"/>
  <c r="Z72" i="1"/>
  <c r="DW72" i="1"/>
  <c r="Y72" i="1"/>
  <c r="X72" i="1"/>
  <c r="K72" i="1"/>
  <c r="J72" i="1"/>
  <c r="I72" i="1"/>
  <c r="H72" i="1"/>
  <c r="BM72" i="1"/>
  <c r="BN72" i="1"/>
  <c r="BS71" i="1"/>
  <c r="BT71" i="1" s="1"/>
  <c r="BU71" i="1" s="1"/>
  <c r="DP68" i="1" a="1"/>
  <c r="DP68" i="1" s="1"/>
  <c r="DH68" i="1" a="1"/>
  <c r="DH68" i="1" s="1"/>
  <c r="CZ68" i="1" a="1"/>
  <c r="CZ68" i="1" s="1"/>
  <c r="CR68" i="1" a="1"/>
  <c r="CR68" i="1" s="1"/>
  <c r="CI68" i="1" a="1"/>
  <c r="CI68" i="1" s="1"/>
  <c r="CA68" i="1" a="1"/>
  <c r="CA68" i="1" s="1"/>
  <c r="DO68" i="1" a="1"/>
  <c r="DO68" i="1" s="1"/>
  <c r="DG68" i="1" a="1"/>
  <c r="DG68" i="1" s="1"/>
  <c r="CY68" i="1" a="1"/>
  <c r="CY68" i="1" s="1"/>
  <c r="CQ68" i="1" a="1"/>
  <c r="CQ68" i="1" s="1"/>
  <c r="CH68" i="1" a="1"/>
  <c r="CH68" i="1" s="1"/>
  <c r="BZ68" i="1" a="1"/>
  <c r="BZ68" i="1" s="1"/>
  <c r="DN68" i="1" a="1"/>
  <c r="DN68" i="1" s="1"/>
  <c r="DD68" i="1" a="1"/>
  <c r="DD68" i="1" s="1"/>
  <c r="CT68" i="1" a="1"/>
  <c r="CT68" i="1" s="1"/>
  <c r="CG68" i="1" a="1"/>
  <c r="CG68" i="1" s="1"/>
  <c r="BW68" i="1" a="1"/>
  <c r="BW68" i="1" s="1"/>
  <c r="DM68" i="1" a="1"/>
  <c r="DM68" i="1" s="1"/>
  <c r="DC68" i="1" a="1"/>
  <c r="DC68" i="1" s="1"/>
  <c r="CS68" i="1" a="1"/>
  <c r="CS68" i="1" s="1"/>
  <c r="CF68" i="1" a="1"/>
  <c r="CF68" i="1" s="1"/>
  <c r="DV68" i="1" a="1"/>
  <c r="DV68" i="1" s="1"/>
  <c r="DJ68" i="1" a="1"/>
  <c r="DJ68" i="1" s="1"/>
  <c r="CV68" i="1" a="1"/>
  <c r="CV68" i="1" s="1"/>
  <c r="CE68" i="1" a="1"/>
  <c r="CE68" i="1" s="1"/>
  <c r="DU68" i="1" a="1"/>
  <c r="DU68" i="1" s="1"/>
  <c r="DI68" i="1" a="1"/>
  <c r="DI68" i="1" s="1"/>
  <c r="CU68" i="1" a="1"/>
  <c r="CU68" i="1" s="1"/>
  <c r="CD68" i="1" a="1"/>
  <c r="CD68" i="1" s="1"/>
  <c r="DT68" i="1" a="1"/>
  <c r="DT68" i="1" s="1"/>
  <c r="DB68" i="1" a="1"/>
  <c r="DB68" i="1" s="1"/>
  <c r="CK68" i="1" a="1"/>
  <c r="CK68" i="1" s="1"/>
  <c r="DS68" i="1" a="1"/>
  <c r="DS68" i="1" s="1"/>
  <c r="DA68" i="1" a="1"/>
  <c r="DA68" i="1" s="1"/>
  <c r="CJ68" i="1" a="1"/>
  <c r="CJ68" i="1" s="1"/>
  <c r="DK68" i="1" a="1"/>
  <c r="DK68" i="1" s="1"/>
  <c r="CC68" i="1" a="1"/>
  <c r="CC68" i="1" s="1"/>
  <c r="DF68" i="1" a="1"/>
  <c r="DF68" i="1" s="1"/>
  <c r="CB68" i="1" a="1"/>
  <c r="CB68" i="1" s="1"/>
  <c r="DE68" i="1" a="1"/>
  <c r="DE68" i="1" s="1"/>
  <c r="BY68" i="1" a="1"/>
  <c r="BY68" i="1" s="1"/>
  <c r="CP68" i="1" a="1"/>
  <c r="CP68" i="1" s="1"/>
  <c r="CO68" i="1" a="1"/>
  <c r="CO68" i="1" s="1"/>
  <c r="CM68" i="1" a="1"/>
  <c r="CM68" i="1" s="1"/>
  <c r="DQ68" i="1" a="1"/>
  <c r="DQ68" i="1" s="1"/>
  <c r="DL68" i="1" a="1"/>
  <c r="DL68" i="1" s="1"/>
  <c r="CX68" i="1" a="1"/>
  <c r="CX68" i="1" s="1"/>
  <c r="CW68" i="1" a="1"/>
  <c r="CW68" i="1" s="1"/>
  <c r="CL68" i="1" a="1"/>
  <c r="CL68" i="1" s="1"/>
  <c r="BX68" i="1" a="1"/>
  <c r="BX68" i="1" s="1"/>
  <c r="DR68" i="1" a="1"/>
  <c r="DR68" i="1" s="1"/>
  <c r="BU65" i="1"/>
  <c r="BT74" i="1"/>
  <c r="BS74" i="1"/>
  <c r="DO65" i="1" a="1"/>
  <c r="DO65" i="1" s="1"/>
  <c r="DG65" i="1" a="1"/>
  <c r="DG65" i="1" s="1"/>
  <c r="CY65" i="1" a="1"/>
  <c r="CY65" i="1" s="1"/>
  <c r="CQ65" i="1" a="1"/>
  <c r="CQ65" i="1" s="1"/>
  <c r="CH65" i="1" a="1"/>
  <c r="CH65" i="1" s="1"/>
  <c r="BZ65" i="1" a="1"/>
  <c r="BZ65" i="1" s="1"/>
  <c r="DV65" i="1" a="1"/>
  <c r="DV65" i="1" s="1"/>
  <c r="DN65" i="1" a="1"/>
  <c r="DN65" i="1" s="1"/>
  <c r="DF65" i="1" a="1"/>
  <c r="DF65" i="1" s="1"/>
  <c r="CX65" i="1" a="1"/>
  <c r="CX65" i="1" s="1"/>
  <c r="CP65" i="1" a="1"/>
  <c r="CP65" i="1" s="1"/>
  <c r="CG65" i="1" a="1"/>
  <c r="CG65" i="1" s="1"/>
  <c r="BY65" i="1" a="1"/>
  <c r="BY65" i="1" s="1"/>
  <c r="DM65" i="1" a="1"/>
  <c r="DM65" i="1" s="1"/>
  <c r="CT65" i="1" a="1"/>
  <c r="CT65" i="1" s="1"/>
  <c r="DC65" i="1" a="1"/>
  <c r="DC65" i="1" s="1"/>
  <c r="CI65" i="1" a="1"/>
  <c r="CI65" i="1" s="1"/>
  <c r="BX65" i="1" a="1"/>
  <c r="BX65" i="1" s="1"/>
  <c r="DL65" i="1" a="1"/>
  <c r="DL65" i="1" s="1"/>
  <c r="CS65" i="1" a="1"/>
  <c r="CS65" i="1" s="1"/>
  <c r="DU65" i="1" a="1"/>
  <c r="DU65" i="1" s="1"/>
  <c r="DB65" i="1" a="1"/>
  <c r="DB65" i="1" s="1"/>
  <c r="BW65" i="1" a="1"/>
  <c r="BW65" i="1" s="1"/>
  <c r="CB65" i="1" a="1"/>
  <c r="CB65" i="1" s="1"/>
  <c r="DP65" i="1" a="1"/>
  <c r="DP65" i="1" s="1"/>
  <c r="DA65" i="1" a="1"/>
  <c r="DA65" i="1" s="1"/>
  <c r="CM65" i="1" a="1"/>
  <c r="CM65" i="1" s="1"/>
  <c r="CA65" i="1" a="1"/>
  <c r="CA65" i="1" s="1"/>
  <c r="CZ65" i="1" a="1"/>
  <c r="CZ65" i="1" s="1"/>
  <c r="CL65" i="1" a="1"/>
  <c r="CL65" i="1" s="1"/>
  <c r="DK65" i="1" a="1"/>
  <c r="DK65" i="1" s="1"/>
  <c r="CV65" i="1" a="1"/>
  <c r="CV65" i="1" s="1"/>
  <c r="CD65" i="1" a="1"/>
  <c r="CD65" i="1" s="1"/>
  <c r="DJ65" i="1" a="1"/>
  <c r="DJ65" i="1" s="1"/>
  <c r="CU65" i="1" a="1"/>
  <c r="CU65" i="1" s="1"/>
  <c r="CC65" i="1" a="1"/>
  <c r="CC65" i="1" s="1"/>
  <c r="DI65" i="1" a="1"/>
  <c r="DI65" i="1" s="1"/>
  <c r="CR65" i="1" a="1"/>
  <c r="CR65" i="1" s="1"/>
  <c r="DH65" i="1" a="1"/>
  <c r="DH65" i="1" s="1"/>
  <c r="CJ65" i="1" a="1"/>
  <c r="CJ65" i="1" s="1"/>
  <c r="CF65" i="1" a="1"/>
  <c r="CF65" i="1" s="1"/>
  <c r="DE65" i="1" a="1"/>
  <c r="DE65" i="1" s="1"/>
  <c r="CE65" i="1" a="1"/>
  <c r="CE65" i="1" s="1"/>
  <c r="CO65" i="1" a="1"/>
  <c r="CO65" i="1" s="1"/>
  <c r="DT65" i="1" a="1"/>
  <c r="DT65" i="1" s="1"/>
  <c r="CK65" i="1" a="1"/>
  <c r="CK65" i="1" s="1"/>
  <c r="DS65" i="1" a="1"/>
  <c r="DS65" i="1" s="1"/>
  <c r="DD65" i="1" a="1"/>
  <c r="DD65" i="1" s="1"/>
  <c r="CW65" i="1" a="1"/>
  <c r="CW65" i="1" s="1"/>
  <c r="DR65" i="1" a="1"/>
  <c r="DR65" i="1" s="1"/>
  <c r="DQ65" i="1" a="1"/>
  <c r="DQ65" i="1" s="1"/>
  <c r="BU68" i="1"/>
  <c r="C82" i="1"/>
  <c r="BK78" i="1"/>
  <c r="AU78" i="1"/>
  <c r="AE78" i="1"/>
  <c r="O78" i="1"/>
  <c r="BJ78" i="1"/>
  <c r="AT78" i="1"/>
  <c r="AD78" i="1"/>
  <c r="N78" i="1"/>
  <c r="BI78" i="1"/>
  <c r="AS78" i="1"/>
  <c r="AC78" i="1"/>
  <c r="M78" i="1"/>
  <c r="BH78" i="1"/>
  <c r="AR78" i="1"/>
  <c r="AB78" i="1"/>
  <c r="L78" i="1"/>
  <c r="AY78" i="1"/>
  <c r="AA78" i="1"/>
  <c r="G78" i="1"/>
  <c r="C79" i="1"/>
  <c r="BR78" i="1"/>
  <c r="AX78" i="1"/>
  <c r="Z78" i="1"/>
  <c r="F78" i="1"/>
  <c r="BQ78" i="1"/>
  <c r="AW78" i="1"/>
  <c r="Y78" i="1"/>
  <c r="E78" i="1"/>
  <c r="DW78" i="1"/>
  <c r="BP78" i="1"/>
  <c r="AV78" i="1"/>
  <c r="X78" i="1"/>
  <c r="D78" i="1"/>
  <c r="AQ78" i="1"/>
  <c r="S78" i="1"/>
  <c r="AP78" i="1"/>
  <c r="R78" i="1"/>
  <c r="AO78" i="1"/>
  <c r="Q78" i="1"/>
  <c r="AN78" i="1"/>
  <c r="P78" i="1"/>
  <c r="BC78" i="1"/>
  <c r="K78" i="1"/>
  <c r="BB78" i="1"/>
  <c r="J78" i="1"/>
  <c r="BA78" i="1"/>
  <c r="I78" i="1"/>
  <c r="AZ78" i="1"/>
  <c r="H78" i="1"/>
  <c r="BG78" i="1"/>
  <c r="BF78" i="1"/>
  <c r="A78" i="1"/>
  <c r="BE78" i="1"/>
  <c r="BS78" i="1" s="1"/>
  <c r="BD78" i="1"/>
  <c r="AM78" i="1"/>
  <c r="BN78" i="1"/>
  <c r="BM78" i="1"/>
  <c r="BL78" i="1"/>
  <c r="AL78" i="1"/>
  <c r="AK78" i="1"/>
  <c r="AI78" i="1"/>
  <c r="AH78" i="1"/>
  <c r="AG78" i="1"/>
  <c r="AF78" i="1"/>
  <c r="W78" i="1"/>
  <c r="V78" i="1"/>
  <c r="U78" i="1"/>
  <c r="T78" i="1"/>
  <c r="BO78" i="1"/>
  <c r="AJ78" i="1"/>
  <c r="BU74" i="1"/>
  <c r="DT74" i="1" a="1"/>
  <c r="DT74" i="1" s="1"/>
  <c r="DL74" i="1" a="1"/>
  <c r="DL74" i="1" s="1"/>
  <c r="DD74" i="1" a="1"/>
  <c r="DD74" i="1" s="1"/>
  <c r="CV74" i="1" a="1"/>
  <c r="CV74" i="1" s="1"/>
  <c r="CM74" i="1" a="1"/>
  <c r="CM74" i="1" s="1"/>
  <c r="CE74" i="1" a="1"/>
  <c r="CE74" i="1" s="1"/>
  <c r="BW74" i="1" a="1"/>
  <c r="BW74" i="1" s="1"/>
  <c r="DS74" i="1" a="1"/>
  <c r="DS74" i="1" s="1"/>
  <c r="DK74" i="1" a="1"/>
  <c r="DK74" i="1" s="1"/>
  <c r="DC74" i="1" a="1"/>
  <c r="DC74" i="1" s="1"/>
  <c r="CU74" i="1" a="1"/>
  <c r="CU74" i="1" s="1"/>
  <c r="CL74" i="1" a="1"/>
  <c r="CL74" i="1" s="1"/>
  <c r="CD74" i="1" a="1"/>
  <c r="CD74" i="1" s="1"/>
  <c r="DV74" i="1" a="1"/>
  <c r="DV74" i="1" s="1"/>
  <c r="DJ74" i="1" a="1"/>
  <c r="DJ74" i="1" s="1"/>
  <c r="CZ74" i="1" a="1"/>
  <c r="CZ74" i="1" s="1"/>
  <c r="CP74" i="1" a="1"/>
  <c r="CP74" i="1" s="1"/>
  <c r="CC74" i="1" a="1"/>
  <c r="CC74" i="1" s="1"/>
  <c r="DU74" i="1" a="1"/>
  <c r="DU74" i="1" s="1"/>
  <c r="DI74" i="1" a="1"/>
  <c r="DI74" i="1" s="1"/>
  <c r="CY74" i="1" a="1"/>
  <c r="CY74" i="1" s="1"/>
  <c r="CO74" i="1" a="1"/>
  <c r="CO74" i="1" s="1"/>
  <c r="CB74" i="1" a="1"/>
  <c r="CB74" i="1" s="1"/>
  <c r="DH74" i="1" a="1"/>
  <c r="DH74" i="1" s="1"/>
  <c r="CT74" i="1" a="1"/>
  <c r="CT74" i="1" s="1"/>
  <c r="CG74" i="1" a="1"/>
  <c r="CG74" i="1" s="1"/>
  <c r="DG74" i="1" a="1"/>
  <c r="DG74" i="1" s="1"/>
  <c r="CS74" i="1" a="1"/>
  <c r="CS74" i="1" s="1"/>
  <c r="CF74" i="1" a="1"/>
  <c r="CF74" i="1" s="1"/>
  <c r="DF74" i="1" a="1"/>
  <c r="DF74" i="1" s="1"/>
  <c r="CK74" i="1" a="1"/>
  <c r="CK74" i="1" s="1"/>
  <c r="DE74" i="1" a="1"/>
  <c r="DE74" i="1" s="1"/>
  <c r="CJ74" i="1" a="1"/>
  <c r="CJ74" i="1" s="1"/>
  <c r="DN74" i="1" a="1"/>
  <c r="DN74" i="1" s="1"/>
  <c r="CI74" i="1" a="1"/>
  <c r="CI74" i="1" s="1"/>
  <c r="DM74" i="1" a="1"/>
  <c r="DM74" i="1" s="1"/>
  <c r="CH74" i="1" a="1"/>
  <c r="CH74" i="1" s="1"/>
  <c r="DR74" i="1" a="1"/>
  <c r="DR74" i="1" s="1"/>
  <c r="CQ74" i="1" a="1"/>
  <c r="CQ74" i="1" s="1"/>
  <c r="DQ74" i="1" a="1"/>
  <c r="DQ74" i="1" s="1"/>
  <c r="CA74" i="1" a="1"/>
  <c r="CA74" i="1" s="1"/>
  <c r="DP74" i="1" a="1"/>
  <c r="DP74" i="1" s="1"/>
  <c r="BZ74" i="1" a="1"/>
  <c r="BZ74" i="1" s="1"/>
  <c r="CR74" i="1" a="1"/>
  <c r="CR74" i="1" s="1"/>
  <c r="BY74" i="1" a="1"/>
  <c r="BY74" i="1" s="1"/>
  <c r="BX74" i="1" a="1"/>
  <c r="BX74" i="1" s="1"/>
  <c r="DO74" i="1" a="1"/>
  <c r="DO74" i="1" s="1"/>
  <c r="CX74" i="1" a="1"/>
  <c r="CX74" i="1" s="1"/>
  <c r="DB74" i="1" a="1"/>
  <c r="DB74" i="1" s="1"/>
  <c r="CW74" i="1" a="1"/>
  <c r="CW74" i="1" s="1"/>
  <c r="DA74" i="1" a="1"/>
  <c r="DA74" i="1" s="1"/>
  <c r="DR71" i="1" a="1"/>
  <c r="DR71" i="1" s="1"/>
  <c r="DJ71" i="1" a="1"/>
  <c r="DJ71" i="1" s="1"/>
  <c r="DB71" i="1" a="1"/>
  <c r="DB71" i="1" s="1"/>
  <c r="CT71" i="1" a="1"/>
  <c r="CT71" i="1" s="1"/>
  <c r="CK71" i="1" a="1"/>
  <c r="CK71" i="1" s="1"/>
  <c r="CC71" i="1" a="1"/>
  <c r="CC71" i="1" s="1"/>
  <c r="DQ71" i="1" a="1"/>
  <c r="DQ71" i="1" s="1"/>
  <c r="DI71" i="1" a="1"/>
  <c r="DI71" i="1" s="1"/>
  <c r="DA71" i="1" a="1"/>
  <c r="DA71" i="1" s="1"/>
  <c r="CS71" i="1" a="1"/>
  <c r="CS71" i="1" s="1"/>
  <c r="CJ71" i="1" a="1"/>
  <c r="CJ71" i="1" s="1"/>
  <c r="CB71" i="1" a="1"/>
  <c r="CB71" i="1" s="1"/>
  <c r="DT71" i="1" a="1"/>
  <c r="DT71" i="1" s="1"/>
  <c r="DH71" i="1" a="1"/>
  <c r="DH71" i="1" s="1"/>
  <c r="CX71" i="1" a="1"/>
  <c r="CX71" i="1" s="1"/>
  <c r="CM71" i="1" a="1"/>
  <c r="CM71" i="1" s="1"/>
  <c r="CA71" i="1" a="1"/>
  <c r="CA71" i="1" s="1"/>
  <c r="DS71" i="1" a="1"/>
  <c r="DS71" i="1" s="1"/>
  <c r="DG71" i="1" a="1"/>
  <c r="DG71" i="1" s="1"/>
  <c r="CW71" i="1" a="1"/>
  <c r="CW71" i="1" s="1"/>
  <c r="CL71" i="1" a="1"/>
  <c r="CL71" i="1" s="1"/>
  <c r="BZ71" i="1" a="1"/>
  <c r="BZ71" i="1" s="1"/>
  <c r="DP71" i="1" a="1"/>
  <c r="DP71" i="1" s="1"/>
  <c r="DD71" i="1" a="1"/>
  <c r="DD71" i="1" s="1"/>
  <c r="CP71" i="1" a="1"/>
  <c r="CP71" i="1" s="1"/>
  <c r="BY71" i="1" a="1"/>
  <c r="BY71" i="1" s="1"/>
  <c r="DO71" i="1" a="1"/>
  <c r="DO71" i="1" s="1"/>
  <c r="DC71" i="1" a="1"/>
  <c r="DC71" i="1" s="1"/>
  <c r="CO71" i="1" a="1"/>
  <c r="CO71" i="1" s="1"/>
  <c r="BX71" i="1" a="1"/>
  <c r="BX71" i="1" s="1"/>
  <c r="DF71" i="1" a="1"/>
  <c r="DF71" i="1" s="1"/>
  <c r="CI71" i="1" a="1"/>
  <c r="CI71" i="1" s="1"/>
  <c r="DE71" i="1" a="1"/>
  <c r="DE71" i="1" s="1"/>
  <c r="CH71" i="1" a="1"/>
  <c r="CH71" i="1" s="1"/>
  <c r="DV71" i="1" a="1"/>
  <c r="DV71" i="1" s="1"/>
  <c r="CZ71" i="1" a="1"/>
  <c r="CZ71" i="1" s="1"/>
  <c r="CG71" i="1" a="1"/>
  <c r="CG71" i="1" s="1"/>
  <c r="CU71" i="1" a="1"/>
  <c r="CU71" i="1" s="1"/>
  <c r="DU71" i="1" a="1"/>
  <c r="DU71" i="1" s="1"/>
  <c r="CR71" i="1" a="1"/>
  <c r="CR71" i="1" s="1"/>
  <c r="DN71" i="1" a="1"/>
  <c r="DN71" i="1" s="1"/>
  <c r="CQ71" i="1" a="1"/>
  <c r="CQ71" i="1" s="1"/>
  <c r="CD71" i="1" a="1"/>
  <c r="CD71" i="1" s="1"/>
  <c r="DL71" i="1" a="1"/>
  <c r="DL71" i="1" s="1"/>
  <c r="BW71" i="1" a="1"/>
  <c r="BW71" i="1" s="1"/>
  <c r="DK71" i="1" a="1"/>
  <c r="DK71" i="1" s="1"/>
  <c r="CY71" i="1" a="1"/>
  <c r="CY71" i="1" s="1"/>
  <c r="DM71" i="1" a="1"/>
  <c r="DM71" i="1" s="1"/>
  <c r="CV71" i="1" a="1"/>
  <c r="CV71" i="1" s="1"/>
  <c r="CF71" i="1" a="1"/>
  <c r="CF71" i="1" s="1"/>
  <c r="CE71" i="1" a="1"/>
  <c r="CE71" i="1" s="1"/>
  <c r="BP69" i="1"/>
  <c r="AZ69" i="1"/>
  <c r="AJ69" i="1"/>
  <c r="T69" i="1"/>
  <c r="D69" i="1"/>
  <c r="BO69" i="1"/>
  <c r="AY69" i="1"/>
  <c r="AI69" i="1"/>
  <c r="S69" i="1"/>
  <c r="BN69" i="1"/>
  <c r="AX69" i="1"/>
  <c r="AH69" i="1"/>
  <c r="R69" i="1"/>
  <c r="A69" i="1"/>
  <c r="BM69" i="1"/>
  <c r="AW69" i="1"/>
  <c r="AG69" i="1"/>
  <c r="Q69" i="1"/>
  <c r="DW69" i="1"/>
  <c r="AV69" i="1"/>
  <c r="AB69" i="1"/>
  <c r="H69" i="1"/>
  <c r="AU69" i="1"/>
  <c r="AA69" i="1"/>
  <c r="G69" i="1"/>
  <c r="BR69" i="1"/>
  <c r="AT69" i="1"/>
  <c r="Z69" i="1"/>
  <c r="F69" i="1"/>
  <c r="BQ69" i="1"/>
  <c r="AS69" i="1"/>
  <c r="Y69" i="1"/>
  <c r="E69" i="1"/>
  <c r="BH69" i="1"/>
  <c r="AF69" i="1"/>
  <c r="BG69" i="1"/>
  <c r="AE69" i="1"/>
  <c r="BF69" i="1"/>
  <c r="AD69" i="1"/>
  <c r="BE69" i="1"/>
  <c r="BS69" i="1" s="1"/>
  <c r="AC69" i="1"/>
  <c r="AN69" i="1"/>
  <c r="AM69" i="1"/>
  <c r="AL69" i="1"/>
  <c r="AK69" i="1"/>
  <c r="BL69" i="1"/>
  <c r="X69" i="1"/>
  <c r="V69" i="1"/>
  <c r="U69" i="1"/>
  <c r="P69" i="1"/>
  <c r="O69" i="1"/>
  <c r="BK69" i="1"/>
  <c r="N69" i="1"/>
  <c r="AO69" i="1"/>
  <c r="W69" i="1"/>
  <c r="M69" i="1"/>
  <c r="L69" i="1"/>
  <c r="K69" i="1"/>
  <c r="J69" i="1"/>
  <c r="I69" i="1"/>
  <c r="BJ69" i="1"/>
  <c r="BI69" i="1"/>
  <c r="BD69" i="1"/>
  <c r="BC69" i="1"/>
  <c r="BB69" i="1"/>
  <c r="AQ69" i="1"/>
  <c r="BA69" i="1"/>
  <c r="AP69" i="1"/>
  <c r="AR69" i="1"/>
  <c r="DR72" i="1" l="1" a="1"/>
  <c r="DR72" i="1" s="1"/>
  <c r="DJ72" i="1" a="1"/>
  <c r="DJ72" i="1" s="1"/>
  <c r="DB72" i="1" a="1"/>
  <c r="DB72" i="1" s="1"/>
  <c r="CT72" i="1" a="1"/>
  <c r="CT72" i="1" s="1"/>
  <c r="CK72" i="1" a="1"/>
  <c r="CK72" i="1" s="1"/>
  <c r="CC72" i="1" a="1"/>
  <c r="CC72" i="1" s="1"/>
  <c r="DQ72" i="1" a="1"/>
  <c r="DQ72" i="1" s="1"/>
  <c r="DI72" i="1" a="1"/>
  <c r="DI72" i="1" s="1"/>
  <c r="DA72" i="1" a="1"/>
  <c r="DA72" i="1" s="1"/>
  <c r="CS72" i="1" a="1"/>
  <c r="CS72" i="1" s="1"/>
  <c r="CJ72" i="1" a="1"/>
  <c r="CJ72" i="1" s="1"/>
  <c r="CB72" i="1" a="1"/>
  <c r="CB72" i="1" s="1"/>
  <c r="DP72" i="1" a="1"/>
  <c r="DP72" i="1" s="1"/>
  <c r="DF72" i="1" a="1"/>
  <c r="DF72" i="1" s="1"/>
  <c r="CV72" i="1" a="1"/>
  <c r="CV72" i="1" s="1"/>
  <c r="CI72" i="1" a="1"/>
  <c r="CI72" i="1" s="1"/>
  <c r="BY72" i="1" a="1"/>
  <c r="BY72" i="1" s="1"/>
  <c r="DO72" i="1" a="1"/>
  <c r="DO72" i="1" s="1"/>
  <c r="DE72" i="1" a="1"/>
  <c r="DE72" i="1" s="1"/>
  <c r="CU72" i="1" a="1"/>
  <c r="CU72" i="1" s="1"/>
  <c r="CH72" i="1" a="1"/>
  <c r="CH72" i="1" s="1"/>
  <c r="BX72" i="1" a="1"/>
  <c r="BX72" i="1" s="1"/>
  <c r="DN72" i="1" a="1"/>
  <c r="DN72" i="1" s="1"/>
  <c r="CZ72" i="1" a="1"/>
  <c r="CZ72" i="1" s="1"/>
  <c r="CM72" i="1" a="1"/>
  <c r="CM72" i="1" s="1"/>
  <c r="BW72" i="1" a="1"/>
  <c r="BW72" i="1" s="1"/>
  <c r="DM72" i="1" a="1"/>
  <c r="DM72" i="1" s="1"/>
  <c r="CY72" i="1" a="1"/>
  <c r="CY72" i="1" s="1"/>
  <c r="CL72" i="1" a="1"/>
  <c r="CL72" i="1" s="1"/>
  <c r="DL72" i="1" a="1"/>
  <c r="DL72" i="1" s="1"/>
  <c r="CR72" i="1" a="1"/>
  <c r="CR72" i="1" s="1"/>
  <c r="CA72" i="1" a="1"/>
  <c r="CA72" i="1" s="1"/>
  <c r="DK72" i="1" a="1"/>
  <c r="DK72" i="1" s="1"/>
  <c r="CQ72" i="1" a="1"/>
  <c r="CQ72" i="1" s="1"/>
  <c r="BZ72" i="1" a="1"/>
  <c r="BZ72" i="1" s="1"/>
  <c r="DT72" i="1" a="1"/>
  <c r="DT72" i="1" s="1"/>
  <c r="CO72" i="1" a="1"/>
  <c r="CO72" i="1" s="1"/>
  <c r="DS72" i="1" a="1"/>
  <c r="DS72" i="1" s="1"/>
  <c r="CG72" i="1" a="1"/>
  <c r="CG72" i="1" s="1"/>
  <c r="DH72" i="1" a="1"/>
  <c r="DH72" i="1" s="1"/>
  <c r="DD72" i="1" a="1"/>
  <c r="DD72" i="1" s="1"/>
  <c r="DC72" i="1" a="1"/>
  <c r="DC72" i="1" s="1"/>
  <c r="CX72" i="1" a="1"/>
  <c r="CX72" i="1" s="1"/>
  <c r="CW72" i="1" a="1"/>
  <c r="CW72" i="1" s="1"/>
  <c r="DV72" i="1" a="1"/>
  <c r="DV72" i="1" s="1"/>
  <c r="DU72" i="1" a="1"/>
  <c r="DU72" i="1" s="1"/>
  <c r="DG72" i="1" a="1"/>
  <c r="DG72" i="1" s="1"/>
  <c r="CP72" i="1" a="1"/>
  <c r="CP72" i="1" s="1"/>
  <c r="CF72" i="1" a="1"/>
  <c r="CF72" i="1" s="1"/>
  <c r="CD72" i="1" a="1"/>
  <c r="CD72" i="1" s="1"/>
  <c r="CE72" i="1" a="1"/>
  <c r="CE72" i="1" s="1"/>
  <c r="BT78" i="1"/>
  <c r="DQ69" i="1" a="1"/>
  <c r="DQ69" i="1" s="1"/>
  <c r="DI69" i="1" a="1"/>
  <c r="DI69" i="1" s="1"/>
  <c r="DA69" i="1" a="1"/>
  <c r="DA69" i="1" s="1"/>
  <c r="CS69" i="1" a="1"/>
  <c r="CS69" i="1" s="1"/>
  <c r="CJ69" i="1" a="1"/>
  <c r="CJ69" i="1" s="1"/>
  <c r="CB69" i="1" a="1"/>
  <c r="CB69" i="1" s="1"/>
  <c r="DP69" i="1" a="1"/>
  <c r="DP69" i="1" s="1"/>
  <c r="DH69" i="1" a="1"/>
  <c r="DH69" i="1" s="1"/>
  <c r="CZ69" i="1" a="1"/>
  <c r="CZ69" i="1" s="1"/>
  <c r="CR69" i="1" a="1"/>
  <c r="CR69" i="1" s="1"/>
  <c r="CI69" i="1" a="1"/>
  <c r="CI69" i="1" s="1"/>
  <c r="CA69" i="1" a="1"/>
  <c r="CA69" i="1" s="1"/>
  <c r="DM69" i="1" a="1"/>
  <c r="DM69" i="1" s="1"/>
  <c r="DC69" i="1" a="1"/>
  <c r="DC69" i="1" s="1"/>
  <c r="CQ69" i="1" a="1"/>
  <c r="CQ69" i="1" s="1"/>
  <c r="CF69" i="1" a="1"/>
  <c r="CF69" i="1" s="1"/>
  <c r="DV69" i="1" a="1"/>
  <c r="DV69" i="1" s="1"/>
  <c r="DL69" i="1" a="1"/>
  <c r="DL69" i="1" s="1"/>
  <c r="DB69" i="1" a="1"/>
  <c r="DB69" i="1" s="1"/>
  <c r="CP69" i="1" a="1"/>
  <c r="CP69" i="1" s="1"/>
  <c r="CE69" i="1" a="1"/>
  <c r="CE69" i="1" s="1"/>
  <c r="DU69" i="1" a="1"/>
  <c r="DU69" i="1" s="1"/>
  <c r="DG69" i="1" a="1"/>
  <c r="DG69" i="1" s="1"/>
  <c r="CU69" i="1" a="1"/>
  <c r="CU69" i="1" s="1"/>
  <c r="CD69" i="1" a="1"/>
  <c r="CD69" i="1" s="1"/>
  <c r="DT69" i="1" a="1"/>
  <c r="DT69" i="1" s="1"/>
  <c r="DF69" i="1" a="1"/>
  <c r="DF69" i="1" s="1"/>
  <c r="CT69" i="1" a="1"/>
  <c r="CT69" i="1" s="1"/>
  <c r="CC69" i="1" a="1"/>
  <c r="CC69" i="1" s="1"/>
  <c r="DK69" i="1" a="1"/>
  <c r="DK69" i="1" s="1"/>
  <c r="CO69" i="1" a="1"/>
  <c r="CO69" i="1" s="1"/>
  <c r="BX69" i="1" a="1"/>
  <c r="BX69" i="1" s="1"/>
  <c r="DJ69" i="1" a="1"/>
  <c r="DJ69" i="1" s="1"/>
  <c r="CM69" i="1" a="1"/>
  <c r="CM69" i="1" s="1"/>
  <c r="BW69" i="1" a="1"/>
  <c r="BW69" i="1" s="1"/>
  <c r="DE69" i="1" a="1"/>
  <c r="DE69" i="1" s="1"/>
  <c r="CL69" i="1" a="1"/>
  <c r="CL69" i="1" s="1"/>
  <c r="BZ69" i="1" a="1"/>
  <c r="BZ69" i="1" s="1"/>
  <c r="CY69" i="1" a="1"/>
  <c r="CY69" i="1" s="1"/>
  <c r="BY69" i="1" a="1"/>
  <c r="BY69" i="1" s="1"/>
  <c r="CX69" i="1" a="1"/>
  <c r="CX69" i="1" s="1"/>
  <c r="CK69" i="1" a="1"/>
  <c r="CK69" i="1" s="1"/>
  <c r="DS69" i="1" a="1"/>
  <c r="DS69" i="1" s="1"/>
  <c r="CH69" i="1" a="1"/>
  <c r="CH69" i="1" s="1"/>
  <c r="DR69" i="1" a="1"/>
  <c r="DR69" i="1" s="1"/>
  <c r="CG69" i="1" a="1"/>
  <c r="CG69" i="1" s="1"/>
  <c r="DO69" i="1" a="1"/>
  <c r="DO69" i="1" s="1"/>
  <c r="DD69" i="1" a="1"/>
  <c r="DD69" i="1" s="1"/>
  <c r="CW69" i="1" a="1"/>
  <c r="CW69" i="1" s="1"/>
  <c r="CV69" i="1" a="1"/>
  <c r="CV69" i="1" s="1"/>
  <c r="DN69" i="1" a="1"/>
  <c r="DN69" i="1" s="1"/>
  <c r="BU78" i="1"/>
  <c r="DU75" i="1" a="1"/>
  <c r="DU75" i="1" s="1"/>
  <c r="DM75" i="1" a="1"/>
  <c r="DM75" i="1" s="1"/>
  <c r="DE75" i="1" a="1"/>
  <c r="DE75" i="1" s="1"/>
  <c r="CW75" i="1" a="1"/>
  <c r="CW75" i="1" s="1"/>
  <c r="CO75" i="1" a="1"/>
  <c r="CO75" i="1" s="1"/>
  <c r="CF75" i="1" a="1"/>
  <c r="CF75" i="1" s="1"/>
  <c r="BX75" i="1" a="1"/>
  <c r="BX75" i="1" s="1"/>
  <c r="DT75" i="1" a="1"/>
  <c r="DT75" i="1" s="1"/>
  <c r="DL75" i="1" a="1"/>
  <c r="DL75" i="1" s="1"/>
  <c r="DD75" i="1" a="1"/>
  <c r="DD75" i="1" s="1"/>
  <c r="CV75" i="1" a="1"/>
  <c r="CV75" i="1" s="1"/>
  <c r="CM75" i="1" a="1"/>
  <c r="CM75" i="1" s="1"/>
  <c r="CE75" i="1" a="1"/>
  <c r="CE75" i="1" s="1"/>
  <c r="BW75" i="1" a="1"/>
  <c r="BW75" i="1" s="1"/>
  <c r="DS75" i="1" a="1"/>
  <c r="DS75" i="1" s="1"/>
  <c r="DI75" i="1" a="1"/>
  <c r="DI75" i="1" s="1"/>
  <c r="CY75" i="1" a="1"/>
  <c r="CY75" i="1" s="1"/>
  <c r="CL75" i="1" a="1"/>
  <c r="CL75" i="1" s="1"/>
  <c r="CB75" i="1" a="1"/>
  <c r="CB75" i="1" s="1"/>
  <c r="DR75" i="1" a="1"/>
  <c r="DR75" i="1" s="1"/>
  <c r="DH75" i="1" a="1"/>
  <c r="DH75" i="1" s="1"/>
  <c r="CX75" i="1" a="1"/>
  <c r="CX75" i="1" s="1"/>
  <c r="CK75" i="1" a="1"/>
  <c r="CK75" i="1" s="1"/>
  <c r="CA75" i="1" a="1"/>
  <c r="CA75" i="1" s="1"/>
  <c r="DG75" i="1" a="1"/>
  <c r="DG75" i="1" s="1"/>
  <c r="CS75" i="1" a="1"/>
  <c r="CS75" i="1" s="1"/>
  <c r="CD75" i="1" a="1"/>
  <c r="CD75" i="1" s="1"/>
  <c r="DV75" i="1" a="1"/>
  <c r="DV75" i="1" s="1"/>
  <c r="DF75" i="1" a="1"/>
  <c r="DF75" i="1" s="1"/>
  <c r="CR75" i="1" a="1"/>
  <c r="CR75" i="1" s="1"/>
  <c r="CC75" i="1" a="1"/>
  <c r="CC75" i="1" s="1"/>
  <c r="DO75" i="1" a="1"/>
  <c r="DO75" i="1" s="1"/>
  <c r="CU75" i="1" a="1"/>
  <c r="CU75" i="1" s="1"/>
  <c r="BZ75" i="1" a="1"/>
  <c r="BZ75" i="1" s="1"/>
  <c r="DN75" i="1" a="1"/>
  <c r="DN75" i="1" s="1"/>
  <c r="CT75" i="1" a="1"/>
  <c r="CT75" i="1" s="1"/>
  <c r="BY75" i="1" a="1"/>
  <c r="BY75" i="1" s="1"/>
  <c r="DA75" i="1" a="1"/>
  <c r="DA75" i="1" s="1"/>
  <c r="CZ75" i="1" a="1"/>
  <c r="CZ75" i="1" s="1"/>
  <c r="DQ75" i="1" a="1"/>
  <c r="DQ75" i="1" s="1"/>
  <c r="CQ75" i="1" a="1"/>
  <c r="CQ75" i="1" s="1"/>
  <c r="DJ75" i="1" a="1"/>
  <c r="DJ75" i="1" s="1"/>
  <c r="DC75" i="1" a="1"/>
  <c r="DC75" i="1" s="1"/>
  <c r="DB75" i="1" a="1"/>
  <c r="DB75" i="1" s="1"/>
  <c r="CP75" i="1" a="1"/>
  <c r="CP75" i="1" s="1"/>
  <c r="CJ75" i="1" a="1"/>
  <c r="CJ75" i="1" s="1"/>
  <c r="CI75" i="1" a="1"/>
  <c r="CI75" i="1" s="1"/>
  <c r="CH75" i="1" a="1"/>
  <c r="CH75" i="1" s="1"/>
  <c r="CG75" i="1" a="1"/>
  <c r="CG75" i="1" s="1"/>
  <c r="DP75" i="1" a="1"/>
  <c r="DP75" i="1" s="1"/>
  <c r="DK75" i="1" a="1"/>
  <c r="DK75" i="1" s="1"/>
  <c r="BT72" i="1"/>
  <c r="BU72" i="1"/>
  <c r="DV78" i="1" a="1"/>
  <c r="DV78" i="1" s="1"/>
  <c r="DN78" i="1" a="1"/>
  <c r="DN78" i="1" s="1"/>
  <c r="DF78" i="1" a="1"/>
  <c r="DF78" i="1" s="1"/>
  <c r="CX78" i="1" a="1"/>
  <c r="CX78" i="1" s="1"/>
  <c r="CP78" i="1" a="1"/>
  <c r="CP78" i="1" s="1"/>
  <c r="CG78" i="1" a="1"/>
  <c r="CG78" i="1" s="1"/>
  <c r="BY78" i="1" a="1"/>
  <c r="BY78" i="1" s="1"/>
  <c r="DU78" i="1" a="1"/>
  <c r="DU78" i="1" s="1"/>
  <c r="DM78" i="1" a="1"/>
  <c r="DM78" i="1" s="1"/>
  <c r="DE78" i="1" a="1"/>
  <c r="DE78" i="1" s="1"/>
  <c r="CW78" i="1" a="1"/>
  <c r="CW78" i="1" s="1"/>
  <c r="CO78" i="1" a="1"/>
  <c r="CO78" i="1" s="1"/>
  <c r="CF78" i="1" a="1"/>
  <c r="CF78" i="1" s="1"/>
  <c r="BX78" i="1" a="1"/>
  <c r="BX78" i="1" s="1"/>
  <c r="DL78" i="1" a="1"/>
  <c r="DL78" i="1" s="1"/>
  <c r="DB78" i="1" a="1"/>
  <c r="DB78" i="1" s="1"/>
  <c r="CR78" i="1" a="1"/>
  <c r="CR78" i="1" s="1"/>
  <c r="CE78" i="1" a="1"/>
  <c r="CE78" i="1" s="1"/>
  <c r="DK78" i="1" a="1"/>
  <c r="DK78" i="1" s="1"/>
  <c r="DA78" i="1" a="1"/>
  <c r="DA78" i="1" s="1"/>
  <c r="CQ78" i="1" a="1"/>
  <c r="CQ78" i="1" s="1"/>
  <c r="CD78" i="1" a="1"/>
  <c r="CD78" i="1" s="1"/>
  <c r="DP78" i="1" a="1"/>
  <c r="DP78" i="1" s="1"/>
  <c r="CZ78" i="1" a="1"/>
  <c r="CZ78" i="1" s="1"/>
  <c r="CK78" i="1" a="1"/>
  <c r="CK78" i="1" s="1"/>
  <c r="BW78" i="1" a="1"/>
  <c r="BW78" i="1" s="1"/>
  <c r="DO78" i="1" a="1"/>
  <c r="DO78" i="1" s="1"/>
  <c r="CY78" i="1" a="1"/>
  <c r="CY78" i="1" s="1"/>
  <c r="CJ78" i="1" a="1"/>
  <c r="CJ78" i="1" s="1"/>
  <c r="DR78" i="1" a="1"/>
  <c r="DR78" i="1" s="1"/>
  <c r="CV78" i="1" a="1"/>
  <c r="CV78" i="1" s="1"/>
  <c r="CC78" i="1" a="1"/>
  <c r="CC78" i="1" s="1"/>
  <c r="DQ78" i="1" a="1"/>
  <c r="DQ78" i="1" s="1"/>
  <c r="CU78" i="1" a="1"/>
  <c r="CU78" i="1" s="1"/>
  <c r="CB78" i="1" a="1"/>
  <c r="CB78" i="1" s="1"/>
  <c r="DJ78" i="1" a="1"/>
  <c r="DJ78" i="1" s="1"/>
  <c r="CM78" i="1" a="1"/>
  <c r="CM78" i="1" s="1"/>
  <c r="DI78" i="1" a="1"/>
  <c r="DI78" i="1" s="1"/>
  <c r="CL78" i="1" a="1"/>
  <c r="CL78" i="1" s="1"/>
  <c r="DD78" i="1" a="1"/>
  <c r="DD78" i="1" s="1"/>
  <c r="DC78" i="1" a="1"/>
  <c r="DC78" i="1" s="1"/>
  <c r="DS78" i="1" a="1"/>
  <c r="DS78" i="1" s="1"/>
  <c r="DH78" i="1" a="1"/>
  <c r="DH78" i="1" s="1"/>
  <c r="DG78" i="1" a="1"/>
  <c r="DG78" i="1" s="1"/>
  <c r="CT78" i="1" a="1"/>
  <c r="CT78" i="1" s="1"/>
  <c r="CS78" i="1" a="1"/>
  <c r="CS78" i="1" s="1"/>
  <c r="CI78" i="1" a="1"/>
  <c r="CI78" i="1" s="1"/>
  <c r="DT78" i="1" a="1"/>
  <c r="DT78" i="1" s="1"/>
  <c r="CH78" i="1" a="1"/>
  <c r="CH78" i="1" s="1"/>
  <c r="CA78" i="1" a="1"/>
  <c r="CA78" i="1" s="1"/>
  <c r="BZ78" i="1" a="1"/>
  <c r="BZ78" i="1" s="1"/>
  <c r="DW79" i="1"/>
  <c r="BL79" i="1"/>
  <c r="AV79" i="1"/>
  <c r="AF79" i="1"/>
  <c r="P79" i="1"/>
  <c r="BK79" i="1"/>
  <c r="AU79" i="1"/>
  <c r="AE79" i="1"/>
  <c r="O79" i="1"/>
  <c r="BJ79" i="1"/>
  <c r="AT79" i="1"/>
  <c r="AD79" i="1"/>
  <c r="N79" i="1"/>
  <c r="BI79" i="1"/>
  <c r="AS79" i="1"/>
  <c r="AC79" i="1"/>
  <c r="M79" i="1"/>
  <c r="BP79" i="1"/>
  <c r="AR79" i="1"/>
  <c r="X79" i="1"/>
  <c r="D79" i="1"/>
  <c r="BO79" i="1"/>
  <c r="AQ79" i="1"/>
  <c r="W79" i="1"/>
  <c r="BN79" i="1"/>
  <c r="AP79" i="1"/>
  <c r="V79" i="1"/>
  <c r="A79" i="1"/>
  <c r="BM79" i="1"/>
  <c r="AO79" i="1"/>
  <c r="U79" i="1"/>
  <c r="AN79" i="1"/>
  <c r="L79" i="1"/>
  <c r="AM79" i="1"/>
  <c r="K79" i="1"/>
  <c r="BR79" i="1"/>
  <c r="AL79" i="1"/>
  <c r="J79" i="1"/>
  <c r="BQ79" i="1"/>
  <c r="AK79" i="1"/>
  <c r="I79" i="1"/>
  <c r="BH79" i="1"/>
  <c r="AB79" i="1"/>
  <c r="BG79" i="1"/>
  <c r="AA79" i="1"/>
  <c r="C80" i="1"/>
  <c r="BF79" i="1"/>
  <c r="Z79" i="1"/>
  <c r="BE79" i="1"/>
  <c r="Y79" i="1"/>
  <c r="AJ79" i="1"/>
  <c r="AI79" i="1"/>
  <c r="AH79" i="1"/>
  <c r="AG79" i="1"/>
  <c r="T79" i="1"/>
  <c r="AX79" i="1"/>
  <c r="AW79" i="1"/>
  <c r="S79" i="1"/>
  <c r="R79" i="1"/>
  <c r="Q79" i="1"/>
  <c r="BD79" i="1"/>
  <c r="BC79" i="1"/>
  <c r="BB79" i="1"/>
  <c r="BA79" i="1"/>
  <c r="AZ79" i="1"/>
  <c r="AY79" i="1"/>
  <c r="H79" i="1"/>
  <c r="G79" i="1"/>
  <c r="F79" i="1"/>
  <c r="E79" i="1"/>
  <c r="BT75" i="1"/>
  <c r="BU75" i="1" s="1"/>
  <c r="BO82" i="1"/>
  <c r="AY82" i="1"/>
  <c r="AI82" i="1"/>
  <c r="S82" i="1"/>
  <c r="C83" i="1"/>
  <c r="BN82" i="1"/>
  <c r="AX82" i="1"/>
  <c r="AH82" i="1"/>
  <c r="R82" i="1"/>
  <c r="A82" i="1"/>
  <c r="BM82" i="1"/>
  <c r="AW82" i="1"/>
  <c r="AG82" i="1"/>
  <c r="Q82" i="1"/>
  <c r="DW82" i="1"/>
  <c r="BL82" i="1"/>
  <c r="AV82" i="1"/>
  <c r="AF82" i="1"/>
  <c r="P82" i="1"/>
  <c r="BC82" i="1"/>
  <c r="AE82" i="1"/>
  <c r="K82" i="1"/>
  <c r="BB82" i="1"/>
  <c r="AD82" i="1"/>
  <c r="J82" i="1"/>
  <c r="BA82" i="1"/>
  <c r="AC82" i="1"/>
  <c r="I82" i="1"/>
  <c r="AZ82" i="1"/>
  <c r="AB82" i="1"/>
  <c r="H82" i="1"/>
  <c r="BG82" i="1"/>
  <c r="AA82" i="1"/>
  <c r="BF82" i="1"/>
  <c r="Z82" i="1"/>
  <c r="BE82" i="1"/>
  <c r="BS82" i="1" s="1"/>
  <c r="Y82" i="1"/>
  <c r="BD82" i="1"/>
  <c r="X82" i="1"/>
  <c r="AM82" i="1"/>
  <c r="BR82" i="1"/>
  <c r="AL82" i="1"/>
  <c r="BQ82" i="1"/>
  <c r="AK82" i="1"/>
  <c r="BP82" i="1"/>
  <c r="AJ82" i="1"/>
  <c r="BK82" i="1"/>
  <c r="O82" i="1"/>
  <c r="BJ82" i="1"/>
  <c r="N82" i="1"/>
  <c r="BI82" i="1"/>
  <c r="M82" i="1"/>
  <c r="BH82" i="1"/>
  <c r="L82" i="1"/>
  <c r="C86" i="1"/>
  <c r="AU82" i="1"/>
  <c r="G82" i="1"/>
  <c r="W82" i="1"/>
  <c r="V82" i="1"/>
  <c r="U82" i="1"/>
  <c r="T82" i="1"/>
  <c r="F82" i="1"/>
  <c r="AT82" i="1"/>
  <c r="AS82" i="1"/>
  <c r="AR82" i="1"/>
  <c r="AQ82" i="1"/>
  <c r="AP82" i="1"/>
  <c r="E82" i="1"/>
  <c r="AO82" i="1"/>
  <c r="D82" i="1"/>
  <c r="AN82" i="1"/>
  <c r="BI76" i="1"/>
  <c r="AS76" i="1"/>
  <c r="AC76" i="1"/>
  <c r="M76" i="1"/>
  <c r="BH76" i="1"/>
  <c r="AR76" i="1"/>
  <c r="AB76" i="1"/>
  <c r="L76" i="1"/>
  <c r="BG76" i="1"/>
  <c r="AQ76" i="1"/>
  <c r="AA76" i="1"/>
  <c r="K76" i="1"/>
  <c r="BF76" i="1"/>
  <c r="AP76" i="1"/>
  <c r="Z76" i="1"/>
  <c r="J76" i="1"/>
  <c r="BE76" i="1"/>
  <c r="BS76" i="1" s="1"/>
  <c r="AK76" i="1"/>
  <c r="Q76" i="1"/>
  <c r="BD76" i="1"/>
  <c r="AJ76" i="1"/>
  <c r="P76" i="1"/>
  <c r="BC76" i="1"/>
  <c r="AI76" i="1"/>
  <c r="O76" i="1"/>
  <c r="BB76" i="1"/>
  <c r="AH76" i="1"/>
  <c r="N76" i="1"/>
  <c r="BA76" i="1"/>
  <c r="Y76" i="1"/>
  <c r="AZ76" i="1"/>
  <c r="X76" i="1"/>
  <c r="AY76" i="1"/>
  <c r="W76" i="1"/>
  <c r="AX76" i="1"/>
  <c r="V76" i="1"/>
  <c r="BM76" i="1"/>
  <c r="U76" i="1"/>
  <c r="DW76" i="1"/>
  <c r="BL76" i="1"/>
  <c r="T76" i="1"/>
  <c r="BK76" i="1"/>
  <c r="S76" i="1"/>
  <c r="BJ76" i="1"/>
  <c r="R76" i="1"/>
  <c r="AW76" i="1"/>
  <c r="E76" i="1"/>
  <c r="AV76" i="1"/>
  <c r="D76" i="1"/>
  <c r="AU76" i="1"/>
  <c r="AT76" i="1"/>
  <c r="A76" i="1"/>
  <c r="AO76" i="1"/>
  <c r="AN76" i="1"/>
  <c r="AM76" i="1"/>
  <c r="AL76" i="1"/>
  <c r="AG76" i="1"/>
  <c r="AF76" i="1"/>
  <c r="C77" i="1"/>
  <c r="BR76" i="1"/>
  <c r="BQ76" i="1"/>
  <c r="BP76" i="1"/>
  <c r="BO76" i="1"/>
  <c r="BN76" i="1"/>
  <c r="AE76" i="1"/>
  <c r="AD76" i="1"/>
  <c r="I76" i="1"/>
  <c r="H76" i="1"/>
  <c r="G76" i="1"/>
  <c r="F76" i="1"/>
  <c r="BT69" i="1"/>
  <c r="BU69" i="1" s="1"/>
  <c r="BF73" i="1"/>
  <c r="AP73" i="1"/>
  <c r="Z73" i="1"/>
  <c r="J73" i="1"/>
  <c r="BE73" i="1"/>
  <c r="BS73" i="1" s="1"/>
  <c r="AO73" i="1"/>
  <c r="Y73" i="1"/>
  <c r="BD73" i="1"/>
  <c r="AN73" i="1"/>
  <c r="X73" i="1"/>
  <c r="BC73" i="1"/>
  <c r="AM73" i="1"/>
  <c r="W73" i="1"/>
  <c r="G73" i="1"/>
  <c r="BR73" i="1"/>
  <c r="AX73" i="1"/>
  <c r="AD73" i="1"/>
  <c r="I73" i="1"/>
  <c r="BQ73" i="1"/>
  <c r="AW73" i="1"/>
  <c r="AC73" i="1"/>
  <c r="H73" i="1"/>
  <c r="DW73" i="1"/>
  <c r="BP73" i="1"/>
  <c r="AV73" i="1"/>
  <c r="AB73" i="1"/>
  <c r="F73" i="1"/>
  <c r="BO73" i="1"/>
  <c r="AU73" i="1"/>
  <c r="AA73" i="1"/>
  <c r="E73" i="1"/>
  <c r="BN73" i="1"/>
  <c r="AL73" i="1"/>
  <c r="N73" i="1"/>
  <c r="BM73" i="1"/>
  <c r="AK73" i="1"/>
  <c r="M73" i="1"/>
  <c r="BL73" i="1"/>
  <c r="AJ73" i="1"/>
  <c r="L73" i="1"/>
  <c r="BK73" i="1"/>
  <c r="AI73" i="1"/>
  <c r="K73" i="1"/>
  <c r="BB73" i="1"/>
  <c r="R73" i="1"/>
  <c r="BA73" i="1"/>
  <c r="Q73" i="1"/>
  <c r="AZ73" i="1"/>
  <c r="P73" i="1"/>
  <c r="AY73" i="1"/>
  <c r="O73" i="1"/>
  <c r="V73" i="1"/>
  <c r="U73" i="1"/>
  <c r="T73" i="1"/>
  <c r="S73" i="1"/>
  <c r="BJ73" i="1"/>
  <c r="D73" i="1"/>
  <c r="BG73" i="1"/>
  <c r="AT73" i="1"/>
  <c r="AS73" i="1"/>
  <c r="AR73" i="1"/>
  <c r="AQ73" i="1"/>
  <c r="BI73" i="1"/>
  <c r="BH73" i="1"/>
  <c r="AH73" i="1"/>
  <c r="AG73" i="1"/>
  <c r="AF73" i="1"/>
  <c r="AE73" i="1"/>
  <c r="A73" i="1"/>
  <c r="BC86" i="1" l="1"/>
  <c r="AM86" i="1"/>
  <c r="W86" i="1"/>
  <c r="G86" i="1"/>
  <c r="BR86" i="1"/>
  <c r="BB86" i="1"/>
  <c r="AL86" i="1"/>
  <c r="V86" i="1"/>
  <c r="F86" i="1"/>
  <c r="BQ86" i="1"/>
  <c r="BA86" i="1"/>
  <c r="AK86" i="1"/>
  <c r="U86" i="1"/>
  <c r="E86" i="1"/>
  <c r="BP86" i="1"/>
  <c r="AZ86" i="1"/>
  <c r="AJ86" i="1"/>
  <c r="T86" i="1"/>
  <c r="D86" i="1"/>
  <c r="BG86" i="1"/>
  <c r="AI86" i="1"/>
  <c r="O86" i="1"/>
  <c r="BF86" i="1"/>
  <c r="AH86" i="1"/>
  <c r="N86" i="1"/>
  <c r="BE86" i="1"/>
  <c r="AG86" i="1"/>
  <c r="M86" i="1"/>
  <c r="BD86" i="1"/>
  <c r="AF86" i="1"/>
  <c r="L86" i="1"/>
  <c r="BO86" i="1"/>
  <c r="AQ86" i="1"/>
  <c r="K86" i="1"/>
  <c r="C87" i="1"/>
  <c r="BN86" i="1"/>
  <c r="AP86" i="1"/>
  <c r="J86" i="1"/>
  <c r="BM86" i="1"/>
  <c r="AO86" i="1"/>
  <c r="I86" i="1"/>
  <c r="DW86" i="1"/>
  <c r="BL86" i="1"/>
  <c r="AN86" i="1"/>
  <c r="H86" i="1"/>
  <c r="C90" i="1"/>
  <c r="AY86" i="1"/>
  <c r="S86" i="1"/>
  <c r="AX86" i="1"/>
  <c r="R86" i="1"/>
  <c r="AW86" i="1"/>
  <c r="Q86" i="1"/>
  <c r="AV86" i="1"/>
  <c r="P86" i="1"/>
  <c r="AA86" i="1"/>
  <c r="Z86" i="1"/>
  <c r="Y86" i="1"/>
  <c r="X86" i="1"/>
  <c r="BK86" i="1"/>
  <c r="BI86" i="1"/>
  <c r="BH86" i="1"/>
  <c r="AU86" i="1"/>
  <c r="AT86" i="1"/>
  <c r="AS86" i="1"/>
  <c r="AD86" i="1"/>
  <c r="AC86" i="1"/>
  <c r="AB86" i="1"/>
  <c r="A86" i="1"/>
  <c r="BJ86" i="1"/>
  <c r="AR86" i="1"/>
  <c r="AE86" i="1"/>
  <c r="BM80" i="1"/>
  <c r="AW80" i="1"/>
  <c r="AG80" i="1"/>
  <c r="Q80" i="1"/>
  <c r="DW80" i="1"/>
  <c r="BL80" i="1"/>
  <c r="AV80" i="1"/>
  <c r="AF80" i="1"/>
  <c r="P80" i="1"/>
  <c r="BK80" i="1"/>
  <c r="AU80" i="1"/>
  <c r="AE80" i="1"/>
  <c r="O80" i="1"/>
  <c r="BJ80" i="1"/>
  <c r="AT80" i="1"/>
  <c r="AD80" i="1"/>
  <c r="N80" i="1"/>
  <c r="BI80" i="1"/>
  <c r="AO80" i="1"/>
  <c r="U80" i="1"/>
  <c r="BH80" i="1"/>
  <c r="AN80" i="1"/>
  <c r="T80" i="1"/>
  <c r="BG80" i="1"/>
  <c r="AM80" i="1"/>
  <c r="S80" i="1"/>
  <c r="BF80" i="1"/>
  <c r="AL80" i="1"/>
  <c r="R80" i="1"/>
  <c r="BQ80" i="1"/>
  <c r="AK80" i="1"/>
  <c r="I80" i="1"/>
  <c r="BP80" i="1"/>
  <c r="AJ80" i="1"/>
  <c r="H80" i="1"/>
  <c r="BO80" i="1"/>
  <c r="AI80" i="1"/>
  <c r="G80" i="1"/>
  <c r="C81" i="1"/>
  <c r="BN80" i="1"/>
  <c r="AH80" i="1"/>
  <c r="F80" i="1"/>
  <c r="AS80" i="1"/>
  <c r="E80" i="1"/>
  <c r="AR80" i="1"/>
  <c r="D80" i="1"/>
  <c r="AQ80" i="1"/>
  <c r="AP80" i="1"/>
  <c r="A80" i="1"/>
  <c r="BE80" i="1"/>
  <c r="M80" i="1"/>
  <c r="BD80" i="1"/>
  <c r="L80" i="1"/>
  <c r="BC80" i="1"/>
  <c r="K80" i="1"/>
  <c r="BB80" i="1"/>
  <c r="J80" i="1"/>
  <c r="BA80" i="1"/>
  <c r="V80" i="1"/>
  <c r="Y80" i="1"/>
  <c r="X80" i="1"/>
  <c r="W80" i="1"/>
  <c r="BR80" i="1"/>
  <c r="AZ80" i="1"/>
  <c r="AY80" i="1"/>
  <c r="AX80" i="1"/>
  <c r="AC80" i="1"/>
  <c r="AB80" i="1"/>
  <c r="AA80" i="1"/>
  <c r="Z80" i="1"/>
  <c r="BU73" i="1"/>
  <c r="BU82" i="1"/>
  <c r="BT73" i="1"/>
  <c r="DT73" i="1" a="1"/>
  <c r="DT73" i="1" s="1"/>
  <c r="DL73" i="1" a="1"/>
  <c r="DL73" i="1" s="1"/>
  <c r="DD73" i="1" a="1"/>
  <c r="DD73" i="1" s="1"/>
  <c r="CV73" i="1" a="1"/>
  <c r="CV73" i="1" s="1"/>
  <c r="CM73" i="1" a="1"/>
  <c r="CM73" i="1" s="1"/>
  <c r="CE73" i="1" a="1"/>
  <c r="CE73" i="1" s="1"/>
  <c r="BW73" i="1" a="1"/>
  <c r="BW73" i="1" s="1"/>
  <c r="DS73" i="1" a="1"/>
  <c r="DS73" i="1" s="1"/>
  <c r="DK73" i="1" a="1"/>
  <c r="DK73" i="1" s="1"/>
  <c r="DC73" i="1" a="1"/>
  <c r="DC73" i="1" s="1"/>
  <c r="CU73" i="1" a="1"/>
  <c r="CU73" i="1" s="1"/>
  <c r="CL73" i="1" a="1"/>
  <c r="CL73" i="1" s="1"/>
  <c r="CD73" i="1" a="1"/>
  <c r="CD73" i="1" s="1"/>
  <c r="DN73" i="1" a="1"/>
  <c r="DN73" i="1" s="1"/>
  <c r="DB73" i="1" a="1"/>
  <c r="DB73" i="1" s="1"/>
  <c r="CR73" i="1" a="1"/>
  <c r="CR73" i="1" s="1"/>
  <c r="CG73" i="1" a="1"/>
  <c r="CG73" i="1" s="1"/>
  <c r="DM73" i="1" a="1"/>
  <c r="DM73" i="1" s="1"/>
  <c r="DA73" i="1" a="1"/>
  <c r="DA73" i="1" s="1"/>
  <c r="CQ73" i="1" a="1"/>
  <c r="CQ73" i="1" s="1"/>
  <c r="CF73" i="1" a="1"/>
  <c r="CF73" i="1" s="1"/>
  <c r="DJ73" i="1" a="1"/>
  <c r="DJ73" i="1" s="1"/>
  <c r="CX73" i="1" a="1"/>
  <c r="CX73" i="1" s="1"/>
  <c r="CI73" i="1" a="1"/>
  <c r="CI73" i="1" s="1"/>
  <c r="DI73" i="1" a="1"/>
  <c r="DI73" i="1" s="1"/>
  <c r="CW73" i="1" a="1"/>
  <c r="CW73" i="1" s="1"/>
  <c r="CH73" i="1" a="1"/>
  <c r="CH73" i="1" s="1"/>
  <c r="DR73" i="1" a="1"/>
  <c r="DR73" i="1" s="1"/>
  <c r="CZ73" i="1" a="1"/>
  <c r="CZ73" i="1" s="1"/>
  <c r="CC73" i="1" a="1"/>
  <c r="CC73" i="1" s="1"/>
  <c r="DQ73" i="1" a="1"/>
  <c r="DQ73" i="1" s="1"/>
  <c r="CY73" i="1" a="1"/>
  <c r="CY73" i="1" s="1"/>
  <c r="CB73" i="1" a="1"/>
  <c r="CB73" i="1" s="1"/>
  <c r="DV73" i="1" a="1"/>
  <c r="DV73" i="1" s="1"/>
  <c r="CT73" i="1" a="1"/>
  <c r="CT73" i="1" s="1"/>
  <c r="BY73" i="1" a="1"/>
  <c r="BY73" i="1" s="1"/>
  <c r="DU73" i="1" a="1"/>
  <c r="DU73" i="1" s="1"/>
  <c r="CS73" i="1" a="1"/>
  <c r="CS73" i="1" s="1"/>
  <c r="BX73" i="1" a="1"/>
  <c r="BX73" i="1" s="1"/>
  <c r="DP73" i="1" a="1"/>
  <c r="DP73" i="1" s="1"/>
  <c r="CP73" i="1" a="1"/>
  <c r="CP73" i="1" s="1"/>
  <c r="DE73" i="1" a="1"/>
  <c r="DE73" i="1" s="1"/>
  <c r="CO73" i="1" a="1"/>
  <c r="CO73" i="1" s="1"/>
  <c r="DO73" i="1" a="1"/>
  <c r="DO73" i="1" s="1"/>
  <c r="DH73" i="1" a="1"/>
  <c r="DH73" i="1" s="1"/>
  <c r="DG73" i="1" a="1"/>
  <c r="DG73" i="1" s="1"/>
  <c r="DF73" i="1" a="1"/>
  <c r="DF73" i="1" s="1"/>
  <c r="CK73" i="1" a="1"/>
  <c r="CK73" i="1" s="1"/>
  <c r="CJ73" i="1" a="1"/>
  <c r="CJ73" i="1" s="1"/>
  <c r="CA73" i="1" a="1"/>
  <c r="CA73" i="1" s="1"/>
  <c r="BZ73" i="1" a="1"/>
  <c r="BZ73" i="1" s="1"/>
  <c r="BT76" i="1"/>
  <c r="BU76" i="1" s="1"/>
  <c r="BJ77" i="1"/>
  <c r="AT77" i="1"/>
  <c r="AD77" i="1"/>
  <c r="N77" i="1"/>
  <c r="BI77" i="1"/>
  <c r="AS77" i="1"/>
  <c r="AC77" i="1"/>
  <c r="M77" i="1"/>
  <c r="BH77" i="1"/>
  <c r="AR77" i="1"/>
  <c r="AB77" i="1"/>
  <c r="L77" i="1"/>
  <c r="BG77" i="1"/>
  <c r="AQ77" i="1"/>
  <c r="AA77" i="1"/>
  <c r="K77" i="1"/>
  <c r="BB77" i="1"/>
  <c r="AH77" i="1"/>
  <c r="J77" i="1"/>
  <c r="BA77" i="1"/>
  <c r="AG77" i="1"/>
  <c r="I77" i="1"/>
  <c r="AZ77" i="1"/>
  <c r="AF77" i="1"/>
  <c r="H77" i="1"/>
  <c r="AY77" i="1"/>
  <c r="AE77" i="1"/>
  <c r="G77" i="1"/>
  <c r="AX77" i="1"/>
  <c r="V77" i="1"/>
  <c r="AW77" i="1"/>
  <c r="U77" i="1"/>
  <c r="AV77" i="1"/>
  <c r="T77" i="1"/>
  <c r="AU77" i="1"/>
  <c r="S77" i="1"/>
  <c r="BR77" i="1"/>
  <c r="AL77" i="1"/>
  <c r="A77" i="1"/>
  <c r="BQ77" i="1"/>
  <c r="AK77" i="1"/>
  <c r="BP77" i="1"/>
  <c r="AJ77" i="1"/>
  <c r="BO77" i="1"/>
  <c r="AI77" i="1"/>
  <c r="Z77" i="1"/>
  <c r="Y77" i="1"/>
  <c r="DW77" i="1"/>
  <c r="X77" i="1"/>
  <c r="W77" i="1"/>
  <c r="BN77" i="1"/>
  <c r="R77" i="1"/>
  <c r="P77" i="1"/>
  <c r="O77" i="1"/>
  <c r="F77" i="1"/>
  <c r="E77" i="1"/>
  <c r="BM77" i="1"/>
  <c r="D77" i="1"/>
  <c r="BL77" i="1"/>
  <c r="BK77" i="1"/>
  <c r="BF77" i="1"/>
  <c r="BE77" i="1"/>
  <c r="BD77" i="1"/>
  <c r="BC77" i="1"/>
  <c r="AN77" i="1"/>
  <c r="AO77" i="1"/>
  <c r="Q77" i="1"/>
  <c r="AP77" i="1"/>
  <c r="AM77" i="1"/>
  <c r="BP83" i="1"/>
  <c r="AZ83" i="1"/>
  <c r="AJ83" i="1"/>
  <c r="T83" i="1"/>
  <c r="D83" i="1"/>
  <c r="BO83" i="1"/>
  <c r="AY83" i="1"/>
  <c r="AI83" i="1"/>
  <c r="S83" i="1"/>
  <c r="C84" i="1"/>
  <c r="BN83" i="1"/>
  <c r="AX83" i="1"/>
  <c r="AH83" i="1"/>
  <c r="R83" i="1"/>
  <c r="A83" i="1"/>
  <c r="BM83" i="1"/>
  <c r="AW83" i="1"/>
  <c r="AG83" i="1"/>
  <c r="Q83" i="1"/>
  <c r="DW83" i="1"/>
  <c r="AV83" i="1"/>
  <c r="AB83" i="1"/>
  <c r="H83" i="1"/>
  <c r="AU83" i="1"/>
  <c r="AA83" i="1"/>
  <c r="G83" i="1"/>
  <c r="BR83" i="1"/>
  <c r="AT83" i="1"/>
  <c r="Z83" i="1"/>
  <c r="F83" i="1"/>
  <c r="BQ83" i="1"/>
  <c r="AS83" i="1"/>
  <c r="Y83" i="1"/>
  <c r="E83" i="1"/>
  <c r="BD83" i="1"/>
  <c r="X83" i="1"/>
  <c r="BC83" i="1"/>
  <c r="W83" i="1"/>
  <c r="BB83" i="1"/>
  <c r="V83" i="1"/>
  <c r="BA83" i="1"/>
  <c r="U83" i="1"/>
  <c r="AR83" i="1"/>
  <c r="L83" i="1"/>
  <c r="AQ83" i="1"/>
  <c r="K83" i="1"/>
  <c r="AP83" i="1"/>
  <c r="J83" i="1"/>
  <c r="AO83" i="1"/>
  <c r="I83" i="1"/>
  <c r="AN83" i="1"/>
  <c r="AM83" i="1"/>
  <c r="AL83" i="1"/>
  <c r="AK83" i="1"/>
  <c r="AF83" i="1"/>
  <c r="BL83" i="1"/>
  <c r="BK83" i="1"/>
  <c r="BJ83" i="1"/>
  <c r="BI83" i="1"/>
  <c r="BH83" i="1"/>
  <c r="AC83" i="1"/>
  <c r="P83" i="1"/>
  <c r="O83" i="1"/>
  <c r="N83" i="1"/>
  <c r="M83" i="1"/>
  <c r="AE83" i="1"/>
  <c r="BG83" i="1"/>
  <c r="BE83" i="1"/>
  <c r="BS83" i="1" s="1"/>
  <c r="AD83" i="1"/>
  <c r="BF83" i="1"/>
  <c r="DO79" i="1" a="1"/>
  <c r="DO79" i="1" s="1"/>
  <c r="DG79" i="1" a="1"/>
  <c r="DG79" i="1" s="1"/>
  <c r="CY79" i="1" a="1"/>
  <c r="CY79" i="1" s="1"/>
  <c r="CQ79" i="1" a="1"/>
  <c r="CQ79" i="1" s="1"/>
  <c r="CH79" i="1" a="1"/>
  <c r="CH79" i="1" s="1"/>
  <c r="BZ79" i="1" a="1"/>
  <c r="BZ79" i="1" s="1"/>
  <c r="DV79" i="1" a="1"/>
  <c r="DV79" i="1" s="1"/>
  <c r="DN79" i="1" a="1"/>
  <c r="DN79" i="1" s="1"/>
  <c r="DF79" i="1" a="1"/>
  <c r="DF79" i="1" s="1"/>
  <c r="CX79" i="1" a="1"/>
  <c r="CX79" i="1" s="1"/>
  <c r="CP79" i="1" a="1"/>
  <c r="CP79" i="1" s="1"/>
  <c r="CG79" i="1" a="1"/>
  <c r="CG79" i="1" s="1"/>
  <c r="BY79" i="1" a="1"/>
  <c r="BY79" i="1" s="1"/>
  <c r="DU79" i="1" a="1"/>
  <c r="DU79" i="1" s="1"/>
  <c r="DK79" i="1" a="1"/>
  <c r="DK79" i="1" s="1"/>
  <c r="DA79" i="1" a="1"/>
  <c r="DA79" i="1" s="1"/>
  <c r="CO79" i="1" a="1"/>
  <c r="CO79" i="1" s="1"/>
  <c r="CD79" i="1" a="1"/>
  <c r="CD79" i="1" s="1"/>
  <c r="DT79" i="1" a="1"/>
  <c r="DT79" i="1" s="1"/>
  <c r="DJ79" i="1" a="1"/>
  <c r="DJ79" i="1" s="1"/>
  <c r="CZ79" i="1" a="1"/>
  <c r="CZ79" i="1" s="1"/>
  <c r="CM79" i="1" a="1"/>
  <c r="CM79" i="1" s="1"/>
  <c r="CC79" i="1" a="1"/>
  <c r="CC79" i="1" s="1"/>
  <c r="DM79" i="1" a="1"/>
  <c r="DM79" i="1" s="1"/>
  <c r="CW79" i="1" a="1"/>
  <c r="CW79" i="1" s="1"/>
  <c r="CJ79" i="1" a="1"/>
  <c r="CJ79" i="1" s="1"/>
  <c r="DL79" i="1" a="1"/>
  <c r="DL79" i="1" s="1"/>
  <c r="CV79" i="1" a="1"/>
  <c r="CV79" i="1" s="1"/>
  <c r="CI79" i="1" a="1"/>
  <c r="CI79" i="1" s="1"/>
  <c r="DE79" i="1" a="1"/>
  <c r="DE79" i="1" s="1"/>
  <c r="CL79" i="1" a="1"/>
  <c r="CL79" i="1" s="1"/>
  <c r="DD79" i="1" a="1"/>
  <c r="DD79" i="1" s="1"/>
  <c r="CK79" i="1" a="1"/>
  <c r="CK79" i="1" s="1"/>
  <c r="DC79" i="1" a="1"/>
  <c r="DC79" i="1" s="1"/>
  <c r="CB79" i="1" a="1"/>
  <c r="CB79" i="1" s="1"/>
  <c r="DB79" i="1" a="1"/>
  <c r="DB79" i="1" s="1"/>
  <c r="CA79" i="1" a="1"/>
  <c r="CA79" i="1" s="1"/>
  <c r="DS79" i="1" a="1"/>
  <c r="DS79" i="1" s="1"/>
  <c r="CU79" i="1" a="1"/>
  <c r="CU79" i="1" s="1"/>
  <c r="BX79" i="1" a="1"/>
  <c r="BX79" i="1" s="1"/>
  <c r="CR79" i="1" a="1"/>
  <c r="CR79" i="1" s="1"/>
  <c r="DR79" i="1" a="1"/>
  <c r="DR79" i="1" s="1"/>
  <c r="CF79" i="1" a="1"/>
  <c r="CF79" i="1" s="1"/>
  <c r="DQ79" i="1" a="1"/>
  <c r="DQ79" i="1" s="1"/>
  <c r="BW79" i="1" a="1"/>
  <c r="BW79" i="1" s="1"/>
  <c r="DP79" i="1" a="1"/>
  <c r="DP79" i="1" s="1"/>
  <c r="DI79" i="1" a="1"/>
  <c r="DI79" i="1" s="1"/>
  <c r="DH79" i="1" a="1"/>
  <c r="DH79" i="1" s="1"/>
  <c r="CS79" i="1" a="1"/>
  <c r="CS79" i="1" s="1"/>
  <c r="CT79" i="1" a="1"/>
  <c r="CT79" i="1" s="1"/>
  <c r="CE79" i="1" a="1"/>
  <c r="CE79" i="1" s="1"/>
  <c r="DU76" i="1" a="1"/>
  <c r="DU76" i="1" s="1"/>
  <c r="DM76" i="1" a="1"/>
  <c r="DM76" i="1" s="1"/>
  <c r="DE76" i="1" a="1"/>
  <c r="DE76" i="1" s="1"/>
  <c r="CW76" i="1" a="1"/>
  <c r="CW76" i="1" s="1"/>
  <c r="CO76" i="1" a="1"/>
  <c r="CO76" i="1" s="1"/>
  <c r="CF76" i="1" a="1"/>
  <c r="CF76" i="1" s="1"/>
  <c r="BX76" i="1" a="1"/>
  <c r="BX76" i="1" s="1"/>
  <c r="DT76" i="1" a="1"/>
  <c r="DT76" i="1" s="1"/>
  <c r="DL76" i="1" a="1"/>
  <c r="DL76" i="1" s="1"/>
  <c r="DD76" i="1" a="1"/>
  <c r="DD76" i="1" s="1"/>
  <c r="CV76" i="1" a="1"/>
  <c r="CV76" i="1" s="1"/>
  <c r="CM76" i="1" a="1"/>
  <c r="CM76" i="1" s="1"/>
  <c r="CE76" i="1" a="1"/>
  <c r="CE76" i="1" s="1"/>
  <c r="BW76" i="1" a="1"/>
  <c r="BW76" i="1" s="1"/>
  <c r="DQ76" i="1" a="1"/>
  <c r="DQ76" i="1" s="1"/>
  <c r="DG76" i="1" a="1"/>
  <c r="DG76" i="1" s="1"/>
  <c r="CU76" i="1" a="1"/>
  <c r="CU76" i="1" s="1"/>
  <c r="CJ76" i="1" a="1"/>
  <c r="CJ76" i="1" s="1"/>
  <c r="BZ76" i="1" a="1"/>
  <c r="BZ76" i="1" s="1"/>
  <c r="DP76" i="1" a="1"/>
  <c r="DP76" i="1" s="1"/>
  <c r="DF76" i="1" a="1"/>
  <c r="DF76" i="1" s="1"/>
  <c r="CT76" i="1" a="1"/>
  <c r="CT76" i="1" s="1"/>
  <c r="CI76" i="1" a="1"/>
  <c r="CI76" i="1" s="1"/>
  <c r="BY76" i="1" a="1"/>
  <c r="BY76" i="1" s="1"/>
  <c r="DS76" i="1" a="1"/>
  <c r="DS76" i="1" s="1"/>
  <c r="DC76" i="1" a="1"/>
  <c r="DC76" i="1" s="1"/>
  <c r="CQ76" i="1" a="1"/>
  <c r="CQ76" i="1" s="1"/>
  <c r="CB76" i="1" a="1"/>
  <c r="CB76" i="1" s="1"/>
  <c r="DR76" i="1" a="1"/>
  <c r="DR76" i="1" s="1"/>
  <c r="DB76" i="1" a="1"/>
  <c r="DB76" i="1" s="1"/>
  <c r="CP76" i="1" a="1"/>
  <c r="CP76" i="1" s="1"/>
  <c r="CA76" i="1" a="1"/>
  <c r="CA76" i="1" s="1"/>
  <c r="DA76" i="1" a="1"/>
  <c r="DA76" i="1" s="1"/>
  <c r="CH76" i="1" a="1"/>
  <c r="CH76" i="1" s="1"/>
  <c r="DV76" i="1" a="1"/>
  <c r="DV76" i="1" s="1"/>
  <c r="CZ76" i="1" a="1"/>
  <c r="CZ76" i="1" s="1"/>
  <c r="CG76" i="1" a="1"/>
  <c r="CG76" i="1" s="1"/>
  <c r="DK76" i="1" a="1"/>
  <c r="DK76" i="1" s="1"/>
  <c r="CL76" i="1" a="1"/>
  <c r="CL76" i="1" s="1"/>
  <c r="DJ76" i="1" a="1"/>
  <c r="DJ76" i="1" s="1"/>
  <c r="CK76" i="1" a="1"/>
  <c r="CK76" i="1" s="1"/>
  <c r="CX76" i="1" a="1"/>
  <c r="CX76" i="1" s="1"/>
  <c r="CS76" i="1" a="1"/>
  <c r="CS76" i="1" s="1"/>
  <c r="CR76" i="1" a="1"/>
  <c r="CR76" i="1" s="1"/>
  <c r="DO76" i="1" a="1"/>
  <c r="DO76" i="1" s="1"/>
  <c r="DN76" i="1" a="1"/>
  <c r="DN76" i="1" s="1"/>
  <c r="DI76" i="1" a="1"/>
  <c r="DI76" i="1" s="1"/>
  <c r="DH76" i="1" a="1"/>
  <c r="DH76" i="1" s="1"/>
  <c r="CY76" i="1" a="1"/>
  <c r="CY76" i="1" s="1"/>
  <c r="CD76" i="1" a="1"/>
  <c r="CD76" i="1" s="1"/>
  <c r="CC76" i="1" a="1"/>
  <c r="CC76" i="1" s="1"/>
  <c r="DP82" i="1" a="1"/>
  <c r="DP82" i="1" s="1"/>
  <c r="DH82" i="1" a="1"/>
  <c r="DH82" i="1" s="1"/>
  <c r="CZ82" i="1" a="1"/>
  <c r="CZ82" i="1" s="1"/>
  <c r="CR82" i="1" a="1"/>
  <c r="CR82" i="1" s="1"/>
  <c r="CI82" i="1" a="1"/>
  <c r="CI82" i="1" s="1"/>
  <c r="CA82" i="1" a="1"/>
  <c r="CA82" i="1" s="1"/>
  <c r="DO82" i="1" a="1"/>
  <c r="DO82" i="1" s="1"/>
  <c r="DG82" i="1" a="1"/>
  <c r="DG82" i="1" s="1"/>
  <c r="CY82" i="1" a="1"/>
  <c r="CY82" i="1" s="1"/>
  <c r="CQ82" i="1" a="1"/>
  <c r="CQ82" i="1" s="1"/>
  <c r="CH82" i="1" a="1"/>
  <c r="CH82" i="1" s="1"/>
  <c r="BZ82" i="1" a="1"/>
  <c r="BZ82" i="1" s="1"/>
  <c r="DN82" i="1" a="1"/>
  <c r="DN82" i="1" s="1"/>
  <c r="DD82" i="1" a="1"/>
  <c r="DD82" i="1" s="1"/>
  <c r="CT82" i="1" a="1"/>
  <c r="CT82" i="1" s="1"/>
  <c r="CG82" i="1" a="1"/>
  <c r="CG82" i="1" s="1"/>
  <c r="BW82" i="1" a="1"/>
  <c r="BW82" i="1" s="1"/>
  <c r="DM82" i="1" a="1"/>
  <c r="DM82" i="1" s="1"/>
  <c r="DC82" i="1" a="1"/>
  <c r="DC82" i="1" s="1"/>
  <c r="CS82" i="1" a="1"/>
  <c r="CS82" i="1" s="1"/>
  <c r="CF82" i="1" a="1"/>
  <c r="CF82" i="1" s="1"/>
  <c r="DT82" i="1" a="1"/>
  <c r="DT82" i="1" s="1"/>
  <c r="DF82" i="1" a="1"/>
  <c r="DF82" i="1" s="1"/>
  <c r="CP82" i="1" a="1"/>
  <c r="CP82" i="1" s="1"/>
  <c r="CC82" i="1" a="1"/>
  <c r="CC82" i="1" s="1"/>
  <c r="DS82" i="1" a="1"/>
  <c r="DS82" i="1" s="1"/>
  <c r="DE82" i="1" a="1"/>
  <c r="DE82" i="1" s="1"/>
  <c r="CO82" i="1" a="1"/>
  <c r="CO82" i="1" s="1"/>
  <c r="CB82" i="1" a="1"/>
  <c r="CB82" i="1" s="1"/>
  <c r="DJ82" i="1" a="1"/>
  <c r="DJ82" i="1" s="1"/>
  <c r="CM82" i="1" a="1"/>
  <c r="CM82" i="1" s="1"/>
  <c r="DI82" i="1" a="1"/>
  <c r="DI82" i="1" s="1"/>
  <c r="CL82" i="1" a="1"/>
  <c r="CL82" i="1" s="1"/>
  <c r="DR82" i="1" a="1"/>
  <c r="DR82" i="1" s="1"/>
  <c r="CV82" i="1" a="1"/>
  <c r="CV82" i="1" s="1"/>
  <c r="DQ82" i="1" a="1"/>
  <c r="DQ82" i="1" s="1"/>
  <c r="CU82" i="1" a="1"/>
  <c r="CU82" i="1" s="1"/>
  <c r="DV82" i="1" a="1"/>
  <c r="DV82" i="1" s="1"/>
  <c r="CJ82" i="1" a="1"/>
  <c r="CJ82" i="1" s="1"/>
  <c r="DU82" i="1" a="1"/>
  <c r="DU82" i="1" s="1"/>
  <c r="CE82" i="1" a="1"/>
  <c r="CE82" i="1" s="1"/>
  <c r="DL82" i="1" a="1"/>
  <c r="DL82" i="1" s="1"/>
  <c r="CD82" i="1" a="1"/>
  <c r="CD82" i="1" s="1"/>
  <c r="BY82" i="1" a="1"/>
  <c r="BY82" i="1" s="1"/>
  <c r="BX82" i="1" a="1"/>
  <c r="BX82" i="1" s="1"/>
  <c r="DK82" i="1" a="1"/>
  <c r="DK82" i="1" s="1"/>
  <c r="DB82" i="1" a="1"/>
  <c r="DB82" i="1" s="1"/>
  <c r="DA82" i="1" a="1"/>
  <c r="DA82" i="1" s="1"/>
  <c r="CX82" i="1" a="1"/>
  <c r="CX82" i="1" s="1"/>
  <c r="CW82" i="1" a="1"/>
  <c r="CW82" i="1" s="1"/>
  <c r="CK82" i="1" a="1"/>
  <c r="CK82" i="1" s="1"/>
  <c r="BS79" i="1"/>
  <c r="BT79" i="1" s="1"/>
  <c r="BU79" i="1" s="1"/>
  <c r="BT82" i="1"/>
  <c r="BS80" i="1" l="1"/>
  <c r="DO80" i="1" a="1"/>
  <c r="DO80" i="1" s="1"/>
  <c r="DG80" i="1" a="1"/>
  <c r="DG80" i="1" s="1"/>
  <c r="CY80" i="1" a="1"/>
  <c r="CY80" i="1" s="1"/>
  <c r="CQ80" i="1" a="1"/>
  <c r="CQ80" i="1" s="1"/>
  <c r="CH80" i="1" a="1"/>
  <c r="CH80" i="1" s="1"/>
  <c r="BZ80" i="1" a="1"/>
  <c r="BZ80" i="1" s="1"/>
  <c r="DV80" i="1" a="1"/>
  <c r="DV80" i="1" s="1"/>
  <c r="DN80" i="1" a="1"/>
  <c r="DN80" i="1" s="1"/>
  <c r="DF80" i="1" a="1"/>
  <c r="DF80" i="1" s="1"/>
  <c r="CX80" i="1" a="1"/>
  <c r="CX80" i="1" s="1"/>
  <c r="CP80" i="1" a="1"/>
  <c r="CP80" i="1" s="1"/>
  <c r="CG80" i="1" a="1"/>
  <c r="CG80" i="1" s="1"/>
  <c r="BY80" i="1" a="1"/>
  <c r="BY80" i="1" s="1"/>
  <c r="DS80" i="1" a="1"/>
  <c r="DS80" i="1" s="1"/>
  <c r="DI80" i="1" a="1"/>
  <c r="DI80" i="1" s="1"/>
  <c r="CW80" i="1" a="1"/>
  <c r="CW80" i="1" s="1"/>
  <c r="CL80" i="1" a="1"/>
  <c r="CL80" i="1" s="1"/>
  <c r="CB80" i="1" a="1"/>
  <c r="CB80" i="1" s="1"/>
  <c r="DR80" i="1" a="1"/>
  <c r="DR80" i="1" s="1"/>
  <c r="DH80" i="1" a="1"/>
  <c r="DH80" i="1" s="1"/>
  <c r="CV80" i="1" a="1"/>
  <c r="CV80" i="1" s="1"/>
  <c r="CK80" i="1" a="1"/>
  <c r="CK80" i="1" s="1"/>
  <c r="CA80" i="1" a="1"/>
  <c r="CA80" i="1" s="1"/>
  <c r="DK80" i="1" a="1"/>
  <c r="DK80" i="1" s="1"/>
  <c r="CU80" i="1" a="1"/>
  <c r="CU80" i="1" s="1"/>
  <c r="CF80" i="1" a="1"/>
  <c r="CF80" i="1" s="1"/>
  <c r="DJ80" i="1" a="1"/>
  <c r="DJ80" i="1" s="1"/>
  <c r="CT80" i="1" a="1"/>
  <c r="CT80" i="1" s="1"/>
  <c r="CE80" i="1" a="1"/>
  <c r="CE80" i="1" s="1"/>
  <c r="DM80" i="1" a="1"/>
  <c r="DM80" i="1" s="1"/>
  <c r="CS80" i="1" a="1"/>
  <c r="CS80" i="1" s="1"/>
  <c r="BX80" i="1" a="1"/>
  <c r="BX80" i="1" s="1"/>
  <c r="DL80" i="1" a="1"/>
  <c r="DL80" i="1" s="1"/>
  <c r="CR80" i="1" a="1"/>
  <c r="CR80" i="1" s="1"/>
  <c r="BW80" i="1" a="1"/>
  <c r="BW80" i="1" s="1"/>
  <c r="DQ80" i="1" a="1"/>
  <c r="DQ80" i="1" s="1"/>
  <c r="CO80" i="1" a="1"/>
  <c r="CO80" i="1" s="1"/>
  <c r="DP80" i="1" a="1"/>
  <c r="DP80" i="1" s="1"/>
  <c r="CM80" i="1" a="1"/>
  <c r="CM80" i="1" s="1"/>
  <c r="DE80" i="1" a="1"/>
  <c r="DE80" i="1" s="1"/>
  <c r="CC80" i="1" a="1"/>
  <c r="CC80" i="1" s="1"/>
  <c r="DD80" i="1" a="1"/>
  <c r="DD80" i="1" s="1"/>
  <c r="DC80" i="1" a="1"/>
  <c r="DC80" i="1" s="1"/>
  <c r="DA80" i="1" a="1"/>
  <c r="DA80" i="1" s="1"/>
  <c r="CZ80" i="1" a="1"/>
  <c r="CZ80" i="1" s="1"/>
  <c r="CJ80" i="1" a="1"/>
  <c r="CJ80" i="1" s="1"/>
  <c r="CI80" i="1" a="1"/>
  <c r="CI80" i="1" s="1"/>
  <c r="CD80" i="1" a="1"/>
  <c r="CD80" i="1" s="1"/>
  <c r="DU80" i="1" a="1"/>
  <c r="DU80" i="1" s="1"/>
  <c r="DT80" i="1" a="1"/>
  <c r="DT80" i="1" s="1"/>
  <c r="DB80" i="1" a="1"/>
  <c r="DB80" i="1" s="1"/>
  <c r="BT83" i="1"/>
  <c r="BU83" i="1" s="1"/>
  <c r="BQ84" i="1"/>
  <c r="BA84" i="1"/>
  <c r="AK84" i="1"/>
  <c r="U84" i="1"/>
  <c r="E84" i="1"/>
  <c r="BP84" i="1"/>
  <c r="AZ84" i="1"/>
  <c r="AJ84" i="1"/>
  <c r="T84" i="1"/>
  <c r="D84" i="1"/>
  <c r="BO84" i="1"/>
  <c r="AY84" i="1"/>
  <c r="AI84" i="1"/>
  <c r="S84" i="1"/>
  <c r="C85" i="1"/>
  <c r="BN84" i="1"/>
  <c r="AX84" i="1"/>
  <c r="AH84" i="1"/>
  <c r="R84" i="1"/>
  <c r="A84" i="1"/>
  <c r="BM84" i="1"/>
  <c r="AS84" i="1"/>
  <c r="Y84" i="1"/>
  <c r="BL84" i="1"/>
  <c r="AR84" i="1"/>
  <c r="X84" i="1"/>
  <c r="BK84" i="1"/>
  <c r="AQ84" i="1"/>
  <c r="W84" i="1"/>
  <c r="BJ84" i="1"/>
  <c r="AP84" i="1"/>
  <c r="V84" i="1"/>
  <c r="AW84" i="1"/>
  <c r="Q84" i="1"/>
  <c r="AV84" i="1"/>
  <c r="P84" i="1"/>
  <c r="AU84" i="1"/>
  <c r="O84" i="1"/>
  <c r="AT84" i="1"/>
  <c r="N84" i="1"/>
  <c r="BI84" i="1"/>
  <c r="AC84" i="1"/>
  <c r="DW84" i="1"/>
  <c r="BH84" i="1"/>
  <c r="AB84" i="1"/>
  <c r="BG84" i="1"/>
  <c r="AA84" i="1"/>
  <c r="BF84" i="1"/>
  <c r="Z84" i="1"/>
  <c r="M84" i="1"/>
  <c r="L84" i="1"/>
  <c r="K84" i="1"/>
  <c r="BR84" i="1"/>
  <c r="J84" i="1"/>
  <c r="BE84" i="1"/>
  <c r="BS84" i="1" s="1"/>
  <c r="I84" i="1"/>
  <c r="AN84" i="1"/>
  <c r="AM84" i="1"/>
  <c r="AL84" i="1"/>
  <c r="AG84" i="1"/>
  <c r="AF84" i="1"/>
  <c r="BD84" i="1"/>
  <c r="BC84" i="1"/>
  <c r="BB84" i="1"/>
  <c r="AO84" i="1"/>
  <c r="AE84" i="1"/>
  <c r="AD84" i="1"/>
  <c r="H84" i="1"/>
  <c r="G84" i="1"/>
  <c r="F84" i="1"/>
  <c r="BT80" i="1"/>
  <c r="BU80" i="1" s="1"/>
  <c r="BT86" i="1"/>
  <c r="BU86" i="1" s="1"/>
  <c r="BG90" i="1"/>
  <c r="AQ90" i="1"/>
  <c r="AA90" i="1"/>
  <c r="K90" i="1"/>
  <c r="BF90" i="1"/>
  <c r="AP90" i="1"/>
  <c r="Z90" i="1"/>
  <c r="J90" i="1"/>
  <c r="BE90" i="1"/>
  <c r="AO90" i="1"/>
  <c r="Y90" i="1"/>
  <c r="I90" i="1"/>
  <c r="BD90" i="1"/>
  <c r="AN90" i="1"/>
  <c r="X90" i="1"/>
  <c r="H90" i="1"/>
  <c r="BK90" i="1"/>
  <c r="AM90" i="1"/>
  <c r="S90" i="1"/>
  <c r="BJ90" i="1"/>
  <c r="AL90" i="1"/>
  <c r="R90" i="1"/>
  <c r="BI90" i="1"/>
  <c r="AK90" i="1"/>
  <c r="Q90" i="1"/>
  <c r="BH90" i="1"/>
  <c r="AJ90" i="1"/>
  <c r="P90" i="1"/>
  <c r="AY90" i="1"/>
  <c r="W90" i="1"/>
  <c r="AX90" i="1"/>
  <c r="V90" i="1"/>
  <c r="AW90" i="1"/>
  <c r="U90" i="1"/>
  <c r="AV90" i="1"/>
  <c r="T90" i="1"/>
  <c r="AI90" i="1"/>
  <c r="BR90" i="1"/>
  <c r="AH90" i="1"/>
  <c r="A90" i="1"/>
  <c r="BQ90" i="1"/>
  <c r="AG90" i="1"/>
  <c r="BP90" i="1"/>
  <c r="AF90" i="1"/>
  <c r="AE90" i="1"/>
  <c r="AD90" i="1"/>
  <c r="AC90" i="1"/>
  <c r="C91" i="1"/>
  <c r="AB90" i="1"/>
  <c r="BO90" i="1"/>
  <c r="O90" i="1"/>
  <c r="N90" i="1"/>
  <c r="M90" i="1"/>
  <c r="L90" i="1"/>
  <c r="G90" i="1"/>
  <c r="F90" i="1"/>
  <c r="BN90" i="1"/>
  <c r="BM90" i="1"/>
  <c r="BL90" i="1"/>
  <c r="BC90" i="1"/>
  <c r="DW90" i="1"/>
  <c r="BB90" i="1"/>
  <c r="BA90" i="1"/>
  <c r="C94" i="1"/>
  <c r="AZ90" i="1"/>
  <c r="AU90" i="1"/>
  <c r="AT90" i="1"/>
  <c r="AS90" i="1"/>
  <c r="AR90" i="1"/>
  <c r="E90" i="1"/>
  <c r="D90" i="1"/>
  <c r="BS77" i="1"/>
  <c r="DR86" i="1" a="1"/>
  <c r="DR86" i="1" s="1"/>
  <c r="DJ86" i="1" a="1"/>
  <c r="DJ86" i="1" s="1"/>
  <c r="DB86" i="1" a="1"/>
  <c r="DB86" i="1" s="1"/>
  <c r="CT86" i="1" a="1"/>
  <c r="CT86" i="1" s="1"/>
  <c r="CK86" i="1" a="1"/>
  <c r="CK86" i="1" s="1"/>
  <c r="CC86" i="1" a="1"/>
  <c r="CC86" i="1" s="1"/>
  <c r="DQ86" i="1" a="1"/>
  <c r="DQ86" i="1" s="1"/>
  <c r="DI86" i="1" a="1"/>
  <c r="DI86" i="1" s="1"/>
  <c r="DA86" i="1" a="1"/>
  <c r="DA86" i="1" s="1"/>
  <c r="CS86" i="1" a="1"/>
  <c r="CS86" i="1" s="1"/>
  <c r="CJ86" i="1" a="1"/>
  <c r="CJ86" i="1" s="1"/>
  <c r="CB86" i="1" a="1"/>
  <c r="CB86" i="1" s="1"/>
  <c r="DP86" i="1" a="1"/>
  <c r="DP86" i="1" s="1"/>
  <c r="DF86" i="1" a="1"/>
  <c r="DF86" i="1" s="1"/>
  <c r="CV86" i="1" a="1"/>
  <c r="CV86" i="1" s="1"/>
  <c r="CI86" i="1" a="1"/>
  <c r="CI86" i="1" s="1"/>
  <c r="BY86" i="1" a="1"/>
  <c r="BY86" i="1" s="1"/>
  <c r="DO86" i="1" a="1"/>
  <c r="DO86" i="1" s="1"/>
  <c r="DE86" i="1" a="1"/>
  <c r="DE86" i="1" s="1"/>
  <c r="CU86" i="1" a="1"/>
  <c r="CU86" i="1" s="1"/>
  <c r="CH86" i="1" a="1"/>
  <c r="CH86" i="1" s="1"/>
  <c r="BX86" i="1" a="1"/>
  <c r="BX86" i="1" s="1"/>
  <c r="DL86" i="1" a="1"/>
  <c r="DL86" i="1" s="1"/>
  <c r="CX86" i="1" a="1"/>
  <c r="CX86" i="1" s="1"/>
  <c r="CG86" i="1" a="1"/>
  <c r="CG86" i="1" s="1"/>
  <c r="DK86" i="1" a="1"/>
  <c r="DK86" i="1" s="1"/>
  <c r="CW86" i="1" a="1"/>
  <c r="CW86" i="1" s="1"/>
  <c r="CF86" i="1" a="1"/>
  <c r="CF86" i="1" s="1"/>
  <c r="DT86" i="1" a="1"/>
  <c r="DT86" i="1" s="1"/>
  <c r="CZ86" i="1" a="1"/>
  <c r="CZ86" i="1" s="1"/>
  <c r="CE86" i="1" a="1"/>
  <c r="CE86" i="1" s="1"/>
  <c r="DS86" i="1" a="1"/>
  <c r="DS86" i="1" s="1"/>
  <c r="CY86" i="1" a="1"/>
  <c r="CY86" i="1" s="1"/>
  <c r="CD86" i="1" a="1"/>
  <c r="CD86" i="1" s="1"/>
  <c r="DV86" i="1" a="1"/>
  <c r="DV86" i="1" s="1"/>
  <c r="CR86" i="1" a="1"/>
  <c r="CR86" i="1" s="1"/>
  <c r="BW86" i="1" a="1"/>
  <c r="BW86" i="1" s="1"/>
  <c r="DU86" i="1" a="1"/>
  <c r="DU86" i="1" s="1"/>
  <c r="CQ86" i="1" a="1"/>
  <c r="CQ86" i="1" s="1"/>
  <c r="DD86" i="1" a="1"/>
  <c r="DD86" i="1" s="1"/>
  <c r="DC86" i="1" a="1"/>
  <c r="DC86" i="1" s="1"/>
  <c r="CP86" i="1" a="1"/>
  <c r="CP86" i="1" s="1"/>
  <c r="DH86" i="1" a="1"/>
  <c r="DH86" i="1" s="1"/>
  <c r="DG86" i="1" a="1"/>
  <c r="DG86" i="1" s="1"/>
  <c r="CO86" i="1" a="1"/>
  <c r="CO86" i="1" s="1"/>
  <c r="CM86" i="1" a="1"/>
  <c r="CM86" i="1" s="1"/>
  <c r="CL86" i="1" a="1"/>
  <c r="CL86" i="1" s="1"/>
  <c r="CA86" i="1" a="1"/>
  <c r="CA86" i="1" s="1"/>
  <c r="BZ86" i="1" a="1"/>
  <c r="BZ86" i="1" s="1"/>
  <c r="DN86" i="1" a="1"/>
  <c r="DN86" i="1" s="1"/>
  <c r="DM86" i="1" a="1"/>
  <c r="DM86" i="1" s="1"/>
  <c r="BD87" i="1"/>
  <c r="AN87" i="1"/>
  <c r="X87" i="1"/>
  <c r="H87" i="1"/>
  <c r="BC87" i="1"/>
  <c r="AM87" i="1"/>
  <c r="W87" i="1"/>
  <c r="G87" i="1"/>
  <c r="BR87" i="1"/>
  <c r="BB87" i="1"/>
  <c r="AL87" i="1"/>
  <c r="V87" i="1"/>
  <c r="F87" i="1"/>
  <c r="BQ87" i="1"/>
  <c r="BA87" i="1"/>
  <c r="AK87" i="1"/>
  <c r="U87" i="1"/>
  <c r="E87" i="1"/>
  <c r="AZ87" i="1"/>
  <c r="AF87" i="1"/>
  <c r="L87" i="1"/>
  <c r="AY87" i="1"/>
  <c r="AE87" i="1"/>
  <c r="K87" i="1"/>
  <c r="C88" i="1"/>
  <c r="AX87" i="1"/>
  <c r="AD87" i="1"/>
  <c r="J87" i="1"/>
  <c r="AW87" i="1"/>
  <c r="AC87" i="1"/>
  <c r="I87" i="1"/>
  <c r="DW87" i="1"/>
  <c r="BL87" i="1"/>
  <c r="AJ87" i="1"/>
  <c r="D87" i="1"/>
  <c r="BK87" i="1"/>
  <c r="AI87" i="1"/>
  <c r="BJ87" i="1"/>
  <c r="AH87" i="1"/>
  <c r="A87" i="1"/>
  <c r="BI87" i="1"/>
  <c r="AG87" i="1"/>
  <c r="BP87" i="1"/>
  <c r="AB87" i="1"/>
  <c r="BO87" i="1"/>
  <c r="AA87" i="1"/>
  <c r="BN87" i="1"/>
  <c r="Z87" i="1"/>
  <c r="BM87" i="1"/>
  <c r="Y87" i="1"/>
  <c r="AV87" i="1"/>
  <c r="AU87" i="1"/>
  <c r="AT87" i="1"/>
  <c r="AS87" i="1"/>
  <c r="AR87" i="1"/>
  <c r="AO87" i="1"/>
  <c r="T87" i="1"/>
  <c r="S87" i="1"/>
  <c r="R87" i="1"/>
  <c r="Q87" i="1"/>
  <c r="BH87" i="1"/>
  <c r="BG87" i="1"/>
  <c r="BF87" i="1"/>
  <c r="BE87" i="1"/>
  <c r="BS87" i="1" s="1"/>
  <c r="AQ87" i="1"/>
  <c r="AP87" i="1"/>
  <c r="P87" i="1"/>
  <c r="N87" i="1"/>
  <c r="O87" i="1"/>
  <c r="M87" i="1"/>
  <c r="DV77" i="1" a="1"/>
  <c r="DV77" i="1" s="1"/>
  <c r="DN77" i="1" a="1"/>
  <c r="DN77" i="1" s="1"/>
  <c r="DF77" i="1" a="1"/>
  <c r="DF77" i="1" s="1"/>
  <c r="CX77" i="1" a="1"/>
  <c r="CX77" i="1" s="1"/>
  <c r="CP77" i="1" a="1"/>
  <c r="CP77" i="1" s="1"/>
  <c r="CG77" i="1" a="1"/>
  <c r="CG77" i="1" s="1"/>
  <c r="BY77" i="1" a="1"/>
  <c r="BY77" i="1" s="1"/>
  <c r="DU77" i="1" a="1"/>
  <c r="DU77" i="1" s="1"/>
  <c r="DM77" i="1" a="1"/>
  <c r="DM77" i="1" s="1"/>
  <c r="DE77" i="1" a="1"/>
  <c r="DE77" i="1" s="1"/>
  <c r="CW77" i="1" a="1"/>
  <c r="CW77" i="1" s="1"/>
  <c r="CO77" i="1" a="1"/>
  <c r="CO77" i="1" s="1"/>
  <c r="CF77" i="1" a="1"/>
  <c r="CF77" i="1" s="1"/>
  <c r="BX77" i="1" a="1"/>
  <c r="BX77" i="1" s="1"/>
  <c r="DP77" i="1" a="1"/>
  <c r="DP77" i="1" s="1"/>
  <c r="DD77" i="1" a="1"/>
  <c r="DD77" i="1" s="1"/>
  <c r="CT77" i="1" a="1"/>
  <c r="CT77" i="1" s="1"/>
  <c r="CI77" i="1" a="1"/>
  <c r="CI77" i="1" s="1"/>
  <c r="BW77" i="1" a="1"/>
  <c r="BW77" i="1" s="1"/>
  <c r="DO77" i="1" a="1"/>
  <c r="DO77" i="1" s="1"/>
  <c r="DC77" i="1" a="1"/>
  <c r="DC77" i="1" s="1"/>
  <c r="CS77" i="1" a="1"/>
  <c r="CS77" i="1" s="1"/>
  <c r="CH77" i="1" a="1"/>
  <c r="CH77" i="1" s="1"/>
  <c r="DR77" i="1" a="1"/>
  <c r="DR77" i="1" s="1"/>
  <c r="DB77" i="1" a="1"/>
  <c r="DB77" i="1" s="1"/>
  <c r="CM77" i="1" a="1"/>
  <c r="CM77" i="1" s="1"/>
  <c r="CA77" i="1" a="1"/>
  <c r="CA77" i="1" s="1"/>
  <c r="DQ77" i="1" a="1"/>
  <c r="DQ77" i="1" s="1"/>
  <c r="DA77" i="1" a="1"/>
  <c r="DA77" i="1" s="1"/>
  <c r="CL77" i="1" a="1"/>
  <c r="CL77" i="1" s="1"/>
  <c r="BZ77" i="1" a="1"/>
  <c r="BZ77" i="1" s="1"/>
  <c r="DJ77" i="1" a="1"/>
  <c r="DJ77" i="1" s="1"/>
  <c r="CR77" i="1" a="1"/>
  <c r="CR77" i="1" s="1"/>
  <c r="DI77" i="1" a="1"/>
  <c r="DI77" i="1" s="1"/>
  <c r="CQ77" i="1" a="1"/>
  <c r="CQ77" i="1" s="1"/>
  <c r="CZ77" i="1" a="1"/>
  <c r="CZ77" i="1" s="1"/>
  <c r="CC77" i="1" a="1"/>
  <c r="CC77" i="1" s="1"/>
  <c r="CY77" i="1" a="1"/>
  <c r="CY77" i="1" s="1"/>
  <c r="CB77" i="1" a="1"/>
  <c r="CB77" i="1" s="1"/>
  <c r="DT77" i="1" a="1"/>
  <c r="DT77" i="1" s="1"/>
  <c r="CV77" i="1" a="1"/>
  <c r="CV77" i="1" s="1"/>
  <c r="CE77" i="1" a="1"/>
  <c r="CE77" i="1" s="1"/>
  <c r="DL77" i="1" a="1"/>
  <c r="DL77" i="1" s="1"/>
  <c r="CD77" i="1" a="1"/>
  <c r="CD77" i="1" s="1"/>
  <c r="DK77" i="1" a="1"/>
  <c r="DK77" i="1" s="1"/>
  <c r="CK77" i="1" a="1"/>
  <c r="CK77" i="1" s="1"/>
  <c r="CJ77" i="1" a="1"/>
  <c r="CJ77" i="1" s="1"/>
  <c r="DS77" i="1" a="1"/>
  <c r="DS77" i="1" s="1"/>
  <c r="DH77" i="1" a="1"/>
  <c r="DH77" i="1" s="1"/>
  <c r="DG77" i="1" a="1"/>
  <c r="DG77" i="1" s="1"/>
  <c r="CU77" i="1" a="1"/>
  <c r="CU77" i="1" s="1"/>
  <c r="BS86" i="1"/>
  <c r="BN81" i="1"/>
  <c r="AX81" i="1"/>
  <c r="AH81" i="1"/>
  <c r="R81" i="1"/>
  <c r="A81" i="1"/>
  <c r="BM81" i="1"/>
  <c r="AW81" i="1"/>
  <c r="AG81" i="1"/>
  <c r="Q81" i="1"/>
  <c r="DW81" i="1"/>
  <c r="BL81" i="1"/>
  <c r="AV81" i="1"/>
  <c r="AF81" i="1"/>
  <c r="P81" i="1"/>
  <c r="BK81" i="1"/>
  <c r="AU81" i="1"/>
  <c r="AE81" i="1"/>
  <c r="O81" i="1"/>
  <c r="BF81" i="1"/>
  <c r="AL81" i="1"/>
  <c r="N81" i="1"/>
  <c r="BE81" i="1"/>
  <c r="AK81" i="1"/>
  <c r="M81" i="1"/>
  <c r="BD81" i="1"/>
  <c r="AJ81" i="1"/>
  <c r="L81" i="1"/>
  <c r="BC81" i="1"/>
  <c r="AI81" i="1"/>
  <c r="K81" i="1"/>
  <c r="BJ81" i="1"/>
  <c r="AD81" i="1"/>
  <c r="F81" i="1"/>
  <c r="BI81" i="1"/>
  <c r="AC81" i="1"/>
  <c r="E81" i="1"/>
  <c r="BH81" i="1"/>
  <c r="AB81" i="1"/>
  <c r="D81" i="1"/>
  <c r="BG81" i="1"/>
  <c r="AA81" i="1"/>
  <c r="BB81" i="1"/>
  <c r="V81" i="1"/>
  <c r="BA81" i="1"/>
  <c r="U81" i="1"/>
  <c r="AZ81" i="1"/>
  <c r="T81" i="1"/>
  <c r="AY81" i="1"/>
  <c r="S81" i="1"/>
  <c r="AP81" i="1"/>
  <c r="AO81" i="1"/>
  <c r="AN81" i="1"/>
  <c r="AM81" i="1"/>
  <c r="Z81" i="1"/>
  <c r="BO81" i="1"/>
  <c r="AT81" i="1"/>
  <c r="AS81" i="1"/>
  <c r="AR81" i="1"/>
  <c r="AQ81" i="1"/>
  <c r="BQ81" i="1"/>
  <c r="BP81" i="1"/>
  <c r="Y81" i="1"/>
  <c r="X81" i="1"/>
  <c r="W81" i="1"/>
  <c r="J81" i="1"/>
  <c r="I81" i="1"/>
  <c r="H81" i="1"/>
  <c r="BR81" i="1"/>
  <c r="G81" i="1"/>
  <c r="DQ83" i="1" a="1"/>
  <c r="DQ83" i="1" s="1"/>
  <c r="DI83" i="1" a="1"/>
  <c r="DI83" i="1" s="1"/>
  <c r="DA83" i="1" a="1"/>
  <c r="DA83" i="1" s="1"/>
  <c r="CS83" i="1" a="1"/>
  <c r="CS83" i="1" s="1"/>
  <c r="CJ83" i="1" a="1"/>
  <c r="CJ83" i="1" s="1"/>
  <c r="CB83" i="1" a="1"/>
  <c r="CB83" i="1" s="1"/>
  <c r="DP83" i="1" a="1"/>
  <c r="DP83" i="1" s="1"/>
  <c r="DH83" i="1" a="1"/>
  <c r="DH83" i="1" s="1"/>
  <c r="CZ83" i="1" a="1"/>
  <c r="CZ83" i="1" s="1"/>
  <c r="CR83" i="1" a="1"/>
  <c r="CR83" i="1" s="1"/>
  <c r="CI83" i="1" a="1"/>
  <c r="CI83" i="1" s="1"/>
  <c r="CA83" i="1" a="1"/>
  <c r="CA83" i="1" s="1"/>
  <c r="DM83" i="1" a="1"/>
  <c r="DM83" i="1" s="1"/>
  <c r="DC83" i="1" a="1"/>
  <c r="DC83" i="1" s="1"/>
  <c r="CQ83" i="1" a="1"/>
  <c r="CQ83" i="1" s="1"/>
  <c r="CF83" i="1" a="1"/>
  <c r="CF83" i="1" s="1"/>
  <c r="DV83" i="1" a="1"/>
  <c r="DV83" i="1" s="1"/>
  <c r="DL83" i="1" a="1"/>
  <c r="DL83" i="1" s="1"/>
  <c r="DB83" i="1" a="1"/>
  <c r="DB83" i="1" s="1"/>
  <c r="CP83" i="1" a="1"/>
  <c r="CP83" i="1" s="1"/>
  <c r="CE83" i="1" a="1"/>
  <c r="CE83" i="1" s="1"/>
  <c r="DS83" i="1" a="1"/>
  <c r="DS83" i="1" s="1"/>
  <c r="DE83" i="1" a="1"/>
  <c r="DE83" i="1" s="1"/>
  <c r="CO83" i="1" a="1"/>
  <c r="CO83" i="1" s="1"/>
  <c r="BZ83" i="1" a="1"/>
  <c r="BZ83" i="1" s="1"/>
  <c r="DR83" i="1" a="1"/>
  <c r="DR83" i="1" s="1"/>
  <c r="DD83" i="1" a="1"/>
  <c r="DD83" i="1" s="1"/>
  <c r="CM83" i="1" a="1"/>
  <c r="CM83" i="1" s="1"/>
  <c r="BY83" i="1" a="1"/>
  <c r="BY83" i="1" s="1"/>
  <c r="DO83" i="1" a="1"/>
  <c r="DO83" i="1" s="1"/>
  <c r="CW83" i="1" a="1"/>
  <c r="CW83" i="1" s="1"/>
  <c r="CD83" i="1" a="1"/>
  <c r="CD83" i="1" s="1"/>
  <c r="DN83" i="1" a="1"/>
  <c r="DN83" i="1" s="1"/>
  <c r="CV83" i="1" a="1"/>
  <c r="CV83" i="1" s="1"/>
  <c r="CC83" i="1" a="1"/>
  <c r="CC83" i="1" s="1"/>
  <c r="DG83" i="1" a="1"/>
  <c r="DG83" i="1" s="1"/>
  <c r="CH83" i="1" a="1"/>
  <c r="CH83" i="1" s="1"/>
  <c r="DF83" i="1" a="1"/>
  <c r="DF83" i="1" s="1"/>
  <c r="CG83" i="1" a="1"/>
  <c r="CG83" i="1" s="1"/>
  <c r="CY83" i="1" a="1"/>
  <c r="CY83" i="1" s="1"/>
  <c r="BX83" i="1" a="1"/>
  <c r="BX83" i="1" s="1"/>
  <c r="DJ83" i="1" a="1"/>
  <c r="DJ83" i="1" s="1"/>
  <c r="CX83" i="1" a="1"/>
  <c r="CX83" i="1" s="1"/>
  <c r="CU83" i="1" a="1"/>
  <c r="CU83" i="1" s="1"/>
  <c r="CT83" i="1" a="1"/>
  <c r="CT83" i="1" s="1"/>
  <c r="CL83" i="1" a="1"/>
  <c r="CL83" i="1" s="1"/>
  <c r="CK83" i="1" a="1"/>
  <c r="CK83" i="1" s="1"/>
  <c r="DU83" i="1" a="1"/>
  <c r="DU83" i="1" s="1"/>
  <c r="DT83" i="1" a="1"/>
  <c r="DT83" i="1" s="1"/>
  <c r="DK83" i="1" a="1"/>
  <c r="DK83" i="1" s="1"/>
  <c r="BW83" i="1" a="1"/>
  <c r="BW83" i="1" s="1"/>
  <c r="BT77" i="1"/>
  <c r="BU77" i="1" s="1"/>
  <c r="BT84" i="1" l="1"/>
  <c r="BS90" i="1"/>
  <c r="BU84" i="1"/>
  <c r="DU90" i="1" a="1"/>
  <c r="DU90" i="1" s="1"/>
  <c r="DL90" i="1" a="1"/>
  <c r="DL90" i="1" s="1"/>
  <c r="DD90" i="1" a="1"/>
  <c r="DD90" i="1" s="1"/>
  <c r="CV90" i="1" a="1"/>
  <c r="CV90" i="1" s="1"/>
  <c r="CM90" i="1" a="1"/>
  <c r="CM90" i="1" s="1"/>
  <c r="CE90" i="1" a="1"/>
  <c r="CE90" i="1" s="1"/>
  <c r="BW90" i="1" a="1"/>
  <c r="BW90" i="1" s="1"/>
  <c r="DT90" i="1" a="1"/>
  <c r="DT90" i="1" s="1"/>
  <c r="DK90" i="1" a="1"/>
  <c r="DK90" i="1" s="1"/>
  <c r="DC90" i="1" a="1"/>
  <c r="DC90" i="1" s="1"/>
  <c r="CU90" i="1" a="1"/>
  <c r="CU90" i="1" s="1"/>
  <c r="CL90" i="1" a="1"/>
  <c r="CL90" i="1" s="1"/>
  <c r="CD90" i="1" a="1"/>
  <c r="CD90" i="1" s="1"/>
  <c r="DS90" i="1" a="1"/>
  <c r="DS90" i="1" s="1"/>
  <c r="DH90" i="1" a="1"/>
  <c r="DH90" i="1" s="1"/>
  <c r="CX90" i="1" a="1"/>
  <c r="CX90" i="1" s="1"/>
  <c r="CK90" i="1" a="1"/>
  <c r="CK90" i="1" s="1"/>
  <c r="CA90" i="1" a="1"/>
  <c r="CA90" i="1" s="1"/>
  <c r="DR90" i="1" a="1"/>
  <c r="DR90" i="1" s="1"/>
  <c r="DQ90" i="1" a="1"/>
  <c r="DQ90" i="1" s="1"/>
  <c r="DG90" i="1" a="1"/>
  <c r="DG90" i="1" s="1"/>
  <c r="CW90" i="1" a="1"/>
  <c r="CW90" i="1" s="1"/>
  <c r="CJ90" i="1" a="1"/>
  <c r="CJ90" i="1" s="1"/>
  <c r="BZ90" i="1" a="1"/>
  <c r="BZ90" i="1" s="1"/>
  <c r="DP90" i="1" a="1"/>
  <c r="DP90" i="1" s="1"/>
  <c r="DB90" i="1" a="1"/>
  <c r="DB90" i="1" s="1"/>
  <c r="CP90" i="1" a="1"/>
  <c r="CP90" i="1" s="1"/>
  <c r="BY90" i="1" a="1"/>
  <c r="BY90" i="1" s="1"/>
  <c r="DO90" i="1" a="1"/>
  <c r="DO90" i="1" s="1"/>
  <c r="DA90" i="1" a="1"/>
  <c r="DA90" i="1" s="1"/>
  <c r="CO90" i="1" a="1"/>
  <c r="CO90" i="1" s="1"/>
  <c r="BX90" i="1" a="1"/>
  <c r="BX90" i="1" s="1"/>
  <c r="DJ90" i="1" a="1"/>
  <c r="DJ90" i="1" s="1"/>
  <c r="CR90" i="1" a="1"/>
  <c r="CR90" i="1" s="1"/>
  <c r="DI90" i="1" a="1"/>
  <c r="DI90" i="1" s="1"/>
  <c r="CQ90" i="1" a="1"/>
  <c r="CQ90" i="1" s="1"/>
  <c r="CZ90" i="1" a="1"/>
  <c r="CZ90" i="1" s="1"/>
  <c r="CC90" i="1" a="1"/>
  <c r="CC90" i="1" s="1"/>
  <c r="CY90" i="1" a="1"/>
  <c r="CY90" i="1" s="1"/>
  <c r="CB90" i="1" a="1"/>
  <c r="CB90" i="1" s="1"/>
  <c r="CH90" i="1" a="1"/>
  <c r="CH90" i="1" s="1"/>
  <c r="DV90" i="1" a="1"/>
  <c r="DV90" i="1" s="1"/>
  <c r="CG90" i="1" a="1"/>
  <c r="CG90" i="1" s="1"/>
  <c r="DN90" i="1" a="1"/>
  <c r="DN90" i="1" s="1"/>
  <c r="CF90" i="1" a="1"/>
  <c r="CF90" i="1" s="1"/>
  <c r="DM90" i="1" a="1"/>
  <c r="DM90" i="1" s="1"/>
  <c r="DF90" i="1" a="1"/>
  <c r="DF90" i="1" s="1"/>
  <c r="DE90" i="1" a="1"/>
  <c r="DE90" i="1" s="1"/>
  <c r="CT90" i="1" a="1"/>
  <c r="CT90" i="1" s="1"/>
  <c r="CI90" i="1" a="1"/>
  <c r="CI90" i="1" s="1"/>
  <c r="CS90" i="1" a="1"/>
  <c r="CS90" i="1" s="1"/>
  <c r="BG94" i="1"/>
  <c r="AQ94" i="1"/>
  <c r="AA94" i="1"/>
  <c r="K94" i="1"/>
  <c r="BF94" i="1"/>
  <c r="AP94" i="1"/>
  <c r="Z94" i="1"/>
  <c r="J94" i="1"/>
  <c r="BE94" i="1"/>
  <c r="BS94" i="1" s="1"/>
  <c r="AO94" i="1"/>
  <c r="Y94" i="1"/>
  <c r="I94" i="1"/>
  <c r="BD94" i="1"/>
  <c r="AN94" i="1"/>
  <c r="X94" i="1"/>
  <c r="H94" i="1"/>
  <c r="BC94" i="1"/>
  <c r="BJ94" i="1"/>
  <c r="AK94" i="1"/>
  <c r="Q94" i="1"/>
  <c r="DW94" i="1"/>
  <c r="BI94" i="1"/>
  <c r="AJ94" i="1"/>
  <c r="P94" i="1"/>
  <c r="BH94" i="1"/>
  <c r="AI94" i="1"/>
  <c r="O94" i="1"/>
  <c r="BB94" i="1"/>
  <c r="AH94" i="1"/>
  <c r="N94" i="1"/>
  <c r="BA94" i="1"/>
  <c r="AC94" i="1"/>
  <c r="AZ94" i="1"/>
  <c r="AB94" i="1"/>
  <c r="AY94" i="1"/>
  <c r="W94" i="1"/>
  <c r="C98" i="1"/>
  <c r="C95" i="1"/>
  <c r="AX94" i="1"/>
  <c r="V94" i="1"/>
  <c r="BN94" i="1"/>
  <c r="U94" i="1"/>
  <c r="BM94" i="1"/>
  <c r="T94" i="1"/>
  <c r="BL94" i="1"/>
  <c r="S94" i="1"/>
  <c r="BK94" i="1"/>
  <c r="R94" i="1"/>
  <c r="AS94" i="1"/>
  <c r="AR94" i="1"/>
  <c r="AM94" i="1"/>
  <c r="AL94" i="1"/>
  <c r="M94" i="1"/>
  <c r="L94" i="1"/>
  <c r="G94" i="1"/>
  <c r="F94" i="1"/>
  <c r="BR94" i="1"/>
  <c r="BT94" i="1" s="1"/>
  <c r="E94" i="1"/>
  <c r="BU94" i="1" s="1"/>
  <c r="AV94" i="1"/>
  <c r="AU94" i="1"/>
  <c r="AT94" i="1"/>
  <c r="AG94" i="1"/>
  <c r="AF94" i="1"/>
  <c r="BP94" i="1"/>
  <c r="BO94" i="1"/>
  <c r="AW94" i="1"/>
  <c r="AE94" i="1"/>
  <c r="AD94" i="1"/>
  <c r="D94" i="1"/>
  <c r="A94" i="1"/>
  <c r="BQ94" i="1"/>
  <c r="BU87" i="1"/>
  <c r="DQ84" i="1" a="1"/>
  <c r="DQ84" i="1" s="1"/>
  <c r="DI84" i="1" a="1"/>
  <c r="DI84" i="1" s="1"/>
  <c r="DA84" i="1" a="1"/>
  <c r="DA84" i="1" s="1"/>
  <c r="CS84" i="1" a="1"/>
  <c r="CS84" i="1" s="1"/>
  <c r="CJ84" i="1" a="1"/>
  <c r="CJ84" i="1" s="1"/>
  <c r="CB84" i="1" a="1"/>
  <c r="CB84" i="1" s="1"/>
  <c r="DP84" i="1" a="1"/>
  <c r="DP84" i="1" s="1"/>
  <c r="DH84" i="1" a="1"/>
  <c r="DH84" i="1" s="1"/>
  <c r="CZ84" i="1" a="1"/>
  <c r="CZ84" i="1" s="1"/>
  <c r="CR84" i="1" a="1"/>
  <c r="CR84" i="1" s="1"/>
  <c r="CI84" i="1" a="1"/>
  <c r="CI84" i="1" s="1"/>
  <c r="CA84" i="1" a="1"/>
  <c r="CA84" i="1" s="1"/>
  <c r="DU84" i="1" a="1"/>
  <c r="DU84" i="1" s="1"/>
  <c r="DK84" i="1" a="1"/>
  <c r="DK84" i="1" s="1"/>
  <c r="CY84" i="1" a="1"/>
  <c r="CY84" i="1" s="1"/>
  <c r="CO84" i="1" a="1"/>
  <c r="CO84" i="1" s="1"/>
  <c r="CD84" i="1" a="1"/>
  <c r="CD84" i="1" s="1"/>
  <c r="DT84" i="1" a="1"/>
  <c r="DT84" i="1" s="1"/>
  <c r="DJ84" i="1" a="1"/>
  <c r="DJ84" i="1" s="1"/>
  <c r="CX84" i="1" a="1"/>
  <c r="CX84" i="1" s="1"/>
  <c r="CM84" i="1" a="1"/>
  <c r="CM84" i="1" s="1"/>
  <c r="CC84" i="1" a="1"/>
  <c r="CC84" i="1" s="1"/>
  <c r="DO84" i="1" a="1"/>
  <c r="DO84" i="1" s="1"/>
  <c r="DC84" i="1" a="1"/>
  <c r="DC84" i="1" s="1"/>
  <c r="CL84" i="1" a="1"/>
  <c r="CL84" i="1" s="1"/>
  <c r="BX84" i="1" a="1"/>
  <c r="BX84" i="1" s="1"/>
  <c r="DN84" i="1" a="1"/>
  <c r="DN84" i="1" s="1"/>
  <c r="DB84" i="1" a="1"/>
  <c r="DB84" i="1" s="1"/>
  <c r="CK84" i="1" a="1"/>
  <c r="CK84" i="1" s="1"/>
  <c r="BW84" i="1" a="1"/>
  <c r="BW84" i="1" s="1"/>
  <c r="DE84" i="1" a="1"/>
  <c r="DE84" i="1" s="1"/>
  <c r="CH84" i="1" a="1"/>
  <c r="CH84" i="1" s="1"/>
  <c r="DV84" i="1" a="1"/>
  <c r="DV84" i="1" s="1"/>
  <c r="DD84" i="1" a="1"/>
  <c r="DD84" i="1" s="1"/>
  <c r="CG84" i="1" a="1"/>
  <c r="CG84" i="1" s="1"/>
  <c r="DS84" i="1" a="1"/>
  <c r="DS84" i="1" s="1"/>
  <c r="CU84" i="1" a="1"/>
  <c r="CU84" i="1" s="1"/>
  <c r="DR84" i="1" a="1"/>
  <c r="DR84" i="1" s="1"/>
  <c r="CT84" i="1" a="1"/>
  <c r="CT84" i="1" s="1"/>
  <c r="CV84" i="1" a="1"/>
  <c r="CV84" i="1" s="1"/>
  <c r="CQ84" i="1" a="1"/>
  <c r="CQ84" i="1" s="1"/>
  <c r="CP84" i="1" a="1"/>
  <c r="CP84" i="1" s="1"/>
  <c r="DM84" i="1" a="1"/>
  <c r="DM84" i="1" s="1"/>
  <c r="BY84" i="1" a="1"/>
  <c r="BY84" i="1" s="1"/>
  <c r="DL84" i="1" a="1"/>
  <c r="DL84" i="1" s="1"/>
  <c r="DG84" i="1" a="1"/>
  <c r="DG84" i="1" s="1"/>
  <c r="DF84" i="1" a="1"/>
  <c r="DF84" i="1" s="1"/>
  <c r="CW84" i="1" a="1"/>
  <c r="CW84" i="1" s="1"/>
  <c r="CF84" i="1" a="1"/>
  <c r="CF84" i="1" s="1"/>
  <c r="CE84" i="1" a="1"/>
  <c r="CE84" i="1" s="1"/>
  <c r="BZ84" i="1" a="1"/>
  <c r="BZ84" i="1" s="1"/>
  <c r="BR85" i="1"/>
  <c r="BB85" i="1"/>
  <c r="AL85" i="1"/>
  <c r="V85" i="1"/>
  <c r="F85" i="1"/>
  <c r="BQ85" i="1"/>
  <c r="BA85" i="1"/>
  <c r="AK85" i="1"/>
  <c r="U85" i="1"/>
  <c r="E85" i="1"/>
  <c r="BP85" i="1"/>
  <c r="AZ85" i="1"/>
  <c r="AJ85" i="1"/>
  <c r="T85" i="1"/>
  <c r="D85" i="1"/>
  <c r="BO85" i="1"/>
  <c r="AY85" i="1"/>
  <c r="AI85" i="1"/>
  <c r="S85" i="1"/>
  <c r="BJ85" i="1"/>
  <c r="AP85" i="1"/>
  <c r="R85" i="1"/>
  <c r="BI85" i="1"/>
  <c r="AO85" i="1"/>
  <c r="Q85" i="1"/>
  <c r="BH85" i="1"/>
  <c r="AN85" i="1"/>
  <c r="P85" i="1"/>
  <c r="BG85" i="1"/>
  <c r="AM85" i="1"/>
  <c r="O85" i="1"/>
  <c r="AT85" i="1"/>
  <c r="N85" i="1"/>
  <c r="AS85" i="1"/>
  <c r="M85" i="1"/>
  <c r="AR85" i="1"/>
  <c r="L85" i="1"/>
  <c r="AQ85" i="1"/>
  <c r="K85" i="1"/>
  <c r="AH85" i="1"/>
  <c r="A85" i="1"/>
  <c r="AG85" i="1"/>
  <c r="AF85" i="1"/>
  <c r="AE85" i="1"/>
  <c r="AX85" i="1"/>
  <c r="AW85" i="1"/>
  <c r="AV85" i="1"/>
  <c r="AU85" i="1"/>
  <c r="AD85" i="1"/>
  <c r="X85" i="1"/>
  <c r="W85" i="1"/>
  <c r="J85" i="1"/>
  <c r="BN85" i="1"/>
  <c r="I85" i="1"/>
  <c r="BM85" i="1"/>
  <c r="H85" i="1"/>
  <c r="DW85" i="1"/>
  <c r="BL85" i="1"/>
  <c r="BK85" i="1"/>
  <c r="BF85" i="1"/>
  <c r="BE85" i="1"/>
  <c r="BS85" i="1" s="1"/>
  <c r="BD85" i="1"/>
  <c r="BC85" i="1"/>
  <c r="AC85" i="1"/>
  <c r="AB85" i="1"/>
  <c r="AA85" i="1"/>
  <c r="Z85" i="1"/>
  <c r="Y85" i="1"/>
  <c r="G85" i="1"/>
  <c r="BT90" i="1"/>
  <c r="BU90" i="1" s="1"/>
  <c r="BS81" i="1"/>
  <c r="BT81" i="1" s="1"/>
  <c r="BU81" i="1" s="1"/>
  <c r="BE88" i="1"/>
  <c r="BS88" i="1" s="1"/>
  <c r="AO88" i="1"/>
  <c r="Y88" i="1"/>
  <c r="I88" i="1"/>
  <c r="BD88" i="1"/>
  <c r="AN88" i="1"/>
  <c r="X88" i="1"/>
  <c r="H88" i="1"/>
  <c r="BC88" i="1"/>
  <c r="AM88" i="1"/>
  <c r="W88" i="1"/>
  <c r="G88" i="1"/>
  <c r="BR88" i="1"/>
  <c r="BB88" i="1"/>
  <c r="AL88" i="1"/>
  <c r="V88" i="1"/>
  <c r="F88" i="1"/>
  <c r="BQ88" i="1"/>
  <c r="AW88" i="1"/>
  <c r="AC88" i="1"/>
  <c r="E88" i="1"/>
  <c r="DW88" i="1"/>
  <c r="BP88" i="1"/>
  <c r="AV88" i="1"/>
  <c r="AB88" i="1"/>
  <c r="D88" i="1"/>
  <c r="BO88" i="1"/>
  <c r="AU88" i="1"/>
  <c r="AA88" i="1"/>
  <c r="BN88" i="1"/>
  <c r="AT88" i="1"/>
  <c r="Z88" i="1"/>
  <c r="A88" i="1"/>
  <c r="BI88" i="1"/>
  <c r="AG88" i="1"/>
  <c r="BH88" i="1"/>
  <c r="AF88" i="1"/>
  <c r="BG88" i="1"/>
  <c r="AE88" i="1"/>
  <c r="BF88" i="1"/>
  <c r="AD88" i="1"/>
  <c r="AS88" i="1"/>
  <c r="M88" i="1"/>
  <c r="AR88" i="1"/>
  <c r="L88" i="1"/>
  <c r="AQ88" i="1"/>
  <c r="K88" i="1"/>
  <c r="AP88" i="1"/>
  <c r="J88" i="1"/>
  <c r="U88" i="1"/>
  <c r="T88" i="1"/>
  <c r="S88" i="1"/>
  <c r="C89" i="1"/>
  <c r="R88" i="1"/>
  <c r="BM88" i="1"/>
  <c r="Q88" i="1"/>
  <c r="BL88" i="1"/>
  <c r="BK88" i="1"/>
  <c r="BJ88" i="1"/>
  <c r="O88" i="1"/>
  <c r="N88" i="1"/>
  <c r="BA88" i="1"/>
  <c r="AZ88" i="1"/>
  <c r="AY88" i="1"/>
  <c r="AX88" i="1"/>
  <c r="AK88" i="1"/>
  <c r="AI88" i="1"/>
  <c r="P88" i="1"/>
  <c r="AJ88" i="1"/>
  <c r="AH88" i="1"/>
  <c r="BT87" i="1"/>
  <c r="DP81" i="1" a="1"/>
  <c r="DP81" i="1" s="1"/>
  <c r="DH81" i="1" a="1"/>
  <c r="DH81" i="1" s="1"/>
  <c r="CZ81" i="1" a="1"/>
  <c r="CZ81" i="1" s="1"/>
  <c r="CR81" i="1" a="1"/>
  <c r="CR81" i="1" s="1"/>
  <c r="CI81" i="1" a="1"/>
  <c r="CI81" i="1" s="1"/>
  <c r="CA81" i="1" a="1"/>
  <c r="CA81" i="1" s="1"/>
  <c r="DO81" i="1" a="1"/>
  <c r="DO81" i="1" s="1"/>
  <c r="DG81" i="1" a="1"/>
  <c r="DG81" i="1" s="1"/>
  <c r="CY81" i="1" a="1"/>
  <c r="CY81" i="1" s="1"/>
  <c r="CQ81" i="1" a="1"/>
  <c r="CQ81" i="1" s="1"/>
  <c r="CH81" i="1" a="1"/>
  <c r="CH81" i="1" s="1"/>
  <c r="BZ81" i="1" a="1"/>
  <c r="BZ81" i="1" s="1"/>
  <c r="DR81" i="1" a="1"/>
  <c r="DR81" i="1" s="1"/>
  <c r="DF81" i="1" a="1"/>
  <c r="DF81" i="1" s="1"/>
  <c r="CV81" i="1" a="1"/>
  <c r="CV81" i="1" s="1"/>
  <c r="CK81" i="1" a="1"/>
  <c r="CK81" i="1" s="1"/>
  <c r="BY81" i="1" a="1"/>
  <c r="BY81" i="1" s="1"/>
  <c r="DQ81" i="1" a="1"/>
  <c r="DQ81" i="1" s="1"/>
  <c r="DE81" i="1" a="1"/>
  <c r="DE81" i="1" s="1"/>
  <c r="CU81" i="1" a="1"/>
  <c r="CU81" i="1" s="1"/>
  <c r="CJ81" i="1" a="1"/>
  <c r="CJ81" i="1" s="1"/>
  <c r="BX81" i="1" a="1"/>
  <c r="BX81" i="1" s="1"/>
  <c r="DV81" i="1" a="1"/>
  <c r="DV81" i="1" s="1"/>
  <c r="DJ81" i="1" a="1"/>
  <c r="DJ81" i="1" s="1"/>
  <c r="CT81" i="1" a="1"/>
  <c r="CT81" i="1" s="1"/>
  <c r="CE81" i="1" a="1"/>
  <c r="CE81" i="1" s="1"/>
  <c r="DU81" i="1" a="1"/>
  <c r="DU81" i="1" s="1"/>
  <c r="DI81" i="1" a="1"/>
  <c r="DI81" i="1" s="1"/>
  <c r="CS81" i="1" a="1"/>
  <c r="CS81" i="1" s="1"/>
  <c r="CD81" i="1" a="1"/>
  <c r="CD81" i="1" s="1"/>
  <c r="DT81" i="1" a="1"/>
  <c r="DT81" i="1" s="1"/>
  <c r="DB81" i="1" a="1"/>
  <c r="DB81" i="1" s="1"/>
  <c r="CG81" i="1" a="1"/>
  <c r="CG81" i="1" s="1"/>
  <c r="DS81" i="1" a="1"/>
  <c r="DS81" i="1" s="1"/>
  <c r="DA81" i="1" a="1"/>
  <c r="DA81" i="1" s="1"/>
  <c r="CF81" i="1" a="1"/>
  <c r="CF81" i="1" s="1"/>
  <c r="DD81" i="1" a="1"/>
  <c r="DD81" i="1" s="1"/>
  <c r="CC81" i="1" a="1"/>
  <c r="CC81" i="1" s="1"/>
  <c r="DC81" i="1" a="1"/>
  <c r="DC81" i="1" s="1"/>
  <c r="CB81" i="1" a="1"/>
  <c r="CB81" i="1" s="1"/>
  <c r="CX81" i="1" a="1"/>
  <c r="CX81" i="1" s="1"/>
  <c r="BW81" i="1" a="1"/>
  <c r="BW81" i="1" s="1"/>
  <c r="CW81" i="1" a="1"/>
  <c r="CW81" i="1" s="1"/>
  <c r="CP81" i="1" a="1"/>
  <c r="CP81" i="1" s="1"/>
  <c r="CO81" i="1" a="1"/>
  <c r="CO81" i="1" s="1"/>
  <c r="DM81" i="1" a="1"/>
  <c r="DM81" i="1" s="1"/>
  <c r="DL81" i="1" a="1"/>
  <c r="DL81" i="1" s="1"/>
  <c r="DK81" i="1" a="1"/>
  <c r="DK81" i="1" s="1"/>
  <c r="CM81" i="1" a="1"/>
  <c r="CM81" i="1" s="1"/>
  <c r="CL81" i="1" a="1"/>
  <c r="CL81" i="1" s="1"/>
  <c r="DN81" i="1" a="1"/>
  <c r="DN81" i="1" s="1"/>
  <c r="DS87" i="1" a="1"/>
  <c r="DS87" i="1" s="1"/>
  <c r="DK87" i="1" a="1"/>
  <c r="DK87" i="1" s="1"/>
  <c r="DC87" i="1" a="1"/>
  <c r="DC87" i="1" s="1"/>
  <c r="CU87" i="1" a="1"/>
  <c r="CU87" i="1" s="1"/>
  <c r="CL87" i="1" a="1"/>
  <c r="CL87" i="1" s="1"/>
  <c r="CD87" i="1" a="1"/>
  <c r="CD87" i="1" s="1"/>
  <c r="DR87" i="1" a="1"/>
  <c r="DR87" i="1" s="1"/>
  <c r="DJ87" i="1" a="1"/>
  <c r="DJ87" i="1" s="1"/>
  <c r="DB87" i="1" a="1"/>
  <c r="DB87" i="1" s="1"/>
  <c r="CT87" i="1" a="1"/>
  <c r="CT87" i="1" s="1"/>
  <c r="CK87" i="1" a="1"/>
  <c r="CK87" i="1" s="1"/>
  <c r="CC87" i="1" a="1"/>
  <c r="CC87" i="1" s="1"/>
  <c r="DO87" i="1" a="1"/>
  <c r="DO87" i="1" s="1"/>
  <c r="DE87" i="1" a="1"/>
  <c r="DE87" i="1" s="1"/>
  <c r="CS87" i="1" a="1"/>
  <c r="CS87" i="1" s="1"/>
  <c r="CH87" i="1" a="1"/>
  <c r="CH87" i="1" s="1"/>
  <c r="BX87" i="1" a="1"/>
  <c r="BX87" i="1" s="1"/>
  <c r="DN87" i="1" a="1"/>
  <c r="DN87" i="1" s="1"/>
  <c r="DD87" i="1" a="1"/>
  <c r="DD87" i="1" s="1"/>
  <c r="CR87" i="1" a="1"/>
  <c r="CR87" i="1" s="1"/>
  <c r="CG87" i="1" a="1"/>
  <c r="CG87" i="1" s="1"/>
  <c r="BW87" i="1" a="1"/>
  <c r="BW87" i="1" s="1"/>
  <c r="DI87" i="1" a="1"/>
  <c r="DI87" i="1" s="1"/>
  <c r="CW87" i="1" a="1"/>
  <c r="CW87" i="1" s="1"/>
  <c r="CF87" i="1" a="1"/>
  <c r="CF87" i="1" s="1"/>
  <c r="DV87" i="1" a="1"/>
  <c r="DV87" i="1" s="1"/>
  <c r="DH87" i="1" a="1"/>
  <c r="DH87" i="1" s="1"/>
  <c r="CV87" i="1" a="1"/>
  <c r="CV87" i="1" s="1"/>
  <c r="CE87" i="1" a="1"/>
  <c r="CE87" i="1" s="1"/>
  <c r="DG87" i="1" a="1"/>
  <c r="DG87" i="1" s="1"/>
  <c r="CO87" i="1" a="1"/>
  <c r="CO87" i="1" s="1"/>
  <c r="DF87" i="1" a="1"/>
  <c r="DF87" i="1" s="1"/>
  <c r="CM87" i="1" a="1"/>
  <c r="CM87" i="1" s="1"/>
  <c r="DM87" i="1" a="1"/>
  <c r="DM87" i="1" s="1"/>
  <c r="CJ87" i="1" a="1"/>
  <c r="CJ87" i="1" s="1"/>
  <c r="DL87" i="1" a="1"/>
  <c r="DL87" i="1" s="1"/>
  <c r="CI87" i="1" a="1"/>
  <c r="CI87" i="1" s="1"/>
  <c r="DA87" i="1" a="1"/>
  <c r="DA87" i="1" s="1"/>
  <c r="CB87" i="1" a="1"/>
  <c r="CB87" i="1" s="1"/>
  <c r="DU87" i="1" a="1"/>
  <c r="DU87" i="1" s="1"/>
  <c r="CP87" i="1" a="1"/>
  <c r="CP87" i="1" s="1"/>
  <c r="DT87" i="1" a="1"/>
  <c r="DT87" i="1" s="1"/>
  <c r="DQ87" i="1" a="1"/>
  <c r="DQ87" i="1" s="1"/>
  <c r="CA87" i="1" a="1"/>
  <c r="CA87" i="1" s="1"/>
  <c r="BY87" i="1" a="1"/>
  <c r="BY87" i="1" s="1"/>
  <c r="DP87" i="1" a="1"/>
  <c r="DP87" i="1" s="1"/>
  <c r="CZ87" i="1" a="1"/>
  <c r="CZ87" i="1" s="1"/>
  <c r="CY87" i="1" a="1"/>
  <c r="CY87" i="1" s="1"/>
  <c r="CX87" i="1" a="1"/>
  <c r="CX87" i="1" s="1"/>
  <c r="CQ87" i="1" a="1"/>
  <c r="CQ87" i="1" s="1"/>
  <c r="BZ87" i="1" a="1"/>
  <c r="BZ87" i="1" s="1"/>
  <c r="BD91" i="1"/>
  <c r="AN91" i="1"/>
  <c r="X91" i="1"/>
  <c r="H91" i="1"/>
  <c r="BR91" i="1"/>
  <c r="BB91" i="1"/>
  <c r="AL91" i="1"/>
  <c r="V91" i="1"/>
  <c r="F91" i="1"/>
  <c r="BQ91" i="1"/>
  <c r="C92" i="1"/>
  <c r="AZ91" i="1"/>
  <c r="AH91" i="1"/>
  <c r="P91" i="1"/>
  <c r="AY91" i="1"/>
  <c r="AG91" i="1"/>
  <c r="O91" i="1"/>
  <c r="DW91" i="1"/>
  <c r="BP91" i="1"/>
  <c r="AX91" i="1"/>
  <c r="AF91" i="1"/>
  <c r="N91" i="1"/>
  <c r="BO91" i="1"/>
  <c r="AW91" i="1"/>
  <c r="AE91" i="1"/>
  <c r="M91" i="1"/>
  <c r="BN91" i="1"/>
  <c r="AR91" i="1"/>
  <c r="T91" i="1"/>
  <c r="BM91" i="1"/>
  <c r="AQ91" i="1"/>
  <c r="S91" i="1"/>
  <c r="BL91" i="1"/>
  <c r="AP91" i="1"/>
  <c r="R91" i="1"/>
  <c r="BK91" i="1"/>
  <c r="AO91" i="1"/>
  <c r="Q91" i="1"/>
  <c r="BF91" i="1"/>
  <c r="Z91" i="1"/>
  <c r="BE91" i="1"/>
  <c r="Y91" i="1"/>
  <c r="BC91" i="1"/>
  <c r="W91" i="1"/>
  <c r="BA91" i="1"/>
  <c r="U91" i="1"/>
  <c r="BJ91" i="1"/>
  <c r="L91" i="1"/>
  <c r="BI91" i="1"/>
  <c r="K91" i="1"/>
  <c r="BH91" i="1"/>
  <c r="J91" i="1"/>
  <c r="BG91" i="1"/>
  <c r="I91" i="1"/>
  <c r="G91" i="1"/>
  <c r="E91" i="1"/>
  <c r="D91" i="1"/>
  <c r="AV91" i="1"/>
  <c r="A91" i="1"/>
  <c r="AU91" i="1"/>
  <c r="AD91" i="1"/>
  <c r="AC91" i="1"/>
  <c r="AB91" i="1"/>
  <c r="AA91" i="1"/>
  <c r="AT91" i="1"/>
  <c r="AS91" i="1"/>
  <c r="AM91" i="1"/>
  <c r="AK91" i="1"/>
  <c r="AJ91" i="1"/>
  <c r="AI91" i="1"/>
  <c r="BK98" i="1" l="1"/>
  <c r="AU98" i="1"/>
  <c r="AE98" i="1"/>
  <c r="O98" i="1"/>
  <c r="BJ98" i="1"/>
  <c r="AT98" i="1"/>
  <c r="AD98" i="1"/>
  <c r="N98" i="1"/>
  <c r="BI98" i="1"/>
  <c r="AS98" i="1"/>
  <c r="AC98" i="1"/>
  <c r="M98" i="1"/>
  <c r="BH98" i="1"/>
  <c r="AR98" i="1"/>
  <c r="AB98" i="1"/>
  <c r="L98" i="1"/>
  <c r="BG98" i="1"/>
  <c r="AQ98" i="1"/>
  <c r="AA98" i="1"/>
  <c r="K98" i="1"/>
  <c r="BE98" i="1"/>
  <c r="AJ98" i="1"/>
  <c r="J98" i="1"/>
  <c r="DW98" i="1"/>
  <c r="BD98" i="1"/>
  <c r="AI98" i="1"/>
  <c r="I98" i="1"/>
  <c r="BC98" i="1"/>
  <c r="AH98" i="1"/>
  <c r="H98" i="1"/>
  <c r="BB98" i="1"/>
  <c r="AG98" i="1"/>
  <c r="G98" i="1"/>
  <c r="BR98" i="1"/>
  <c r="AN98" i="1"/>
  <c r="F98" i="1"/>
  <c r="BQ98" i="1"/>
  <c r="AM98" i="1"/>
  <c r="E98" i="1"/>
  <c r="BP98" i="1"/>
  <c r="AL98" i="1"/>
  <c r="D98" i="1"/>
  <c r="BO98" i="1"/>
  <c r="AK98" i="1"/>
  <c r="BN98" i="1"/>
  <c r="W98" i="1"/>
  <c r="C102" i="1"/>
  <c r="BM98" i="1"/>
  <c r="V98" i="1"/>
  <c r="BL98" i="1"/>
  <c r="U98" i="1"/>
  <c r="BF98" i="1"/>
  <c r="T98" i="1"/>
  <c r="BA98" i="1"/>
  <c r="A98" i="1"/>
  <c r="AZ98" i="1"/>
  <c r="AY98" i="1"/>
  <c r="AX98" i="1"/>
  <c r="AW98" i="1"/>
  <c r="AV98" i="1"/>
  <c r="AP98" i="1"/>
  <c r="AO98" i="1"/>
  <c r="AF98" i="1"/>
  <c r="P98" i="1"/>
  <c r="Z98" i="1"/>
  <c r="Y98" i="1"/>
  <c r="X98" i="1"/>
  <c r="S98" i="1"/>
  <c r="R98" i="1"/>
  <c r="Q98" i="1"/>
  <c r="C99" i="1"/>
  <c r="BF89" i="1"/>
  <c r="AP89" i="1"/>
  <c r="Z89" i="1"/>
  <c r="J89" i="1"/>
  <c r="BE89" i="1"/>
  <c r="BS89" i="1" s="1"/>
  <c r="AO89" i="1"/>
  <c r="Y89" i="1"/>
  <c r="I89" i="1"/>
  <c r="BD89" i="1"/>
  <c r="AN89" i="1"/>
  <c r="X89" i="1"/>
  <c r="H89" i="1"/>
  <c r="BC89" i="1"/>
  <c r="AM89" i="1"/>
  <c r="W89" i="1"/>
  <c r="G89" i="1"/>
  <c r="BN89" i="1"/>
  <c r="AT89" i="1"/>
  <c r="V89" i="1"/>
  <c r="A89" i="1"/>
  <c r="BM89" i="1"/>
  <c r="AS89" i="1"/>
  <c r="U89" i="1"/>
  <c r="BL89" i="1"/>
  <c r="AR89" i="1"/>
  <c r="T89" i="1"/>
  <c r="BK89" i="1"/>
  <c r="AQ89" i="1"/>
  <c r="S89" i="1"/>
  <c r="BB89" i="1"/>
  <c r="AD89" i="1"/>
  <c r="BA89" i="1"/>
  <c r="AC89" i="1"/>
  <c r="AZ89" i="1"/>
  <c r="AB89" i="1"/>
  <c r="AY89" i="1"/>
  <c r="AA89" i="1"/>
  <c r="BJ89" i="1"/>
  <c r="R89" i="1"/>
  <c r="BI89" i="1"/>
  <c r="Q89" i="1"/>
  <c r="DW89" i="1"/>
  <c r="BH89" i="1"/>
  <c r="P89" i="1"/>
  <c r="BG89" i="1"/>
  <c r="O89" i="1"/>
  <c r="AX89" i="1"/>
  <c r="F89" i="1"/>
  <c r="AW89" i="1"/>
  <c r="E89" i="1"/>
  <c r="AV89" i="1"/>
  <c r="D89" i="1"/>
  <c r="AU89" i="1"/>
  <c r="AL89" i="1"/>
  <c r="BO89" i="1"/>
  <c r="AK89" i="1"/>
  <c r="AJ89" i="1"/>
  <c r="AI89" i="1"/>
  <c r="AH89" i="1"/>
  <c r="BP89" i="1"/>
  <c r="AG89" i="1"/>
  <c r="AF89" i="1"/>
  <c r="AE89" i="1"/>
  <c r="N89" i="1"/>
  <c r="M89" i="1"/>
  <c r="L89" i="1"/>
  <c r="K89" i="1"/>
  <c r="BQ89" i="1"/>
  <c r="BR89" i="1"/>
  <c r="BT89" i="1" s="1"/>
  <c r="BU88" i="1"/>
  <c r="DS88" i="1" a="1"/>
  <c r="DS88" i="1" s="1"/>
  <c r="DK88" i="1" a="1"/>
  <c r="DK88" i="1" s="1"/>
  <c r="DC88" i="1" a="1"/>
  <c r="DC88" i="1" s="1"/>
  <c r="CU88" i="1" a="1"/>
  <c r="CU88" i="1" s="1"/>
  <c r="CL88" i="1" a="1"/>
  <c r="CL88" i="1" s="1"/>
  <c r="CD88" i="1" a="1"/>
  <c r="CD88" i="1" s="1"/>
  <c r="DR88" i="1" a="1"/>
  <c r="DR88" i="1" s="1"/>
  <c r="DJ88" i="1" a="1"/>
  <c r="DJ88" i="1" s="1"/>
  <c r="DB88" i="1" a="1"/>
  <c r="DB88" i="1" s="1"/>
  <c r="CT88" i="1" a="1"/>
  <c r="CT88" i="1" s="1"/>
  <c r="CK88" i="1" a="1"/>
  <c r="CK88" i="1" s="1"/>
  <c r="CC88" i="1" a="1"/>
  <c r="CC88" i="1" s="1"/>
  <c r="DM88" i="1" a="1"/>
  <c r="DM88" i="1" s="1"/>
  <c r="DA88" i="1" a="1"/>
  <c r="DA88" i="1" s="1"/>
  <c r="CQ88" i="1" a="1"/>
  <c r="CQ88" i="1" s="1"/>
  <c r="CF88" i="1" a="1"/>
  <c r="CF88" i="1" s="1"/>
  <c r="DV88" i="1" a="1"/>
  <c r="DV88" i="1" s="1"/>
  <c r="DL88" i="1" a="1"/>
  <c r="DL88" i="1" s="1"/>
  <c r="CZ88" i="1" a="1"/>
  <c r="CZ88" i="1" s="1"/>
  <c r="CP88" i="1" a="1"/>
  <c r="CP88" i="1" s="1"/>
  <c r="CE88" i="1" a="1"/>
  <c r="CE88" i="1" s="1"/>
  <c r="DU88" i="1" a="1"/>
  <c r="DU88" i="1" s="1"/>
  <c r="DG88" i="1" a="1"/>
  <c r="DG88" i="1" s="1"/>
  <c r="CS88" i="1" a="1"/>
  <c r="CS88" i="1" s="1"/>
  <c r="CB88" i="1" a="1"/>
  <c r="CB88" i="1" s="1"/>
  <c r="DT88" i="1" a="1"/>
  <c r="DT88" i="1" s="1"/>
  <c r="DF88" i="1" a="1"/>
  <c r="DF88" i="1" s="1"/>
  <c r="CR88" i="1" a="1"/>
  <c r="CR88" i="1" s="1"/>
  <c r="CA88" i="1" a="1"/>
  <c r="CA88" i="1" s="1"/>
  <c r="DO88" i="1" a="1"/>
  <c r="DO88" i="1" s="1"/>
  <c r="CW88" i="1" a="1"/>
  <c r="CW88" i="1" s="1"/>
  <c r="BZ88" i="1" a="1"/>
  <c r="BZ88" i="1" s="1"/>
  <c r="DN88" i="1" a="1"/>
  <c r="DN88" i="1" s="1"/>
  <c r="CV88" i="1" a="1"/>
  <c r="CV88" i="1" s="1"/>
  <c r="BY88" i="1" a="1"/>
  <c r="BY88" i="1" s="1"/>
  <c r="CY88" i="1" a="1"/>
  <c r="CY88" i="1" s="1"/>
  <c r="BX88" i="1" a="1"/>
  <c r="BX88" i="1" s="1"/>
  <c r="CX88" i="1" a="1"/>
  <c r="CX88" i="1" s="1"/>
  <c r="BW88" i="1" a="1"/>
  <c r="BW88" i="1" s="1"/>
  <c r="DI88" i="1" a="1"/>
  <c r="DI88" i="1" s="1"/>
  <c r="CG88" i="1" a="1"/>
  <c r="CG88" i="1" s="1"/>
  <c r="DH88" i="1" a="1"/>
  <c r="DH88" i="1" s="1"/>
  <c r="DE88" i="1" a="1"/>
  <c r="DE88" i="1" s="1"/>
  <c r="CM88" i="1" a="1"/>
  <c r="CM88" i="1" s="1"/>
  <c r="CJ88" i="1" a="1"/>
  <c r="CJ88" i="1" s="1"/>
  <c r="CI88" i="1" a="1"/>
  <c r="CI88" i="1" s="1"/>
  <c r="CH88" i="1" a="1"/>
  <c r="CH88" i="1" s="1"/>
  <c r="DQ88" i="1" a="1"/>
  <c r="DQ88" i="1" s="1"/>
  <c r="DP88" i="1" a="1"/>
  <c r="DP88" i="1" s="1"/>
  <c r="DD88" i="1" a="1"/>
  <c r="DD88" i="1" s="1"/>
  <c r="CO88" i="1" a="1"/>
  <c r="CO88" i="1" s="1"/>
  <c r="BT88" i="1"/>
  <c r="DR85" i="1" a="1"/>
  <c r="DR85" i="1" s="1"/>
  <c r="DJ85" i="1" a="1"/>
  <c r="DJ85" i="1" s="1"/>
  <c r="DB85" i="1" a="1"/>
  <c r="DB85" i="1" s="1"/>
  <c r="CT85" i="1" a="1"/>
  <c r="CT85" i="1" s="1"/>
  <c r="CK85" i="1" a="1"/>
  <c r="CK85" i="1" s="1"/>
  <c r="CC85" i="1" a="1"/>
  <c r="CC85" i="1" s="1"/>
  <c r="DQ85" i="1" a="1"/>
  <c r="DQ85" i="1" s="1"/>
  <c r="DI85" i="1" a="1"/>
  <c r="DI85" i="1" s="1"/>
  <c r="DA85" i="1" a="1"/>
  <c r="DA85" i="1" s="1"/>
  <c r="CS85" i="1" a="1"/>
  <c r="CS85" i="1" s="1"/>
  <c r="CJ85" i="1" a="1"/>
  <c r="CJ85" i="1" s="1"/>
  <c r="CB85" i="1" a="1"/>
  <c r="CB85" i="1" s="1"/>
  <c r="DT85" i="1" a="1"/>
  <c r="DT85" i="1" s="1"/>
  <c r="DH85" i="1" a="1"/>
  <c r="DH85" i="1" s="1"/>
  <c r="CX85" i="1" a="1"/>
  <c r="CX85" i="1" s="1"/>
  <c r="CM85" i="1" a="1"/>
  <c r="CM85" i="1" s="1"/>
  <c r="CA85" i="1" a="1"/>
  <c r="CA85" i="1" s="1"/>
  <c r="DS85" i="1" a="1"/>
  <c r="DS85" i="1" s="1"/>
  <c r="DG85" i="1" a="1"/>
  <c r="DG85" i="1" s="1"/>
  <c r="CW85" i="1" a="1"/>
  <c r="CW85" i="1" s="1"/>
  <c r="CL85" i="1" a="1"/>
  <c r="CL85" i="1" s="1"/>
  <c r="BZ85" i="1" a="1"/>
  <c r="BZ85" i="1" s="1"/>
  <c r="DN85" i="1" a="1"/>
  <c r="DN85" i="1" s="1"/>
  <c r="CZ85" i="1" a="1"/>
  <c r="CZ85" i="1" s="1"/>
  <c r="CI85" i="1" a="1"/>
  <c r="CI85" i="1" s="1"/>
  <c r="BW85" i="1" a="1"/>
  <c r="BW85" i="1" s="1"/>
  <c r="DM85" i="1" a="1"/>
  <c r="DM85" i="1" s="1"/>
  <c r="CY85" i="1" a="1"/>
  <c r="CY85" i="1" s="1"/>
  <c r="CH85" i="1" a="1"/>
  <c r="CH85" i="1" s="1"/>
  <c r="DL85" i="1" a="1"/>
  <c r="DL85" i="1" s="1"/>
  <c r="CR85" i="1" a="1"/>
  <c r="CR85" i="1" s="1"/>
  <c r="BY85" i="1" a="1"/>
  <c r="BY85" i="1" s="1"/>
  <c r="DK85" i="1" a="1"/>
  <c r="DK85" i="1" s="1"/>
  <c r="CQ85" i="1" a="1"/>
  <c r="CQ85" i="1" s="1"/>
  <c r="BX85" i="1" a="1"/>
  <c r="BX85" i="1" s="1"/>
  <c r="DF85" i="1" a="1"/>
  <c r="DF85" i="1" s="1"/>
  <c r="CG85" i="1" a="1"/>
  <c r="CG85" i="1" s="1"/>
  <c r="DE85" i="1" a="1"/>
  <c r="DE85" i="1" s="1"/>
  <c r="CF85" i="1" a="1"/>
  <c r="CF85" i="1" s="1"/>
  <c r="DD85" i="1" a="1"/>
  <c r="DD85" i="1" s="1"/>
  <c r="CE85" i="1" a="1"/>
  <c r="CE85" i="1" s="1"/>
  <c r="DP85" i="1" a="1"/>
  <c r="DP85" i="1" s="1"/>
  <c r="CD85" i="1" a="1"/>
  <c r="CD85" i="1" s="1"/>
  <c r="DO85" i="1" a="1"/>
  <c r="DO85" i="1" s="1"/>
  <c r="CP85" i="1" a="1"/>
  <c r="CP85" i="1" s="1"/>
  <c r="CO85" i="1" a="1"/>
  <c r="CO85" i="1" s="1"/>
  <c r="DV85" i="1" a="1"/>
  <c r="DV85" i="1" s="1"/>
  <c r="DU85" i="1" a="1"/>
  <c r="DU85" i="1" s="1"/>
  <c r="DC85" i="1" a="1"/>
  <c r="DC85" i="1" s="1"/>
  <c r="CU85" i="1" a="1"/>
  <c r="CU85" i="1" s="1"/>
  <c r="CV85" i="1" a="1"/>
  <c r="CV85" i="1" s="1"/>
  <c r="BT85" i="1"/>
  <c r="DT94" i="1" a="1"/>
  <c r="DT94" i="1" s="1"/>
  <c r="DL94" i="1" a="1"/>
  <c r="DL94" i="1" s="1"/>
  <c r="DD94" i="1" a="1"/>
  <c r="DD94" i="1" s="1"/>
  <c r="CV94" i="1" a="1"/>
  <c r="CV94" i="1" s="1"/>
  <c r="CM94" i="1" a="1"/>
  <c r="CM94" i="1" s="1"/>
  <c r="CE94" i="1" a="1"/>
  <c r="CE94" i="1" s="1"/>
  <c r="BW94" i="1" a="1"/>
  <c r="BW94" i="1" s="1"/>
  <c r="DS94" i="1" a="1"/>
  <c r="DS94" i="1" s="1"/>
  <c r="DK94" i="1" a="1"/>
  <c r="DK94" i="1" s="1"/>
  <c r="DC94" i="1" a="1"/>
  <c r="DC94" i="1" s="1"/>
  <c r="CU94" i="1" a="1"/>
  <c r="CU94" i="1" s="1"/>
  <c r="CL94" i="1" a="1"/>
  <c r="CL94" i="1" s="1"/>
  <c r="CD94" i="1" a="1"/>
  <c r="CD94" i="1" s="1"/>
  <c r="DM94" i="1" a="1"/>
  <c r="DM94" i="1" s="1"/>
  <c r="CZ94" i="1" a="1"/>
  <c r="CZ94" i="1" s="1"/>
  <c r="DJ94" i="1" a="1"/>
  <c r="DJ94" i="1" s="1"/>
  <c r="CO94" i="1" a="1"/>
  <c r="CO94" i="1" s="1"/>
  <c r="CA94" i="1" a="1"/>
  <c r="CA94" i="1" s="1"/>
  <c r="CY94" i="1" a="1"/>
  <c r="CY94" i="1" s="1"/>
  <c r="CK94" i="1" a="1"/>
  <c r="CK94" i="1" s="1"/>
  <c r="DV94" i="1" a="1"/>
  <c r="DV94" i="1" s="1"/>
  <c r="DI94" i="1" a="1"/>
  <c r="DI94" i="1" s="1"/>
  <c r="BZ94" i="1" a="1"/>
  <c r="BZ94" i="1" s="1"/>
  <c r="CF94" i="1" a="1"/>
  <c r="CF94" i="1" s="1"/>
  <c r="DH94" i="1" a="1"/>
  <c r="DH94" i="1" s="1"/>
  <c r="CS94" i="1" a="1"/>
  <c r="CS94" i="1" s="1"/>
  <c r="CC94" i="1" a="1"/>
  <c r="CC94" i="1" s="1"/>
  <c r="DG94" i="1" a="1"/>
  <c r="DG94" i="1" s="1"/>
  <c r="CR94" i="1" a="1"/>
  <c r="CR94" i="1" s="1"/>
  <c r="CB94" i="1" a="1"/>
  <c r="CB94" i="1" s="1"/>
  <c r="CJ94" i="1" a="1"/>
  <c r="CJ94" i="1" s="1"/>
  <c r="DF94" i="1" a="1"/>
  <c r="DF94" i="1" s="1"/>
  <c r="CI94" i="1" a="1"/>
  <c r="CI94" i="1" s="1"/>
  <c r="DE94" i="1" a="1"/>
  <c r="DE94" i="1" s="1"/>
  <c r="DO94" i="1" a="1"/>
  <c r="DO94" i="1" s="1"/>
  <c r="CH94" i="1" a="1"/>
  <c r="CH94" i="1" s="1"/>
  <c r="DN94" i="1" a="1"/>
  <c r="DN94" i="1" s="1"/>
  <c r="CG94" i="1" a="1"/>
  <c r="CG94" i="1" s="1"/>
  <c r="DQ94" i="1" a="1"/>
  <c r="DQ94" i="1" s="1"/>
  <c r="BY94" i="1" a="1"/>
  <c r="BY94" i="1" s="1"/>
  <c r="DP94" i="1" a="1"/>
  <c r="DP94" i="1" s="1"/>
  <c r="BX94" i="1" a="1"/>
  <c r="BX94" i="1" s="1"/>
  <c r="DB94" i="1" a="1"/>
  <c r="DB94" i="1" s="1"/>
  <c r="DA94" i="1" a="1"/>
  <c r="DA94" i="1" s="1"/>
  <c r="CX94" i="1" a="1"/>
  <c r="CX94" i="1" s="1"/>
  <c r="DU94" i="1" a="1"/>
  <c r="DU94" i="1" s="1"/>
  <c r="DR94" i="1" a="1"/>
  <c r="DR94" i="1" s="1"/>
  <c r="CW94" i="1" a="1"/>
  <c r="CW94" i="1" s="1"/>
  <c r="CT94" i="1" a="1"/>
  <c r="CT94" i="1" s="1"/>
  <c r="CQ94" i="1" a="1"/>
  <c r="CQ94" i="1" s="1"/>
  <c r="CP94" i="1" a="1"/>
  <c r="CP94" i="1" s="1"/>
  <c r="BH95" i="1"/>
  <c r="AR95" i="1"/>
  <c r="AB95" i="1"/>
  <c r="L95" i="1"/>
  <c r="BG95" i="1"/>
  <c r="AQ95" i="1"/>
  <c r="AA95" i="1"/>
  <c r="K95" i="1"/>
  <c r="BF95" i="1"/>
  <c r="AP95" i="1"/>
  <c r="Z95" i="1"/>
  <c r="J95" i="1"/>
  <c r="BE95" i="1"/>
  <c r="AO95" i="1"/>
  <c r="Y95" i="1"/>
  <c r="I95" i="1"/>
  <c r="BD95" i="1"/>
  <c r="AN95" i="1"/>
  <c r="X95" i="1"/>
  <c r="H95" i="1"/>
  <c r="BR95" i="1"/>
  <c r="AW95" i="1"/>
  <c r="W95" i="1"/>
  <c r="A95" i="1"/>
  <c r="BQ95" i="1"/>
  <c r="AV95" i="1"/>
  <c r="V95" i="1"/>
  <c r="BP95" i="1"/>
  <c r="AU95" i="1"/>
  <c r="U95" i="1"/>
  <c r="BO95" i="1"/>
  <c r="AT95" i="1"/>
  <c r="T95" i="1"/>
  <c r="BN95" i="1"/>
  <c r="AJ95" i="1"/>
  <c r="F95" i="1"/>
  <c r="BM95" i="1"/>
  <c r="AI95" i="1"/>
  <c r="E95" i="1"/>
  <c r="BL95" i="1"/>
  <c r="AH95" i="1"/>
  <c r="D95" i="1"/>
  <c r="BK95" i="1"/>
  <c r="AG95" i="1"/>
  <c r="BA95" i="1"/>
  <c r="O95" i="1"/>
  <c r="DW95" i="1"/>
  <c r="AZ95" i="1"/>
  <c r="N95" i="1"/>
  <c r="AY95" i="1"/>
  <c r="M95" i="1"/>
  <c r="AX95" i="1"/>
  <c r="G95" i="1"/>
  <c r="AF95" i="1"/>
  <c r="AE95" i="1"/>
  <c r="AD95" i="1"/>
  <c r="AC95" i="1"/>
  <c r="BJ95" i="1"/>
  <c r="BI95" i="1"/>
  <c r="BC95" i="1"/>
  <c r="BB95" i="1"/>
  <c r="AS95" i="1"/>
  <c r="C96" i="1"/>
  <c r="AK95" i="1"/>
  <c r="S95" i="1"/>
  <c r="R95" i="1"/>
  <c r="Q95" i="1"/>
  <c r="P95" i="1"/>
  <c r="AM95" i="1"/>
  <c r="AL95" i="1"/>
  <c r="DS91" i="1" a="1"/>
  <c r="DS91" i="1" s="1"/>
  <c r="DK91" i="1" a="1"/>
  <c r="DK91" i="1" s="1"/>
  <c r="DC91" i="1" a="1"/>
  <c r="DC91" i="1" s="1"/>
  <c r="CU91" i="1" a="1"/>
  <c r="CU91" i="1" s="1"/>
  <c r="CL91" i="1" a="1"/>
  <c r="CL91" i="1" s="1"/>
  <c r="CD91" i="1" a="1"/>
  <c r="CD91" i="1" s="1"/>
  <c r="DR91" i="1" a="1"/>
  <c r="DR91" i="1" s="1"/>
  <c r="DJ91" i="1" a="1"/>
  <c r="DJ91" i="1" s="1"/>
  <c r="DB91" i="1" a="1"/>
  <c r="DB91" i="1" s="1"/>
  <c r="CT91" i="1" a="1"/>
  <c r="CT91" i="1" s="1"/>
  <c r="CK91" i="1" a="1"/>
  <c r="CK91" i="1" s="1"/>
  <c r="CC91" i="1" a="1"/>
  <c r="CC91" i="1" s="1"/>
  <c r="DN91" i="1" a="1"/>
  <c r="DN91" i="1" s="1"/>
  <c r="DD91" i="1" a="1"/>
  <c r="DD91" i="1" s="1"/>
  <c r="CR91" i="1" a="1"/>
  <c r="CR91" i="1" s="1"/>
  <c r="CG91" i="1" a="1"/>
  <c r="CG91" i="1" s="1"/>
  <c r="BW91" i="1" a="1"/>
  <c r="BW91" i="1" s="1"/>
  <c r="DM91" i="1" a="1"/>
  <c r="DM91" i="1" s="1"/>
  <c r="DA91" i="1" a="1"/>
  <c r="DA91" i="1" s="1"/>
  <c r="CQ91" i="1" a="1"/>
  <c r="CQ91" i="1" s="1"/>
  <c r="CF91" i="1" a="1"/>
  <c r="CF91" i="1" s="1"/>
  <c r="DL91" i="1" a="1"/>
  <c r="DL91" i="1" s="1"/>
  <c r="CX91" i="1" a="1"/>
  <c r="CX91" i="1" s="1"/>
  <c r="CI91" i="1" a="1"/>
  <c r="CI91" i="1" s="1"/>
  <c r="DI91" i="1" a="1"/>
  <c r="DI91" i="1" s="1"/>
  <c r="CW91" i="1" a="1"/>
  <c r="CW91" i="1" s="1"/>
  <c r="CH91" i="1" a="1"/>
  <c r="CH91" i="1" s="1"/>
  <c r="DT91" i="1" a="1"/>
  <c r="DT91" i="1" s="1"/>
  <c r="CZ91" i="1" a="1"/>
  <c r="CZ91" i="1" s="1"/>
  <c r="CE91" i="1" a="1"/>
  <c r="CE91" i="1" s="1"/>
  <c r="DQ91" i="1" a="1"/>
  <c r="DQ91" i="1" s="1"/>
  <c r="CY91" i="1" a="1"/>
  <c r="CY91" i="1" s="1"/>
  <c r="CB91" i="1" a="1"/>
  <c r="CB91" i="1" s="1"/>
  <c r="DP91" i="1" a="1"/>
  <c r="DP91" i="1" s="1"/>
  <c r="CP91" i="1" a="1"/>
  <c r="CP91" i="1" s="1"/>
  <c r="DO91" i="1" a="1"/>
  <c r="DO91" i="1" s="1"/>
  <c r="CO91" i="1" a="1"/>
  <c r="CO91" i="1" s="1"/>
  <c r="DF91" i="1" a="1"/>
  <c r="DF91" i="1" s="1"/>
  <c r="BY91" i="1" a="1"/>
  <c r="BY91" i="1" s="1"/>
  <c r="DE91" i="1" a="1"/>
  <c r="DE91" i="1" s="1"/>
  <c r="BX91" i="1" a="1"/>
  <c r="BX91" i="1" s="1"/>
  <c r="CV91" i="1" a="1"/>
  <c r="CV91" i="1" s="1"/>
  <c r="CA91" i="1" a="1"/>
  <c r="CA91" i="1" s="1"/>
  <c r="DV91" i="1" a="1"/>
  <c r="DV91" i="1" s="1"/>
  <c r="BZ91" i="1" a="1"/>
  <c r="BZ91" i="1" s="1"/>
  <c r="DU91" i="1" a="1"/>
  <c r="DU91" i="1" s="1"/>
  <c r="DG91" i="1" a="1"/>
  <c r="DG91" i="1" s="1"/>
  <c r="CS91" i="1" a="1"/>
  <c r="CS91" i="1" s="1"/>
  <c r="CM91" i="1" a="1"/>
  <c r="CM91" i="1" s="1"/>
  <c r="CJ91" i="1" a="1"/>
  <c r="CJ91" i="1" s="1"/>
  <c r="DH91" i="1" a="1"/>
  <c r="DH91" i="1" s="1"/>
  <c r="BE92" i="1"/>
  <c r="AO92" i="1"/>
  <c r="Y92" i="1"/>
  <c r="I92" i="1"/>
  <c r="BD92" i="1"/>
  <c r="AN92" i="1"/>
  <c r="X92" i="1"/>
  <c r="H92" i="1"/>
  <c r="BC92" i="1"/>
  <c r="AM92" i="1"/>
  <c r="W92" i="1"/>
  <c r="G92" i="1"/>
  <c r="BR92" i="1"/>
  <c r="BB92" i="1"/>
  <c r="AL92" i="1"/>
  <c r="V92" i="1"/>
  <c r="F92" i="1"/>
  <c r="BO92" i="1"/>
  <c r="AU92" i="1"/>
  <c r="AA92" i="1"/>
  <c r="BN92" i="1"/>
  <c r="AT92" i="1"/>
  <c r="Z92" i="1"/>
  <c r="A92" i="1"/>
  <c r="BM92" i="1"/>
  <c r="AS92" i="1"/>
  <c r="U92" i="1"/>
  <c r="BL92" i="1"/>
  <c r="AR92" i="1"/>
  <c r="T92" i="1"/>
  <c r="BK92" i="1"/>
  <c r="AI92" i="1"/>
  <c r="K92" i="1"/>
  <c r="C93" i="1"/>
  <c r="BJ92" i="1"/>
  <c r="AH92" i="1"/>
  <c r="J92" i="1"/>
  <c r="BI92" i="1"/>
  <c r="AG92" i="1"/>
  <c r="E92" i="1"/>
  <c r="DW92" i="1"/>
  <c r="BH92" i="1"/>
  <c r="AF92" i="1"/>
  <c r="D92" i="1"/>
  <c r="AE92" i="1"/>
  <c r="AD92" i="1"/>
  <c r="BQ92" i="1"/>
  <c r="AC92" i="1"/>
  <c r="BP92" i="1"/>
  <c r="AB92" i="1"/>
  <c r="AQ92" i="1"/>
  <c r="AP92" i="1"/>
  <c r="AK92" i="1"/>
  <c r="AJ92" i="1"/>
  <c r="S92" i="1"/>
  <c r="R92" i="1"/>
  <c r="Q92" i="1"/>
  <c r="P92" i="1"/>
  <c r="O92" i="1"/>
  <c r="L92" i="1"/>
  <c r="BG92" i="1"/>
  <c r="BF92" i="1"/>
  <c r="BA92" i="1"/>
  <c r="AZ92" i="1"/>
  <c r="AX92" i="1"/>
  <c r="AV92" i="1"/>
  <c r="N92" i="1"/>
  <c r="M92" i="1"/>
  <c r="AY92" i="1"/>
  <c r="AW92" i="1"/>
  <c r="BU85" i="1"/>
  <c r="BS91" i="1"/>
  <c r="BT91" i="1" s="1"/>
  <c r="BU91" i="1" s="1"/>
  <c r="BI96" i="1" l="1"/>
  <c r="AS96" i="1"/>
  <c r="AC96" i="1"/>
  <c r="M96" i="1"/>
  <c r="BH96" i="1"/>
  <c r="AR96" i="1"/>
  <c r="AB96" i="1"/>
  <c r="L96" i="1"/>
  <c r="BG96" i="1"/>
  <c r="AQ96" i="1"/>
  <c r="AA96" i="1"/>
  <c r="K96" i="1"/>
  <c r="BF96" i="1"/>
  <c r="AP96" i="1"/>
  <c r="Z96" i="1"/>
  <c r="J96" i="1"/>
  <c r="BE96" i="1"/>
  <c r="AO96" i="1"/>
  <c r="Y96" i="1"/>
  <c r="I96" i="1"/>
  <c r="BJ96" i="1"/>
  <c r="AJ96" i="1"/>
  <c r="O96" i="1"/>
  <c r="DW96" i="1"/>
  <c r="BD96" i="1"/>
  <c r="AI96" i="1"/>
  <c r="N96" i="1"/>
  <c r="BC96" i="1"/>
  <c r="AH96" i="1"/>
  <c r="H96" i="1"/>
  <c r="BB96" i="1"/>
  <c r="AG96" i="1"/>
  <c r="G96" i="1"/>
  <c r="AW96" i="1"/>
  <c r="S96" i="1"/>
  <c r="AV96" i="1"/>
  <c r="R96" i="1"/>
  <c r="AU96" i="1"/>
  <c r="Q96" i="1"/>
  <c r="AT96" i="1"/>
  <c r="P96" i="1"/>
  <c r="AN96" i="1"/>
  <c r="A96" i="1"/>
  <c r="AM96" i="1"/>
  <c r="AL96" i="1"/>
  <c r="AK96" i="1"/>
  <c r="BR96" i="1"/>
  <c r="W96" i="1"/>
  <c r="BQ96" i="1"/>
  <c r="V96" i="1"/>
  <c r="BP96" i="1"/>
  <c r="U96" i="1"/>
  <c r="BO96" i="1"/>
  <c r="T96" i="1"/>
  <c r="AF96" i="1"/>
  <c r="AE96" i="1"/>
  <c r="AD96" i="1"/>
  <c r="C97" i="1"/>
  <c r="X96" i="1"/>
  <c r="F96" i="1"/>
  <c r="E96" i="1"/>
  <c r="D96" i="1"/>
  <c r="AY96" i="1"/>
  <c r="AX96" i="1"/>
  <c r="BN96" i="1"/>
  <c r="BM96" i="1"/>
  <c r="BL96" i="1"/>
  <c r="BK96" i="1"/>
  <c r="BA96" i="1"/>
  <c r="AZ96" i="1"/>
  <c r="BE99" i="1"/>
  <c r="AO99" i="1"/>
  <c r="Y99" i="1"/>
  <c r="I99" i="1"/>
  <c r="BC99" i="1"/>
  <c r="AM99" i="1"/>
  <c r="W99" i="1"/>
  <c r="BR99" i="1"/>
  <c r="BB99" i="1"/>
  <c r="AL99" i="1"/>
  <c r="V99" i="1"/>
  <c r="BF99" i="1"/>
  <c r="AJ99" i="1"/>
  <c r="Q99" i="1"/>
  <c r="BD99" i="1"/>
  <c r="AI99" i="1"/>
  <c r="P99" i="1"/>
  <c r="BA99" i="1"/>
  <c r="AH99" i="1"/>
  <c r="O99" i="1"/>
  <c r="AZ99" i="1"/>
  <c r="AG99" i="1"/>
  <c r="N99" i="1"/>
  <c r="AY99" i="1"/>
  <c r="AF99" i="1"/>
  <c r="M99" i="1"/>
  <c r="BG99" i="1"/>
  <c r="AA99" i="1"/>
  <c r="A99" i="1"/>
  <c r="AX99" i="1"/>
  <c r="Z99" i="1"/>
  <c r="AW99" i="1"/>
  <c r="X99" i="1"/>
  <c r="AV99" i="1"/>
  <c r="U99" i="1"/>
  <c r="C100" i="1"/>
  <c r="BK99" i="1"/>
  <c r="T99" i="1"/>
  <c r="BJ99" i="1"/>
  <c r="S99" i="1"/>
  <c r="DW99" i="1"/>
  <c r="BI99" i="1"/>
  <c r="R99" i="1"/>
  <c r="BH99" i="1"/>
  <c r="L99" i="1"/>
  <c r="BO99" i="1"/>
  <c r="K99" i="1"/>
  <c r="BN99" i="1"/>
  <c r="J99" i="1"/>
  <c r="BM99" i="1"/>
  <c r="H99" i="1"/>
  <c r="BL99" i="1"/>
  <c r="G99" i="1"/>
  <c r="AU99" i="1"/>
  <c r="AT99" i="1"/>
  <c r="AS99" i="1"/>
  <c r="AR99" i="1"/>
  <c r="AE99" i="1"/>
  <c r="AD99" i="1"/>
  <c r="AC99" i="1"/>
  <c r="AB99" i="1"/>
  <c r="F99" i="1"/>
  <c r="AP99" i="1"/>
  <c r="AN99" i="1"/>
  <c r="AK99" i="1"/>
  <c r="E99" i="1"/>
  <c r="D99" i="1"/>
  <c r="BP99" i="1"/>
  <c r="BQ99" i="1"/>
  <c r="AQ99" i="1"/>
  <c r="DV98" i="1" a="1"/>
  <c r="DV98" i="1" s="1"/>
  <c r="DN98" i="1" a="1"/>
  <c r="DN98" i="1" s="1"/>
  <c r="DF98" i="1" a="1"/>
  <c r="DF98" i="1" s="1"/>
  <c r="CX98" i="1" a="1"/>
  <c r="CX98" i="1" s="1"/>
  <c r="CP98" i="1" a="1"/>
  <c r="CP98" i="1" s="1"/>
  <c r="CG98" i="1" a="1"/>
  <c r="CG98" i="1" s="1"/>
  <c r="BY98" i="1" a="1"/>
  <c r="BY98" i="1" s="1"/>
  <c r="DU98" i="1" a="1"/>
  <c r="DU98" i="1" s="1"/>
  <c r="DM98" i="1" a="1"/>
  <c r="DM98" i="1" s="1"/>
  <c r="DE98" i="1" a="1"/>
  <c r="DE98" i="1" s="1"/>
  <c r="CW98" i="1" a="1"/>
  <c r="CW98" i="1" s="1"/>
  <c r="CO98" i="1" a="1"/>
  <c r="CO98" i="1" s="1"/>
  <c r="CF98" i="1" a="1"/>
  <c r="CF98" i="1" s="1"/>
  <c r="BX98" i="1" a="1"/>
  <c r="BX98" i="1" s="1"/>
  <c r="CZ98" i="1" a="1"/>
  <c r="CZ98" i="1" s="1"/>
  <c r="CL98" i="1" a="1"/>
  <c r="CL98" i="1" s="1"/>
  <c r="DJ98" i="1" a="1"/>
  <c r="DJ98" i="1" s="1"/>
  <c r="CA98" i="1" a="1"/>
  <c r="CA98" i="1" s="1"/>
  <c r="DT98" i="1" a="1"/>
  <c r="DT98" i="1" s="1"/>
  <c r="CY98" i="1" a="1"/>
  <c r="CY98" i="1" s="1"/>
  <c r="CK98" i="1" a="1"/>
  <c r="CK98" i="1" s="1"/>
  <c r="DI98" i="1" a="1"/>
  <c r="DI98" i="1" s="1"/>
  <c r="CV98" i="1" a="1"/>
  <c r="CV98" i="1" s="1"/>
  <c r="BZ98" i="1" a="1"/>
  <c r="BZ98" i="1" s="1"/>
  <c r="DQ98" i="1" a="1"/>
  <c r="DQ98" i="1" s="1"/>
  <c r="DB98" i="1" a="1"/>
  <c r="DB98" i="1" s="1"/>
  <c r="CJ98" i="1" a="1"/>
  <c r="CJ98" i="1" s="1"/>
  <c r="DP98" i="1" a="1"/>
  <c r="DP98" i="1" s="1"/>
  <c r="DA98" i="1" a="1"/>
  <c r="DA98" i="1" s="1"/>
  <c r="CI98" i="1" a="1"/>
  <c r="CI98" i="1" s="1"/>
  <c r="DH98" i="1" a="1"/>
  <c r="DH98" i="1" s="1"/>
  <c r="CQ98" i="1" a="1"/>
  <c r="CQ98" i="1" s="1"/>
  <c r="CM98" i="1" a="1"/>
  <c r="CM98" i="1" s="1"/>
  <c r="DG98" i="1" a="1"/>
  <c r="DG98" i="1" s="1"/>
  <c r="DS98" i="1" a="1"/>
  <c r="DS98" i="1" s="1"/>
  <c r="CS98" i="1" a="1"/>
  <c r="CS98" i="1" s="1"/>
  <c r="DR98" i="1" a="1"/>
  <c r="DR98" i="1" s="1"/>
  <c r="CR98" i="1" a="1"/>
  <c r="CR98" i="1" s="1"/>
  <c r="CU98" i="1" a="1"/>
  <c r="CU98" i="1" s="1"/>
  <c r="CT98" i="1" a="1"/>
  <c r="CT98" i="1" s="1"/>
  <c r="CH98" i="1" a="1"/>
  <c r="CH98" i="1" s="1"/>
  <c r="CD98" i="1" a="1"/>
  <c r="CD98" i="1" s="1"/>
  <c r="CC98" i="1" a="1"/>
  <c r="CC98" i="1" s="1"/>
  <c r="CB98" i="1" a="1"/>
  <c r="CB98" i="1" s="1"/>
  <c r="DD98" i="1" a="1"/>
  <c r="DD98" i="1" s="1"/>
  <c r="DC98" i="1" a="1"/>
  <c r="DC98" i="1" s="1"/>
  <c r="CE98" i="1" a="1"/>
  <c r="CE98" i="1" s="1"/>
  <c r="BW98" i="1" a="1"/>
  <c r="BW98" i="1" s="1"/>
  <c r="DK98" i="1" a="1"/>
  <c r="DK98" i="1" s="1"/>
  <c r="DO98" i="1" a="1"/>
  <c r="DO98" i="1" s="1"/>
  <c r="DL98" i="1" a="1"/>
  <c r="DL98" i="1" s="1"/>
  <c r="BS95" i="1"/>
  <c r="C103" i="1"/>
  <c r="BH102" i="1"/>
  <c r="AR102" i="1"/>
  <c r="AB102" i="1"/>
  <c r="L102" i="1"/>
  <c r="BG102" i="1"/>
  <c r="AQ102" i="1"/>
  <c r="AA102" i="1"/>
  <c r="K102" i="1"/>
  <c r="C106" i="1"/>
  <c r="DW102" i="1"/>
  <c r="BF102" i="1"/>
  <c r="AP102" i="1"/>
  <c r="Z102" i="1"/>
  <c r="J102" i="1"/>
  <c r="BE102" i="1"/>
  <c r="AO102" i="1"/>
  <c r="Y102" i="1"/>
  <c r="I102" i="1"/>
  <c r="AZ102" i="1"/>
  <c r="AF102" i="1"/>
  <c r="H102" i="1"/>
  <c r="AY102" i="1"/>
  <c r="AE102" i="1"/>
  <c r="G102" i="1"/>
  <c r="BR102" i="1"/>
  <c r="AX102" i="1"/>
  <c r="AD102" i="1"/>
  <c r="F102" i="1"/>
  <c r="BQ102" i="1"/>
  <c r="AW102" i="1"/>
  <c r="AC102" i="1"/>
  <c r="E102" i="1"/>
  <c r="BP102" i="1"/>
  <c r="AV102" i="1"/>
  <c r="X102" i="1"/>
  <c r="D102" i="1"/>
  <c r="BC102" i="1"/>
  <c r="U102" i="1"/>
  <c r="BB102" i="1"/>
  <c r="T102" i="1"/>
  <c r="BA102" i="1"/>
  <c r="S102" i="1"/>
  <c r="AU102" i="1"/>
  <c r="R102" i="1"/>
  <c r="AL102" i="1"/>
  <c r="AK102" i="1"/>
  <c r="AJ102" i="1"/>
  <c r="AI102" i="1"/>
  <c r="BK102" i="1"/>
  <c r="M102" i="1"/>
  <c r="BJ102" i="1"/>
  <c r="BI102" i="1"/>
  <c r="A102" i="1"/>
  <c r="BD102" i="1"/>
  <c r="Q102" i="1"/>
  <c r="P102" i="1"/>
  <c r="O102" i="1"/>
  <c r="N102" i="1"/>
  <c r="AT102" i="1"/>
  <c r="AS102" i="1"/>
  <c r="AN102" i="1"/>
  <c r="AM102" i="1"/>
  <c r="AH102" i="1"/>
  <c r="BL102" i="1"/>
  <c r="AG102" i="1"/>
  <c r="W102" i="1"/>
  <c r="V102" i="1"/>
  <c r="BO102" i="1"/>
  <c r="BN102" i="1"/>
  <c r="BM102" i="1"/>
  <c r="DT89" i="1" a="1"/>
  <c r="DT89" i="1" s="1"/>
  <c r="DL89" i="1" a="1"/>
  <c r="DL89" i="1" s="1"/>
  <c r="DD89" i="1" a="1"/>
  <c r="DD89" i="1" s="1"/>
  <c r="CV89" i="1" a="1"/>
  <c r="CV89" i="1" s="1"/>
  <c r="CM89" i="1" a="1"/>
  <c r="CM89" i="1" s="1"/>
  <c r="CE89" i="1" a="1"/>
  <c r="CE89" i="1" s="1"/>
  <c r="BW89" i="1" a="1"/>
  <c r="BW89" i="1" s="1"/>
  <c r="DS89" i="1" a="1"/>
  <c r="DS89" i="1" s="1"/>
  <c r="DK89" i="1" a="1"/>
  <c r="DK89" i="1" s="1"/>
  <c r="DC89" i="1" a="1"/>
  <c r="DC89" i="1" s="1"/>
  <c r="CU89" i="1" a="1"/>
  <c r="CU89" i="1" s="1"/>
  <c r="CL89" i="1" a="1"/>
  <c r="CL89" i="1" s="1"/>
  <c r="CD89" i="1" a="1"/>
  <c r="CD89" i="1" s="1"/>
  <c r="DV89" i="1" a="1"/>
  <c r="DV89" i="1" s="1"/>
  <c r="DJ89" i="1" a="1"/>
  <c r="DJ89" i="1" s="1"/>
  <c r="CZ89" i="1" a="1"/>
  <c r="CZ89" i="1" s="1"/>
  <c r="CP89" i="1" a="1"/>
  <c r="CP89" i="1" s="1"/>
  <c r="CC89" i="1" a="1"/>
  <c r="CC89" i="1" s="1"/>
  <c r="DU89" i="1" a="1"/>
  <c r="DU89" i="1" s="1"/>
  <c r="DI89" i="1" a="1"/>
  <c r="DI89" i="1" s="1"/>
  <c r="CY89" i="1" a="1"/>
  <c r="CY89" i="1" s="1"/>
  <c r="CO89" i="1" a="1"/>
  <c r="CO89" i="1" s="1"/>
  <c r="CB89" i="1" a="1"/>
  <c r="CB89" i="1" s="1"/>
  <c r="DR89" i="1" a="1"/>
  <c r="DR89" i="1" s="1"/>
  <c r="DF89" i="1" a="1"/>
  <c r="DF89" i="1" s="1"/>
  <c r="CR89" i="1" a="1"/>
  <c r="CR89" i="1" s="1"/>
  <c r="CA89" i="1" a="1"/>
  <c r="CA89" i="1" s="1"/>
  <c r="DQ89" i="1" a="1"/>
  <c r="DQ89" i="1" s="1"/>
  <c r="DE89" i="1" a="1"/>
  <c r="DE89" i="1" s="1"/>
  <c r="CQ89" i="1" a="1"/>
  <c r="CQ89" i="1" s="1"/>
  <c r="BZ89" i="1" a="1"/>
  <c r="BZ89" i="1" s="1"/>
  <c r="DB89" i="1" a="1"/>
  <c r="DB89" i="1" s="1"/>
  <c r="CI89" i="1" a="1"/>
  <c r="CI89" i="1" s="1"/>
  <c r="DA89" i="1" a="1"/>
  <c r="DA89" i="1" s="1"/>
  <c r="CH89" i="1" a="1"/>
  <c r="CH89" i="1" s="1"/>
  <c r="DN89" i="1" a="1"/>
  <c r="DN89" i="1" s="1"/>
  <c r="CK89" i="1" a="1"/>
  <c r="CK89" i="1" s="1"/>
  <c r="DM89" i="1" a="1"/>
  <c r="DM89" i="1" s="1"/>
  <c r="CJ89" i="1" a="1"/>
  <c r="CJ89" i="1" s="1"/>
  <c r="DH89" i="1" a="1"/>
  <c r="DH89" i="1" s="1"/>
  <c r="CG89" i="1" a="1"/>
  <c r="CG89" i="1" s="1"/>
  <c r="CW89" i="1" a="1"/>
  <c r="CW89" i="1" s="1"/>
  <c r="CT89" i="1" a="1"/>
  <c r="CT89" i="1" s="1"/>
  <c r="CS89" i="1" a="1"/>
  <c r="CS89" i="1" s="1"/>
  <c r="DG89" i="1" a="1"/>
  <c r="DG89" i="1" s="1"/>
  <c r="CX89" i="1" a="1"/>
  <c r="CX89" i="1" s="1"/>
  <c r="DP89" i="1" a="1"/>
  <c r="DP89" i="1" s="1"/>
  <c r="DO89" i="1" a="1"/>
  <c r="DO89" i="1" s="1"/>
  <c r="CF89" i="1" a="1"/>
  <c r="CF89" i="1" s="1"/>
  <c r="BX89" i="1" a="1"/>
  <c r="BX89" i="1" s="1"/>
  <c r="BY89" i="1" a="1"/>
  <c r="BY89" i="1" s="1"/>
  <c r="BS98" i="1"/>
  <c r="BT98" i="1" s="1"/>
  <c r="BU98" i="1" s="1"/>
  <c r="BT95" i="1"/>
  <c r="BU95" i="1" s="1"/>
  <c r="BU89" i="1"/>
  <c r="BF93" i="1"/>
  <c r="AP93" i="1"/>
  <c r="Z93" i="1"/>
  <c r="J93" i="1"/>
  <c r="BE93" i="1"/>
  <c r="AO93" i="1"/>
  <c r="Y93" i="1"/>
  <c r="I93" i="1"/>
  <c r="BD93" i="1"/>
  <c r="AN93" i="1"/>
  <c r="X93" i="1"/>
  <c r="H93" i="1"/>
  <c r="BC93" i="1"/>
  <c r="AM93" i="1"/>
  <c r="W93" i="1"/>
  <c r="G93" i="1"/>
  <c r="BL93" i="1"/>
  <c r="AR93" i="1"/>
  <c r="T93" i="1"/>
  <c r="BK93" i="1"/>
  <c r="AQ93" i="1"/>
  <c r="S93" i="1"/>
  <c r="BJ93" i="1"/>
  <c r="AL93" i="1"/>
  <c r="R93" i="1"/>
  <c r="BI93" i="1"/>
  <c r="AK93" i="1"/>
  <c r="Q93" i="1"/>
  <c r="DW93" i="1"/>
  <c r="BH93" i="1"/>
  <c r="AF93" i="1"/>
  <c r="D93" i="1"/>
  <c r="BG93" i="1"/>
  <c r="AE93" i="1"/>
  <c r="BB93" i="1"/>
  <c r="AD93" i="1"/>
  <c r="A93" i="1"/>
  <c r="BA93" i="1"/>
  <c r="AC93" i="1"/>
  <c r="AV93" i="1"/>
  <c r="L93" i="1"/>
  <c r="AU93" i="1"/>
  <c r="K93" i="1"/>
  <c r="AT93" i="1"/>
  <c r="F93" i="1"/>
  <c r="AS93" i="1"/>
  <c r="E93" i="1"/>
  <c r="BP93" i="1"/>
  <c r="P93" i="1"/>
  <c r="BO93" i="1"/>
  <c r="O93" i="1"/>
  <c r="BN93" i="1"/>
  <c r="N93" i="1"/>
  <c r="BM93" i="1"/>
  <c r="M93" i="1"/>
  <c r="AZ93" i="1"/>
  <c r="AY93" i="1"/>
  <c r="AX93" i="1"/>
  <c r="AW93" i="1"/>
  <c r="AJ93" i="1"/>
  <c r="AB93" i="1"/>
  <c r="AA93" i="1"/>
  <c r="V93" i="1"/>
  <c r="U93" i="1"/>
  <c r="BR93" i="1"/>
  <c r="BQ93" i="1"/>
  <c r="AI93" i="1"/>
  <c r="AH93" i="1"/>
  <c r="AG93" i="1"/>
  <c r="BS92" i="1"/>
  <c r="BT92" i="1" s="1"/>
  <c r="BU92" i="1" s="1"/>
  <c r="DS92" i="1" a="1"/>
  <c r="DS92" i="1" s="1"/>
  <c r="DK92" i="1" a="1"/>
  <c r="DK92" i="1" s="1"/>
  <c r="DC92" i="1" a="1"/>
  <c r="DC92" i="1" s="1"/>
  <c r="CU92" i="1" a="1"/>
  <c r="CU92" i="1" s="1"/>
  <c r="CL92" i="1" a="1"/>
  <c r="CL92" i="1" s="1"/>
  <c r="CD92" i="1" a="1"/>
  <c r="CD92" i="1" s="1"/>
  <c r="DR92" i="1" a="1"/>
  <c r="DR92" i="1" s="1"/>
  <c r="DJ92" i="1" a="1"/>
  <c r="DJ92" i="1" s="1"/>
  <c r="DB92" i="1" a="1"/>
  <c r="DB92" i="1" s="1"/>
  <c r="CT92" i="1" a="1"/>
  <c r="CT92" i="1" s="1"/>
  <c r="CK92" i="1" a="1"/>
  <c r="CK92" i="1" s="1"/>
  <c r="CC92" i="1" a="1"/>
  <c r="CC92" i="1" s="1"/>
  <c r="DV92" i="1" a="1"/>
  <c r="DV92" i="1" s="1"/>
  <c r="DL92" i="1" a="1"/>
  <c r="DL92" i="1" s="1"/>
  <c r="CZ92" i="1" a="1"/>
  <c r="CZ92" i="1" s="1"/>
  <c r="CP92" i="1" a="1"/>
  <c r="CP92" i="1" s="1"/>
  <c r="CE92" i="1" a="1"/>
  <c r="CE92" i="1" s="1"/>
  <c r="DU92" i="1" a="1"/>
  <c r="DU92" i="1" s="1"/>
  <c r="DI92" i="1" a="1"/>
  <c r="DI92" i="1" s="1"/>
  <c r="CY92" i="1" a="1"/>
  <c r="CY92" i="1" s="1"/>
  <c r="CO92" i="1" a="1"/>
  <c r="CO92" i="1" s="1"/>
  <c r="CB92" i="1" a="1"/>
  <c r="CB92" i="1" s="1"/>
  <c r="DH92" i="1" a="1"/>
  <c r="DH92" i="1" s="1"/>
  <c r="CV92" i="1" a="1"/>
  <c r="CV92" i="1" s="1"/>
  <c r="CG92" i="1" a="1"/>
  <c r="CG92" i="1" s="1"/>
  <c r="DG92" i="1" a="1"/>
  <c r="DG92" i="1" s="1"/>
  <c r="CS92" i="1" a="1"/>
  <c r="CS92" i="1" s="1"/>
  <c r="CF92" i="1" a="1"/>
  <c r="CF92" i="1" s="1"/>
  <c r="DF92" i="1" a="1"/>
  <c r="DF92" i="1" s="1"/>
  <c r="CM92" i="1" a="1"/>
  <c r="CM92" i="1" s="1"/>
  <c r="BW92" i="1" a="1"/>
  <c r="BW92" i="1" s="1"/>
  <c r="DE92" i="1" a="1"/>
  <c r="DE92" i="1" s="1"/>
  <c r="CJ92" i="1" a="1"/>
  <c r="CJ92" i="1" s="1"/>
  <c r="DD92" i="1" a="1"/>
  <c r="DD92" i="1" s="1"/>
  <c r="CA92" i="1" a="1"/>
  <c r="CA92" i="1" s="1"/>
  <c r="DA92" i="1" a="1"/>
  <c r="DA92" i="1" s="1"/>
  <c r="BZ92" i="1" a="1"/>
  <c r="BZ92" i="1" s="1"/>
  <c r="DP92" i="1" a="1"/>
  <c r="DP92" i="1" s="1"/>
  <c r="CI92" i="1" a="1"/>
  <c r="CI92" i="1" s="1"/>
  <c r="DO92" i="1" a="1"/>
  <c r="DO92" i="1" s="1"/>
  <c r="CH92" i="1" a="1"/>
  <c r="CH92" i="1" s="1"/>
  <c r="CR92" i="1" a="1"/>
  <c r="CR92" i="1" s="1"/>
  <c r="CQ92" i="1" a="1"/>
  <c r="CQ92" i="1" s="1"/>
  <c r="BY92" i="1" a="1"/>
  <c r="BY92" i="1" s="1"/>
  <c r="CX92" i="1" a="1"/>
  <c r="CX92" i="1" s="1"/>
  <c r="CW92" i="1" a="1"/>
  <c r="CW92" i="1" s="1"/>
  <c r="BX92" i="1" a="1"/>
  <c r="BX92" i="1" s="1"/>
  <c r="DT92" i="1" a="1"/>
  <c r="DT92" i="1" s="1"/>
  <c r="DQ92" i="1" a="1"/>
  <c r="DQ92" i="1" s="1"/>
  <c r="DN92" i="1" a="1"/>
  <c r="DN92" i="1" s="1"/>
  <c r="DM92" i="1" a="1"/>
  <c r="DM92" i="1" s="1"/>
  <c r="DU95" i="1" a="1"/>
  <c r="DU95" i="1" s="1"/>
  <c r="DM95" i="1" a="1"/>
  <c r="DM95" i="1" s="1"/>
  <c r="DE95" i="1" a="1"/>
  <c r="DE95" i="1" s="1"/>
  <c r="CW95" i="1" a="1"/>
  <c r="CW95" i="1" s="1"/>
  <c r="CO95" i="1" a="1"/>
  <c r="CO95" i="1" s="1"/>
  <c r="CF95" i="1" a="1"/>
  <c r="CF95" i="1" s="1"/>
  <c r="BX95" i="1" a="1"/>
  <c r="BX95" i="1" s="1"/>
  <c r="DT95" i="1" a="1"/>
  <c r="DT95" i="1" s="1"/>
  <c r="DL95" i="1" a="1"/>
  <c r="DL95" i="1" s="1"/>
  <c r="DD95" i="1" a="1"/>
  <c r="DD95" i="1" s="1"/>
  <c r="CV95" i="1" a="1"/>
  <c r="CV95" i="1" s="1"/>
  <c r="CM95" i="1" a="1"/>
  <c r="CM95" i="1" s="1"/>
  <c r="CE95" i="1" a="1"/>
  <c r="CE95" i="1" s="1"/>
  <c r="BW95" i="1" a="1"/>
  <c r="BW95" i="1" s="1"/>
  <c r="DS95" i="1" a="1"/>
  <c r="DS95" i="1" s="1"/>
  <c r="DK95" i="1" a="1"/>
  <c r="DK95" i="1" s="1"/>
  <c r="DC95" i="1" a="1"/>
  <c r="DC95" i="1" s="1"/>
  <c r="CU95" i="1" a="1"/>
  <c r="CU95" i="1" s="1"/>
  <c r="CL95" i="1" a="1"/>
  <c r="CL95" i="1" s="1"/>
  <c r="CD95" i="1" a="1"/>
  <c r="CD95" i="1" s="1"/>
  <c r="DQ95" i="1" a="1"/>
  <c r="DQ95" i="1" s="1"/>
  <c r="CH95" i="1" a="1"/>
  <c r="CH95" i="1" s="1"/>
  <c r="DF95" i="1" a="1"/>
  <c r="DF95" i="1" s="1"/>
  <c r="CS95" i="1" a="1"/>
  <c r="CS95" i="1" s="1"/>
  <c r="DP95" i="1" a="1"/>
  <c r="DP95" i="1" s="1"/>
  <c r="CG95" i="1" a="1"/>
  <c r="CG95" i="1" s="1"/>
  <c r="CR95" i="1" a="1"/>
  <c r="CR95" i="1" s="1"/>
  <c r="DO95" i="1" a="1"/>
  <c r="DO95" i="1" s="1"/>
  <c r="CZ95" i="1" a="1"/>
  <c r="CZ95" i="1" s="1"/>
  <c r="CJ95" i="1" a="1"/>
  <c r="CJ95" i="1" s="1"/>
  <c r="DN95" i="1" a="1"/>
  <c r="DN95" i="1" s="1"/>
  <c r="CY95" i="1" a="1"/>
  <c r="CY95" i="1" s="1"/>
  <c r="CI95" i="1" a="1"/>
  <c r="CI95" i="1" s="1"/>
  <c r="DB95" i="1" a="1"/>
  <c r="DB95" i="1" s="1"/>
  <c r="CC95" i="1" a="1"/>
  <c r="CC95" i="1" s="1"/>
  <c r="DA95" i="1" a="1"/>
  <c r="DA95" i="1" s="1"/>
  <c r="DV95" i="1" a="1"/>
  <c r="DV95" i="1" s="1"/>
  <c r="CB95" i="1" a="1"/>
  <c r="CB95" i="1" s="1"/>
  <c r="DH95" i="1" a="1"/>
  <c r="DH95" i="1" s="1"/>
  <c r="CA95" i="1" a="1"/>
  <c r="CA95" i="1" s="1"/>
  <c r="DG95" i="1" a="1"/>
  <c r="DG95" i="1" s="1"/>
  <c r="BZ95" i="1" a="1"/>
  <c r="BZ95" i="1" s="1"/>
  <c r="CX95" i="1" a="1"/>
  <c r="CX95" i="1" s="1"/>
  <c r="CT95" i="1" a="1"/>
  <c r="CT95" i="1" s="1"/>
  <c r="CK95" i="1" a="1"/>
  <c r="CK95" i="1" s="1"/>
  <c r="BY95" i="1" a="1"/>
  <c r="BY95" i="1" s="1"/>
  <c r="DR95" i="1" a="1"/>
  <c r="DR95" i="1" s="1"/>
  <c r="DJ95" i="1" a="1"/>
  <c r="DJ95" i="1" s="1"/>
  <c r="DI95" i="1" a="1"/>
  <c r="DI95" i="1" s="1"/>
  <c r="CP95" i="1" a="1"/>
  <c r="CP95" i="1" s="1"/>
  <c r="CQ95" i="1" a="1"/>
  <c r="CQ95" i="1" s="1"/>
  <c r="BI106" i="1" l="1"/>
  <c r="AS106" i="1"/>
  <c r="AC106" i="1"/>
  <c r="M106" i="1"/>
  <c r="BH106" i="1"/>
  <c r="AR106" i="1"/>
  <c r="AB106" i="1"/>
  <c r="L106" i="1"/>
  <c r="BG106" i="1"/>
  <c r="AQ106" i="1"/>
  <c r="AA106" i="1"/>
  <c r="K106" i="1"/>
  <c r="BF106" i="1"/>
  <c r="AP106" i="1"/>
  <c r="Z106" i="1"/>
  <c r="J106" i="1"/>
  <c r="BQ106" i="1"/>
  <c r="AW106" i="1"/>
  <c r="Y106" i="1"/>
  <c r="E106" i="1"/>
  <c r="DW106" i="1"/>
  <c r="BP106" i="1"/>
  <c r="AV106" i="1"/>
  <c r="X106" i="1"/>
  <c r="D106" i="1"/>
  <c r="BO106" i="1"/>
  <c r="AU106" i="1"/>
  <c r="W106" i="1"/>
  <c r="BN106" i="1"/>
  <c r="AT106" i="1"/>
  <c r="V106" i="1"/>
  <c r="A106" i="1"/>
  <c r="BM106" i="1"/>
  <c r="AO106" i="1"/>
  <c r="U106" i="1"/>
  <c r="AM106" i="1"/>
  <c r="N106" i="1"/>
  <c r="AL106" i="1"/>
  <c r="I106" i="1"/>
  <c r="AK106" i="1"/>
  <c r="H106" i="1"/>
  <c r="BR106" i="1"/>
  <c r="AJ106" i="1"/>
  <c r="G106" i="1"/>
  <c r="BL106" i="1"/>
  <c r="AI106" i="1"/>
  <c r="F106" i="1"/>
  <c r="BJ106" i="1"/>
  <c r="S106" i="1"/>
  <c r="BE106" i="1"/>
  <c r="R106" i="1"/>
  <c r="BD106" i="1"/>
  <c r="Q106" i="1"/>
  <c r="BC106" i="1"/>
  <c r="P106" i="1"/>
  <c r="AF106" i="1"/>
  <c r="AE106" i="1"/>
  <c r="AD106" i="1"/>
  <c r="T106" i="1"/>
  <c r="C110" i="1"/>
  <c r="O106" i="1"/>
  <c r="C107" i="1"/>
  <c r="BB106" i="1"/>
  <c r="BA106" i="1"/>
  <c r="AZ106" i="1"/>
  <c r="AY106" i="1"/>
  <c r="AX106" i="1"/>
  <c r="AH106" i="1"/>
  <c r="AG106" i="1"/>
  <c r="BK106" i="1"/>
  <c r="AN106" i="1"/>
  <c r="DU96" i="1" a="1"/>
  <c r="DU96" i="1" s="1"/>
  <c r="DM96" i="1" a="1"/>
  <c r="DM96" i="1" s="1"/>
  <c r="DE96" i="1" a="1"/>
  <c r="DE96" i="1" s="1"/>
  <c r="CW96" i="1" a="1"/>
  <c r="CW96" i="1" s="1"/>
  <c r="CO96" i="1" a="1"/>
  <c r="CO96" i="1" s="1"/>
  <c r="CF96" i="1" a="1"/>
  <c r="CF96" i="1" s="1"/>
  <c r="BX96" i="1" a="1"/>
  <c r="BX96" i="1" s="1"/>
  <c r="DT96" i="1" a="1"/>
  <c r="DT96" i="1" s="1"/>
  <c r="DL96" i="1" a="1"/>
  <c r="DL96" i="1" s="1"/>
  <c r="DD96" i="1" a="1"/>
  <c r="DD96" i="1" s="1"/>
  <c r="CV96" i="1" a="1"/>
  <c r="CV96" i="1" s="1"/>
  <c r="CM96" i="1" a="1"/>
  <c r="CM96" i="1" s="1"/>
  <c r="CE96" i="1" a="1"/>
  <c r="CE96" i="1" s="1"/>
  <c r="BW96" i="1" a="1"/>
  <c r="BW96" i="1" s="1"/>
  <c r="CZ96" i="1" a="1"/>
  <c r="CZ96" i="1" s="1"/>
  <c r="CL96" i="1" a="1"/>
  <c r="CL96" i="1" s="1"/>
  <c r="DJ96" i="1" a="1"/>
  <c r="DJ96" i="1" s="1"/>
  <c r="CA96" i="1" a="1"/>
  <c r="CA96" i="1" s="1"/>
  <c r="CY96" i="1" a="1"/>
  <c r="CY96" i="1" s="1"/>
  <c r="CK96" i="1" a="1"/>
  <c r="CK96" i="1" s="1"/>
  <c r="DV96" i="1" a="1"/>
  <c r="DV96" i="1" s="1"/>
  <c r="DI96" i="1" a="1"/>
  <c r="DI96" i="1" s="1"/>
  <c r="BZ96" i="1" a="1"/>
  <c r="BZ96" i="1" s="1"/>
  <c r="DS96" i="1" a="1"/>
  <c r="DS96" i="1" s="1"/>
  <c r="DF96" i="1" a="1"/>
  <c r="DF96" i="1" s="1"/>
  <c r="CQ96" i="1" a="1"/>
  <c r="CQ96" i="1" s="1"/>
  <c r="BY96" i="1" a="1"/>
  <c r="BY96" i="1" s="1"/>
  <c r="DR96" i="1" a="1"/>
  <c r="DR96" i="1" s="1"/>
  <c r="DC96" i="1" a="1"/>
  <c r="DC96" i="1" s="1"/>
  <c r="CP96" i="1" a="1"/>
  <c r="CP96" i="1" s="1"/>
  <c r="DQ96" i="1" a="1"/>
  <c r="DQ96" i="1" s="1"/>
  <c r="CX96" i="1" a="1"/>
  <c r="CX96" i="1" s="1"/>
  <c r="CU96" i="1" a="1"/>
  <c r="CU96" i="1" s="1"/>
  <c r="CC96" i="1" a="1"/>
  <c r="CC96" i="1" s="1"/>
  <c r="DP96" i="1" a="1"/>
  <c r="DP96" i="1" s="1"/>
  <c r="CT96" i="1" a="1"/>
  <c r="CT96" i="1" s="1"/>
  <c r="CB96" i="1" a="1"/>
  <c r="CB96" i="1" s="1"/>
  <c r="DB96" i="1" a="1"/>
  <c r="DB96" i="1" s="1"/>
  <c r="DA96" i="1" a="1"/>
  <c r="DA96" i="1" s="1"/>
  <c r="CJ96" i="1" a="1"/>
  <c r="CJ96" i="1" s="1"/>
  <c r="CI96" i="1" a="1"/>
  <c r="CI96" i="1" s="1"/>
  <c r="DO96" i="1" a="1"/>
  <c r="DO96" i="1" s="1"/>
  <c r="CH96" i="1" a="1"/>
  <c r="CH96" i="1" s="1"/>
  <c r="DG96" i="1" a="1"/>
  <c r="DG96" i="1" s="1"/>
  <c r="CS96" i="1" a="1"/>
  <c r="CS96" i="1" s="1"/>
  <c r="CR96" i="1" a="1"/>
  <c r="CR96" i="1" s="1"/>
  <c r="DN96" i="1" a="1"/>
  <c r="DN96" i="1" s="1"/>
  <c r="DK96" i="1" a="1"/>
  <c r="DK96" i="1" s="1"/>
  <c r="DH96" i="1" a="1"/>
  <c r="DH96" i="1" s="1"/>
  <c r="CG96" i="1" a="1"/>
  <c r="CG96" i="1" s="1"/>
  <c r="CD96" i="1" a="1"/>
  <c r="CD96" i="1" s="1"/>
  <c r="DT93" i="1" a="1"/>
  <c r="DT93" i="1" s="1"/>
  <c r="DL93" i="1" a="1"/>
  <c r="DL93" i="1" s="1"/>
  <c r="DD93" i="1" a="1"/>
  <c r="DD93" i="1" s="1"/>
  <c r="CV93" i="1" a="1"/>
  <c r="CV93" i="1" s="1"/>
  <c r="CM93" i="1" a="1"/>
  <c r="CM93" i="1" s="1"/>
  <c r="CE93" i="1" a="1"/>
  <c r="CE93" i="1" s="1"/>
  <c r="BW93" i="1" a="1"/>
  <c r="BW93" i="1" s="1"/>
  <c r="DS93" i="1" a="1"/>
  <c r="DS93" i="1" s="1"/>
  <c r="DK93" i="1" a="1"/>
  <c r="DK93" i="1" s="1"/>
  <c r="DC93" i="1" a="1"/>
  <c r="DC93" i="1" s="1"/>
  <c r="CU93" i="1" a="1"/>
  <c r="CU93" i="1" s="1"/>
  <c r="CL93" i="1" a="1"/>
  <c r="CL93" i="1" s="1"/>
  <c r="CD93" i="1" a="1"/>
  <c r="CD93" i="1" s="1"/>
  <c r="DU93" i="1" a="1"/>
  <c r="DU93" i="1" s="1"/>
  <c r="DI93" i="1" a="1"/>
  <c r="DI93" i="1" s="1"/>
  <c r="CY93" i="1" a="1"/>
  <c r="CY93" i="1" s="1"/>
  <c r="CO93" i="1" a="1"/>
  <c r="CO93" i="1" s="1"/>
  <c r="CB93" i="1" a="1"/>
  <c r="CB93" i="1" s="1"/>
  <c r="DR93" i="1" a="1"/>
  <c r="DR93" i="1" s="1"/>
  <c r="DH93" i="1" a="1"/>
  <c r="DH93" i="1" s="1"/>
  <c r="CX93" i="1" a="1"/>
  <c r="CX93" i="1" s="1"/>
  <c r="CK93" i="1" a="1"/>
  <c r="CK93" i="1" s="1"/>
  <c r="CA93" i="1" a="1"/>
  <c r="CA93" i="1" s="1"/>
  <c r="DG93" i="1" a="1"/>
  <c r="DG93" i="1" s="1"/>
  <c r="CS93" i="1" a="1"/>
  <c r="CS93" i="1" s="1"/>
  <c r="CF93" i="1" a="1"/>
  <c r="CF93" i="1" s="1"/>
  <c r="DV93" i="1" a="1"/>
  <c r="DV93" i="1" s="1"/>
  <c r="DF93" i="1" a="1"/>
  <c r="DF93" i="1" s="1"/>
  <c r="CR93" i="1" a="1"/>
  <c r="CR93" i="1" s="1"/>
  <c r="CC93" i="1" a="1"/>
  <c r="CC93" i="1" s="1"/>
  <c r="DO93" i="1" a="1"/>
  <c r="DO93" i="1" s="1"/>
  <c r="CW93" i="1" a="1"/>
  <c r="CW93" i="1" s="1"/>
  <c r="BZ93" i="1" a="1"/>
  <c r="BZ93" i="1" s="1"/>
  <c r="DN93" i="1" a="1"/>
  <c r="DN93" i="1" s="1"/>
  <c r="CT93" i="1" a="1"/>
  <c r="CT93" i="1" s="1"/>
  <c r="BY93" i="1" a="1"/>
  <c r="BY93" i="1" s="1"/>
  <c r="DQ93" i="1" a="1"/>
  <c r="DQ93" i="1" s="1"/>
  <c r="CQ93" i="1" a="1"/>
  <c r="CQ93" i="1" s="1"/>
  <c r="DP93" i="1" a="1"/>
  <c r="DP93" i="1" s="1"/>
  <c r="CP93" i="1" a="1"/>
  <c r="CP93" i="1" s="1"/>
  <c r="DA93" i="1" a="1"/>
  <c r="DA93" i="1" s="1"/>
  <c r="CZ93" i="1" a="1"/>
  <c r="CZ93" i="1" s="1"/>
  <c r="CJ93" i="1" a="1"/>
  <c r="CJ93" i="1" s="1"/>
  <c r="DB93" i="1" a="1"/>
  <c r="DB93" i="1" s="1"/>
  <c r="CI93" i="1" a="1"/>
  <c r="CI93" i="1" s="1"/>
  <c r="CG93" i="1" a="1"/>
  <c r="CG93" i="1" s="1"/>
  <c r="BX93" i="1" a="1"/>
  <c r="BX93" i="1" s="1"/>
  <c r="DM93" i="1" a="1"/>
  <c r="DM93" i="1" s="1"/>
  <c r="DJ93" i="1" a="1"/>
  <c r="DJ93" i="1" s="1"/>
  <c r="CH93" i="1" a="1"/>
  <c r="CH93" i="1" s="1"/>
  <c r="DE93" i="1" a="1"/>
  <c r="DE93" i="1" s="1"/>
  <c r="BS93" i="1"/>
  <c r="BT93" i="1" s="1"/>
  <c r="BU93" i="1" s="1"/>
  <c r="DR99" i="1" a="1"/>
  <c r="DR99" i="1" s="1"/>
  <c r="DJ99" i="1" a="1"/>
  <c r="DJ99" i="1" s="1"/>
  <c r="DB99" i="1" a="1"/>
  <c r="DB99" i="1" s="1"/>
  <c r="CT99" i="1" a="1"/>
  <c r="CT99" i="1" s="1"/>
  <c r="CK99" i="1" a="1"/>
  <c r="CK99" i="1" s="1"/>
  <c r="CC99" i="1" a="1"/>
  <c r="CC99" i="1" s="1"/>
  <c r="DM99" i="1" a="1"/>
  <c r="DM99" i="1" s="1"/>
  <c r="DC99" i="1" a="1"/>
  <c r="DC99" i="1" s="1"/>
  <c r="CH99" i="1" a="1"/>
  <c r="CH99" i="1" s="1"/>
  <c r="DV99" i="1" a="1"/>
  <c r="DV99" i="1" s="1"/>
  <c r="CR99" i="1" a="1"/>
  <c r="CR99" i="1" s="1"/>
  <c r="BX99" i="1" a="1"/>
  <c r="BX99" i="1" s="1"/>
  <c r="DL99" i="1" a="1"/>
  <c r="DL99" i="1" s="1"/>
  <c r="DA99" i="1" a="1"/>
  <c r="DA99" i="1" s="1"/>
  <c r="CG99" i="1" a="1"/>
  <c r="CG99" i="1" s="1"/>
  <c r="DU99" i="1" a="1"/>
  <c r="DU99" i="1" s="1"/>
  <c r="DK99" i="1" a="1"/>
  <c r="DK99" i="1" s="1"/>
  <c r="CQ99" i="1" a="1"/>
  <c r="CQ99" i="1" s="1"/>
  <c r="BW99" i="1" a="1"/>
  <c r="BW99" i="1" s="1"/>
  <c r="CZ99" i="1" a="1"/>
  <c r="CZ99" i="1" s="1"/>
  <c r="CF99" i="1" a="1"/>
  <c r="CF99" i="1" s="1"/>
  <c r="DS99" i="1" a="1"/>
  <c r="DS99" i="1" s="1"/>
  <c r="DF99" i="1" a="1"/>
  <c r="DF99" i="1" s="1"/>
  <c r="CP99" i="1" a="1"/>
  <c r="CP99" i="1" s="1"/>
  <c r="CA99" i="1" a="1"/>
  <c r="CA99" i="1" s="1"/>
  <c r="DQ99" i="1" a="1"/>
  <c r="DQ99" i="1" s="1"/>
  <c r="DE99" i="1" a="1"/>
  <c r="DE99" i="1" s="1"/>
  <c r="CO99" i="1" a="1"/>
  <c r="CO99" i="1" s="1"/>
  <c r="BZ99" i="1" a="1"/>
  <c r="BZ99" i="1" s="1"/>
  <c r="DD99" i="1" a="1"/>
  <c r="DD99" i="1" s="1"/>
  <c r="CI99" i="1" a="1"/>
  <c r="CI99" i="1" s="1"/>
  <c r="CY99" i="1" a="1"/>
  <c r="CY99" i="1" s="1"/>
  <c r="DT99" i="1" a="1"/>
  <c r="DT99" i="1" s="1"/>
  <c r="DP99" i="1" a="1"/>
  <c r="DP99" i="1" s="1"/>
  <c r="CV99" i="1" a="1"/>
  <c r="CV99" i="1" s="1"/>
  <c r="CU99" i="1" a="1"/>
  <c r="CU99" i="1" s="1"/>
  <c r="DO99" i="1" a="1"/>
  <c r="DO99" i="1" s="1"/>
  <c r="CS99" i="1" a="1"/>
  <c r="CS99" i="1" s="1"/>
  <c r="CX99" i="1" a="1"/>
  <c r="CX99" i="1" s="1"/>
  <c r="CW99" i="1" a="1"/>
  <c r="CW99" i="1" s="1"/>
  <c r="CM99" i="1" a="1"/>
  <c r="CM99" i="1" s="1"/>
  <c r="CL99" i="1" a="1"/>
  <c r="CL99" i="1" s="1"/>
  <c r="CJ99" i="1" a="1"/>
  <c r="CJ99" i="1" s="1"/>
  <c r="CE99" i="1" a="1"/>
  <c r="CE99" i="1" s="1"/>
  <c r="DN99" i="1" a="1"/>
  <c r="DN99" i="1" s="1"/>
  <c r="DI99" i="1" a="1"/>
  <c r="DI99" i="1" s="1"/>
  <c r="DH99" i="1" a="1"/>
  <c r="DH99" i="1" s="1"/>
  <c r="DG99" i="1" a="1"/>
  <c r="DG99" i="1" s="1"/>
  <c r="CD99" i="1" a="1"/>
  <c r="CD99" i="1" s="1"/>
  <c r="CB99" i="1" a="1"/>
  <c r="CB99" i="1" s="1"/>
  <c r="BY99" i="1" a="1"/>
  <c r="BY99" i="1" s="1"/>
  <c r="BF100" i="1"/>
  <c r="AP100" i="1"/>
  <c r="Z100" i="1"/>
  <c r="J100" i="1"/>
  <c r="BD100" i="1"/>
  <c r="AN100" i="1"/>
  <c r="X100" i="1"/>
  <c r="H100" i="1"/>
  <c r="BC100" i="1"/>
  <c r="AM100" i="1"/>
  <c r="W100" i="1"/>
  <c r="G100" i="1"/>
  <c r="BH100" i="1"/>
  <c r="AL100" i="1"/>
  <c r="S100" i="1"/>
  <c r="DW100" i="1"/>
  <c r="BG100" i="1"/>
  <c r="AK100" i="1"/>
  <c r="R100" i="1"/>
  <c r="BE100" i="1"/>
  <c r="AJ100" i="1"/>
  <c r="Q100" i="1"/>
  <c r="BB100" i="1"/>
  <c r="AI100" i="1"/>
  <c r="P100" i="1"/>
  <c r="BA100" i="1"/>
  <c r="AH100" i="1"/>
  <c r="O100" i="1"/>
  <c r="AX100" i="1"/>
  <c r="Y100" i="1"/>
  <c r="AW100" i="1"/>
  <c r="V100" i="1"/>
  <c r="AV100" i="1"/>
  <c r="U100" i="1"/>
  <c r="AU100" i="1"/>
  <c r="T100" i="1"/>
  <c r="BR100" i="1"/>
  <c r="AO100" i="1"/>
  <c r="BQ100" i="1"/>
  <c r="AG100" i="1"/>
  <c r="A100" i="1"/>
  <c r="BP100" i="1"/>
  <c r="AF100" i="1"/>
  <c r="BO100" i="1"/>
  <c r="AE100" i="1"/>
  <c r="AT100" i="1"/>
  <c r="AS100" i="1"/>
  <c r="AR100" i="1"/>
  <c r="AQ100" i="1"/>
  <c r="N100" i="1"/>
  <c r="M100" i="1"/>
  <c r="L100" i="1"/>
  <c r="K100" i="1"/>
  <c r="AD100" i="1"/>
  <c r="AC100" i="1"/>
  <c r="AB100" i="1"/>
  <c r="AA100" i="1"/>
  <c r="I100" i="1"/>
  <c r="BN100" i="1"/>
  <c r="BM100" i="1"/>
  <c r="BL100" i="1"/>
  <c r="BK100" i="1"/>
  <c r="BJ100" i="1"/>
  <c r="BI100" i="1"/>
  <c r="AZ100" i="1"/>
  <c r="AY100" i="1"/>
  <c r="F100" i="1"/>
  <c r="E100" i="1"/>
  <c r="D100" i="1"/>
  <c r="C101" i="1"/>
  <c r="BF103" i="1"/>
  <c r="AP103" i="1"/>
  <c r="Z103" i="1"/>
  <c r="J103" i="1"/>
  <c r="BE103" i="1"/>
  <c r="AO103" i="1"/>
  <c r="Y103" i="1"/>
  <c r="I103" i="1"/>
  <c r="BG103" i="1"/>
  <c r="AM103" i="1"/>
  <c r="U103" i="1"/>
  <c r="BD103" i="1"/>
  <c r="AL103" i="1"/>
  <c r="T103" i="1"/>
  <c r="A103" i="1"/>
  <c r="BC103" i="1"/>
  <c r="AK103" i="1"/>
  <c r="S103" i="1"/>
  <c r="BB103" i="1"/>
  <c r="AJ103" i="1"/>
  <c r="R103" i="1"/>
  <c r="BK103" i="1"/>
  <c r="AI103" i="1"/>
  <c r="M103" i="1"/>
  <c r="BJ103" i="1"/>
  <c r="AH103" i="1"/>
  <c r="L103" i="1"/>
  <c r="BI103" i="1"/>
  <c r="AG103" i="1"/>
  <c r="K103" i="1"/>
  <c r="C104" i="1"/>
  <c r="BH103" i="1"/>
  <c r="AF103" i="1"/>
  <c r="H103" i="1"/>
  <c r="BA103" i="1"/>
  <c r="AE103" i="1"/>
  <c r="G103" i="1"/>
  <c r="AU103" i="1"/>
  <c r="N103" i="1"/>
  <c r="AT103" i="1"/>
  <c r="F103" i="1"/>
  <c r="AS103" i="1"/>
  <c r="E103" i="1"/>
  <c r="AR103" i="1"/>
  <c r="D103" i="1"/>
  <c r="DW103" i="1"/>
  <c r="AQ103" i="1"/>
  <c r="AN103" i="1"/>
  <c r="AD103" i="1"/>
  <c r="AC103" i="1"/>
  <c r="BN103" i="1"/>
  <c r="BM103" i="1"/>
  <c r="BL103" i="1"/>
  <c r="AZ103" i="1"/>
  <c r="BR103" i="1"/>
  <c r="BQ103" i="1"/>
  <c r="BP103" i="1"/>
  <c r="BO103" i="1"/>
  <c r="AY103" i="1"/>
  <c r="X103" i="1"/>
  <c r="W103" i="1"/>
  <c r="V103" i="1"/>
  <c r="Q103" i="1"/>
  <c r="P103" i="1"/>
  <c r="AW103" i="1"/>
  <c r="AV103" i="1"/>
  <c r="AB103" i="1"/>
  <c r="AA103" i="1"/>
  <c r="O103" i="1"/>
  <c r="AX103" i="1"/>
  <c r="BJ97" i="1"/>
  <c r="AT97" i="1"/>
  <c r="AD97" i="1"/>
  <c r="N97" i="1"/>
  <c r="BI97" i="1"/>
  <c r="AS97" i="1"/>
  <c r="AC97" i="1"/>
  <c r="M97" i="1"/>
  <c r="BH97" i="1"/>
  <c r="AR97" i="1"/>
  <c r="AB97" i="1"/>
  <c r="L97" i="1"/>
  <c r="BG97" i="1"/>
  <c r="AQ97" i="1"/>
  <c r="AA97" i="1"/>
  <c r="K97" i="1"/>
  <c r="BF97" i="1"/>
  <c r="AP97" i="1"/>
  <c r="Z97" i="1"/>
  <c r="J97" i="1"/>
  <c r="BR97" i="1"/>
  <c r="AW97" i="1"/>
  <c r="W97" i="1"/>
  <c r="A97" i="1"/>
  <c r="BQ97" i="1"/>
  <c r="AV97" i="1"/>
  <c r="V97" i="1"/>
  <c r="BP97" i="1"/>
  <c r="AU97" i="1"/>
  <c r="U97" i="1"/>
  <c r="BO97" i="1"/>
  <c r="AO97" i="1"/>
  <c r="T97" i="1"/>
  <c r="BE97" i="1"/>
  <c r="AF97" i="1"/>
  <c r="BD97" i="1"/>
  <c r="AE97" i="1"/>
  <c r="BC97" i="1"/>
  <c r="Y97" i="1"/>
  <c r="BB97" i="1"/>
  <c r="X97" i="1"/>
  <c r="AJ97" i="1"/>
  <c r="AI97" i="1"/>
  <c r="AH97" i="1"/>
  <c r="AG97" i="1"/>
  <c r="BN97" i="1"/>
  <c r="O97" i="1"/>
  <c r="DW97" i="1"/>
  <c r="BM97" i="1"/>
  <c r="I97" i="1"/>
  <c r="BL97" i="1"/>
  <c r="H97" i="1"/>
  <c r="BK97" i="1"/>
  <c r="G97" i="1"/>
  <c r="F97" i="1"/>
  <c r="E97" i="1"/>
  <c r="D97" i="1"/>
  <c r="BA97" i="1"/>
  <c r="AY97" i="1"/>
  <c r="AX97" i="1"/>
  <c r="AN97" i="1"/>
  <c r="AM97" i="1"/>
  <c r="AL97" i="1"/>
  <c r="P97" i="1"/>
  <c r="S97" i="1"/>
  <c r="R97" i="1"/>
  <c r="Q97" i="1"/>
  <c r="AZ97" i="1"/>
  <c r="AK97" i="1"/>
  <c r="BS102" i="1"/>
  <c r="BT102" i="1" s="1"/>
  <c r="BU102" i="1" s="1"/>
  <c r="BS96" i="1"/>
  <c r="BT96" i="1" s="1"/>
  <c r="BU96" i="1" s="1"/>
  <c r="DS102" i="1" a="1"/>
  <c r="DS102" i="1" s="1"/>
  <c r="DK102" i="1" a="1"/>
  <c r="DK102" i="1" s="1"/>
  <c r="DC102" i="1" a="1"/>
  <c r="DC102" i="1" s="1"/>
  <c r="DO102" i="1" a="1"/>
  <c r="DO102" i="1" s="1"/>
  <c r="DF102" i="1" a="1"/>
  <c r="DF102" i="1" s="1"/>
  <c r="CW102" i="1" a="1"/>
  <c r="CW102" i="1" s="1"/>
  <c r="CO102" i="1" a="1"/>
  <c r="CO102" i="1" s="1"/>
  <c r="CF102" i="1" a="1"/>
  <c r="CF102" i="1" s="1"/>
  <c r="BX102" i="1" a="1"/>
  <c r="BX102" i="1" s="1"/>
  <c r="DN102" i="1" a="1"/>
  <c r="DN102" i="1" s="1"/>
  <c r="DE102" i="1" a="1"/>
  <c r="DE102" i="1" s="1"/>
  <c r="CV102" i="1" a="1"/>
  <c r="CV102" i="1" s="1"/>
  <c r="CM102" i="1" a="1"/>
  <c r="CM102" i="1" s="1"/>
  <c r="CE102" i="1" a="1"/>
  <c r="CE102" i="1" s="1"/>
  <c r="BW102" i="1" a="1"/>
  <c r="BW102" i="1" s="1"/>
  <c r="DQ102" i="1" a="1"/>
  <c r="DQ102" i="1" s="1"/>
  <c r="DD102" i="1" a="1"/>
  <c r="DD102" i="1" s="1"/>
  <c r="CS102" i="1" a="1"/>
  <c r="CS102" i="1" s="1"/>
  <c r="CH102" i="1" a="1"/>
  <c r="CH102" i="1" s="1"/>
  <c r="DP102" i="1" a="1"/>
  <c r="DP102" i="1" s="1"/>
  <c r="DB102" i="1" a="1"/>
  <c r="DB102" i="1" s="1"/>
  <c r="CR102" i="1" a="1"/>
  <c r="CR102" i="1" s="1"/>
  <c r="CG102" i="1" a="1"/>
  <c r="CG102" i="1" s="1"/>
  <c r="DM102" i="1" a="1"/>
  <c r="DM102" i="1" s="1"/>
  <c r="DA102" i="1" a="1"/>
  <c r="DA102" i="1" s="1"/>
  <c r="CQ102" i="1" a="1"/>
  <c r="CQ102" i="1" s="1"/>
  <c r="CD102" i="1" a="1"/>
  <c r="CD102" i="1" s="1"/>
  <c r="CT102" i="1" a="1"/>
  <c r="CT102" i="1" s="1"/>
  <c r="CB102" i="1" a="1"/>
  <c r="CB102" i="1" s="1"/>
  <c r="DI102" i="1" a="1"/>
  <c r="DI102" i="1" s="1"/>
  <c r="CA102" i="1" a="1"/>
  <c r="CA102" i="1" s="1"/>
  <c r="DH102" i="1" a="1"/>
  <c r="DH102" i="1" s="1"/>
  <c r="CP102" i="1" a="1"/>
  <c r="CP102" i="1" s="1"/>
  <c r="DT102" i="1" a="1"/>
  <c r="DT102" i="1" s="1"/>
  <c r="CX102" i="1" a="1"/>
  <c r="CX102" i="1" s="1"/>
  <c r="BZ102" i="1" a="1"/>
  <c r="BZ102" i="1" s="1"/>
  <c r="DR102" i="1" a="1"/>
  <c r="DR102" i="1" s="1"/>
  <c r="CU102" i="1" a="1"/>
  <c r="CU102" i="1" s="1"/>
  <c r="BY102" i="1" a="1"/>
  <c r="BY102" i="1" s="1"/>
  <c r="DV102" i="1" a="1"/>
  <c r="DV102" i="1" s="1"/>
  <c r="CL102" i="1" a="1"/>
  <c r="CL102" i="1" s="1"/>
  <c r="DU102" i="1" a="1"/>
  <c r="DU102" i="1" s="1"/>
  <c r="CK102" i="1" a="1"/>
  <c r="CK102" i="1" s="1"/>
  <c r="DL102" i="1" a="1"/>
  <c r="DL102" i="1" s="1"/>
  <c r="CC102" i="1" a="1"/>
  <c r="CC102" i="1" s="1"/>
  <c r="DJ102" i="1" a="1"/>
  <c r="DJ102" i="1" s="1"/>
  <c r="DG102" i="1" a="1"/>
  <c r="DG102" i="1" s="1"/>
  <c r="CZ102" i="1" a="1"/>
  <c r="CZ102" i="1" s="1"/>
  <c r="CY102" i="1" a="1"/>
  <c r="CY102" i="1" s="1"/>
  <c r="CJ102" i="1" a="1"/>
  <c r="CJ102" i="1" s="1"/>
  <c r="CI102" i="1" a="1"/>
  <c r="CI102" i="1" s="1"/>
  <c r="BS99" i="1"/>
  <c r="BT99" i="1" s="1"/>
  <c r="BU99" i="1" s="1"/>
  <c r="DT100" i="1" l="1" a="1"/>
  <c r="DT100" i="1" s="1"/>
  <c r="DL100" i="1" a="1"/>
  <c r="DL100" i="1" s="1"/>
  <c r="DD100" i="1" a="1"/>
  <c r="DD100" i="1" s="1"/>
  <c r="CV100" i="1" a="1"/>
  <c r="CV100" i="1" s="1"/>
  <c r="CM100" i="1" a="1"/>
  <c r="CM100" i="1" s="1"/>
  <c r="CE100" i="1" a="1"/>
  <c r="CE100" i="1" s="1"/>
  <c r="BW100" i="1" a="1"/>
  <c r="BW100" i="1" s="1"/>
  <c r="DS100" i="1" a="1"/>
  <c r="DS100" i="1" s="1"/>
  <c r="DK100" i="1" a="1"/>
  <c r="DK100" i="1" s="1"/>
  <c r="DC100" i="1" a="1"/>
  <c r="DC100" i="1" s="1"/>
  <c r="CU100" i="1" a="1"/>
  <c r="CU100" i="1" s="1"/>
  <c r="CL100" i="1" a="1"/>
  <c r="CL100" i="1" s="1"/>
  <c r="CD100" i="1" a="1"/>
  <c r="CD100" i="1" s="1"/>
  <c r="DN100" i="1" a="1"/>
  <c r="DN100" i="1" s="1"/>
  <c r="CI100" i="1" a="1"/>
  <c r="CI100" i="1" s="1"/>
  <c r="CS100" i="1" a="1"/>
  <c r="CS100" i="1" s="1"/>
  <c r="BY100" i="1" a="1"/>
  <c r="BY100" i="1" s="1"/>
  <c r="DM100" i="1" a="1"/>
  <c r="DM100" i="1" s="1"/>
  <c r="DB100" i="1" a="1"/>
  <c r="DB100" i="1" s="1"/>
  <c r="CH100" i="1" a="1"/>
  <c r="CH100" i="1" s="1"/>
  <c r="DV100" i="1" a="1"/>
  <c r="DV100" i="1" s="1"/>
  <c r="CR100" i="1" a="1"/>
  <c r="CR100" i="1" s="1"/>
  <c r="BX100" i="1" a="1"/>
  <c r="BX100" i="1" s="1"/>
  <c r="DA100" i="1" a="1"/>
  <c r="DA100" i="1" s="1"/>
  <c r="CG100" i="1" a="1"/>
  <c r="CG100" i="1" s="1"/>
  <c r="CA100" i="1" a="1"/>
  <c r="CA100" i="1" s="1"/>
  <c r="DQ100" i="1" a="1"/>
  <c r="DQ100" i="1" s="1"/>
  <c r="DE100" i="1" a="1"/>
  <c r="DE100" i="1" s="1"/>
  <c r="CO100" i="1" a="1"/>
  <c r="CO100" i="1" s="1"/>
  <c r="BZ100" i="1" a="1"/>
  <c r="BZ100" i="1" s="1"/>
  <c r="DP100" i="1" a="1"/>
  <c r="DP100" i="1" s="1"/>
  <c r="CZ100" i="1" a="1"/>
  <c r="CZ100" i="1" s="1"/>
  <c r="CT100" i="1" a="1"/>
  <c r="CT100" i="1" s="1"/>
  <c r="DI100" i="1" a="1"/>
  <c r="DI100" i="1" s="1"/>
  <c r="CQ100" i="1" a="1"/>
  <c r="CQ100" i="1" s="1"/>
  <c r="DH100" i="1" a="1"/>
  <c r="DH100" i="1" s="1"/>
  <c r="CP100" i="1" a="1"/>
  <c r="CP100" i="1" s="1"/>
  <c r="DG100" i="1" a="1"/>
  <c r="DG100" i="1" s="1"/>
  <c r="CF100" i="1" a="1"/>
  <c r="CF100" i="1" s="1"/>
  <c r="DF100" i="1" a="1"/>
  <c r="DF100" i="1" s="1"/>
  <c r="CC100" i="1" a="1"/>
  <c r="CC100" i="1" s="1"/>
  <c r="DO100" i="1" a="1"/>
  <c r="DO100" i="1" s="1"/>
  <c r="CB100" i="1" a="1"/>
  <c r="CB100" i="1" s="1"/>
  <c r="DJ100" i="1" a="1"/>
  <c r="DJ100" i="1" s="1"/>
  <c r="CW100" i="1" a="1"/>
  <c r="CW100" i="1" s="1"/>
  <c r="CK100" i="1" a="1"/>
  <c r="CK100" i="1" s="1"/>
  <c r="CX100" i="1" a="1"/>
  <c r="CX100" i="1" s="1"/>
  <c r="CJ100" i="1" a="1"/>
  <c r="CJ100" i="1" s="1"/>
  <c r="DR100" i="1" a="1"/>
  <c r="DR100" i="1" s="1"/>
  <c r="CY100" i="1" a="1"/>
  <c r="CY100" i="1" s="1"/>
  <c r="DU100" i="1" a="1"/>
  <c r="DU100" i="1" s="1"/>
  <c r="DV97" i="1" a="1"/>
  <c r="DV97" i="1" s="1"/>
  <c r="DN97" i="1" a="1"/>
  <c r="DN97" i="1" s="1"/>
  <c r="DF97" i="1" a="1"/>
  <c r="DF97" i="1" s="1"/>
  <c r="CX97" i="1" a="1"/>
  <c r="CX97" i="1" s="1"/>
  <c r="CP97" i="1" a="1"/>
  <c r="CP97" i="1" s="1"/>
  <c r="CG97" i="1" a="1"/>
  <c r="CG97" i="1" s="1"/>
  <c r="BY97" i="1" a="1"/>
  <c r="BY97" i="1" s="1"/>
  <c r="DU97" i="1" a="1"/>
  <c r="DU97" i="1" s="1"/>
  <c r="DM97" i="1" a="1"/>
  <c r="DM97" i="1" s="1"/>
  <c r="DE97" i="1" a="1"/>
  <c r="DE97" i="1" s="1"/>
  <c r="CW97" i="1" a="1"/>
  <c r="CW97" i="1" s="1"/>
  <c r="CO97" i="1" a="1"/>
  <c r="CO97" i="1" s="1"/>
  <c r="CF97" i="1" a="1"/>
  <c r="CF97" i="1" s="1"/>
  <c r="BX97" i="1" a="1"/>
  <c r="BX97" i="1" s="1"/>
  <c r="DT97" i="1" a="1"/>
  <c r="DT97" i="1" s="1"/>
  <c r="DL97" i="1" a="1"/>
  <c r="DL97" i="1" s="1"/>
  <c r="DD97" i="1" a="1"/>
  <c r="DD97" i="1" s="1"/>
  <c r="CV97" i="1" a="1"/>
  <c r="CV97" i="1" s="1"/>
  <c r="CM97" i="1" a="1"/>
  <c r="CM97" i="1" s="1"/>
  <c r="CE97" i="1" a="1"/>
  <c r="CE97" i="1" s="1"/>
  <c r="BW97" i="1" a="1"/>
  <c r="BW97" i="1" s="1"/>
  <c r="DQ97" i="1" a="1"/>
  <c r="DQ97" i="1" s="1"/>
  <c r="CH97" i="1" a="1"/>
  <c r="CH97" i="1" s="1"/>
  <c r="CS97" i="1" a="1"/>
  <c r="CS97" i="1" s="1"/>
  <c r="DP97" i="1" a="1"/>
  <c r="DP97" i="1" s="1"/>
  <c r="DC97" i="1" a="1"/>
  <c r="DC97" i="1" s="1"/>
  <c r="CR97" i="1" a="1"/>
  <c r="CR97" i="1" s="1"/>
  <c r="CD97" i="1" a="1"/>
  <c r="CD97" i="1" s="1"/>
  <c r="DJ97" i="1" a="1"/>
  <c r="DJ97" i="1" s="1"/>
  <c r="CU97" i="1" a="1"/>
  <c r="CU97" i="1" s="1"/>
  <c r="CC97" i="1" a="1"/>
  <c r="CC97" i="1" s="1"/>
  <c r="DI97" i="1" a="1"/>
  <c r="DI97" i="1" s="1"/>
  <c r="CT97" i="1" a="1"/>
  <c r="CT97" i="1" s="1"/>
  <c r="CB97" i="1" a="1"/>
  <c r="CB97" i="1" s="1"/>
  <c r="DO97" i="1" a="1"/>
  <c r="DO97" i="1" s="1"/>
  <c r="CQ97" i="1" a="1"/>
  <c r="CQ97" i="1" s="1"/>
  <c r="DK97" i="1" a="1"/>
  <c r="DK97" i="1" s="1"/>
  <c r="CZ97" i="1" a="1"/>
  <c r="CZ97" i="1" s="1"/>
  <c r="CY97" i="1" a="1"/>
  <c r="CY97" i="1" s="1"/>
  <c r="DH97" i="1" a="1"/>
  <c r="DH97" i="1" s="1"/>
  <c r="CA97" i="1" a="1"/>
  <c r="CA97" i="1" s="1"/>
  <c r="DG97" i="1" a="1"/>
  <c r="DG97" i="1" s="1"/>
  <c r="BZ97" i="1" a="1"/>
  <c r="BZ97" i="1" s="1"/>
  <c r="DB97" i="1" a="1"/>
  <c r="DB97" i="1" s="1"/>
  <c r="DS97" i="1" a="1"/>
  <c r="DS97" i="1" s="1"/>
  <c r="DR97" i="1" a="1"/>
  <c r="DR97" i="1" s="1"/>
  <c r="DA97" i="1" a="1"/>
  <c r="DA97" i="1" s="1"/>
  <c r="CL97" i="1" a="1"/>
  <c r="CL97" i="1" s="1"/>
  <c r="CK97" i="1" a="1"/>
  <c r="CK97" i="1" s="1"/>
  <c r="CJ97" i="1" a="1"/>
  <c r="CJ97" i="1" s="1"/>
  <c r="CI97" i="1" a="1"/>
  <c r="CI97" i="1" s="1"/>
  <c r="BG104" i="1"/>
  <c r="AQ104" i="1"/>
  <c r="AA104" i="1"/>
  <c r="K104" i="1"/>
  <c r="BF104" i="1"/>
  <c r="AP104" i="1"/>
  <c r="Z104" i="1"/>
  <c r="J104" i="1"/>
  <c r="BN104" i="1"/>
  <c r="AV104" i="1"/>
  <c r="AD104" i="1"/>
  <c r="L104" i="1"/>
  <c r="BM104" i="1"/>
  <c r="AU104" i="1"/>
  <c r="AC104" i="1"/>
  <c r="I104" i="1"/>
  <c r="BL104" i="1"/>
  <c r="AT104" i="1"/>
  <c r="AB104" i="1"/>
  <c r="H104" i="1"/>
  <c r="BK104" i="1"/>
  <c r="AS104" i="1"/>
  <c r="Y104" i="1"/>
  <c r="G104" i="1"/>
  <c r="BD104" i="1"/>
  <c r="AH104" i="1"/>
  <c r="F104" i="1"/>
  <c r="BC104" i="1"/>
  <c r="AG104" i="1"/>
  <c r="E104" i="1"/>
  <c r="BB104" i="1"/>
  <c r="AF104" i="1"/>
  <c r="D104" i="1"/>
  <c r="BA104" i="1"/>
  <c r="AE104" i="1"/>
  <c r="AZ104" i="1"/>
  <c r="X104" i="1"/>
  <c r="A104" i="1"/>
  <c r="AW104" i="1"/>
  <c r="P104" i="1"/>
  <c r="AR104" i="1"/>
  <c r="O104" i="1"/>
  <c r="AO104" i="1"/>
  <c r="N104" i="1"/>
  <c r="AN104" i="1"/>
  <c r="M104" i="1"/>
  <c r="BH104" i="1"/>
  <c r="BE104" i="1"/>
  <c r="AY104" i="1"/>
  <c r="AX104" i="1"/>
  <c r="T104" i="1"/>
  <c r="S104" i="1"/>
  <c r="BR104" i="1"/>
  <c r="R104" i="1"/>
  <c r="BQ104" i="1"/>
  <c r="Q104" i="1"/>
  <c r="BP104" i="1"/>
  <c r="BO104" i="1"/>
  <c r="BJ104" i="1"/>
  <c r="BI104" i="1"/>
  <c r="AI104" i="1"/>
  <c r="W104" i="1"/>
  <c r="V104" i="1"/>
  <c r="U104" i="1"/>
  <c r="C105" i="1"/>
  <c r="DW104" i="1"/>
  <c r="AM104" i="1"/>
  <c r="AL104" i="1"/>
  <c r="AK104" i="1"/>
  <c r="AJ104" i="1"/>
  <c r="BG101" i="1"/>
  <c r="AQ101" i="1"/>
  <c r="AA101" i="1"/>
  <c r="K101" i="1"/>
  <c r="BE101" i="1"/>
  <c r="AO101" i="1"/>
  <c r="Y101" i="1"/>
  <c r="I101" i="1"/>
  <c r="BD101" i="1"/>
  <c r="AN101" i="1"/>
  <c r="X101" i="1"/>
  <c r="H101" i="1"/>
  <c r="BJ101" i="1"/>
  <c r="AP101" i="1"/>
  <c r="U101" i="1"/>
  <c r="A101" i="1"/>
  <c r="BI101" i="1"/>
  <c r="AM101" i="1"/>
  <c r="T101" i="1"/>
  <c r="BH101" i="1"/>
  <c r="AL101" i="1"/>
  <c r="S101" i="1"/>
  <c r="BF101" i="1"/>
  <c r="AK101" i="1"/>
  <c r="R101" i="1"/>
  <c r="BC101" i="1"/>
  <c r="AJ101" i="1"/>
  <c r="Q101" i="1"/>
  <c r="AW101" i="1"/>
  <c r="V101" i="1"/>
  <c r="AV101" i="1"/>
  <c r="P101" i="1"/>
  <c r="AU101" i="1"/>
  <c r="O101" i="1"/>
  <c r="BR101" i="1"/>
  <c r="AT101" i="1"/>
  <c r="N101" i="1"/>
  <c r="BA101" i="1"/>
  <c r="M101" i="1"/>
  <c r="AZ101" i="1"/>
  <c r="L101" i="1"/>
  <c r="AY101" i="1"/>
  <c r="J101" i="1"/>
  <c r="AX101" i="1"/>
  <c r="G101" i="1"/>
  <c r="BQ101" i="1"/>
  <c r="AC101" i="1"/>
  <c r="BP101" i="1"/>
  <c r="AB101" i="1"/>
  <c r="BO101" i="1"/>
  <c r="Z101" i="1"/>
  <c r="DW101" i="1"/>
  <c r="BN101" i="1"/>
  <c r="W101" i="1"/>
  <c r="AS101" i="1"/>
  <c r="AR101" i="1"/>
  <c r="AI101" i="1"/>
  <c r="AH101" i="1"/>
  <c r="AG101" i="1"/>
  <c r="AF101" i="1"/>
  <c r="AE101" i="1"/>
  <c r="AD101" i="1"/>
  <c r="F101" i="1"/>
  <c r="BM101" i="1"/>
  <c r="BL101" i="1"/>
  <c r="D101" i="1"/>
  <c r="BK101" i="1"/>
  <c r="BB101" i="1"/>
  <c r="E101" i="1"/>
  <c r="BS97" i="1"/>
  <c r="BS100" i="1"/>
  <c r="BT97" i="1"/>
  <c r="BU97" i="1" s="1"/>
  <c r="BT103" i="1"/>
  <c r="BU103" i="1" s="1"/>
  <c r="BJ107" i="1"/>
  <c r="AT107" i="1"/>
  <c r="AD107" i="1"/>
  <c r="N107" i="1"/>
  <c r="BI107" i="1"/>
  <c r="AS107" i="1"/>
  <c r="AC107" i="1"/>
  <c r="M107" i="1"/>
  <c r="BH107" i="1"/>
  <c r="AR107" i="1"/>
  <c r="AB107" i="1"/>
  <c r="L107" i="1"/>
  <c r="BG107" i="1"/>
  <c r="AQ107" i="1"/>
  <c r="AA107" i="1"/>
  <c r="K107" i="1"/>
  <c r="BN107" i="1"/>
  <c r="AP107" i="1"/>
  <c r="V107" i="1"/>
  <c r="A107" i="1"/>
  <c r="BM107" i="1"/>
  <c r="AO107" i="1"/>
  <c r="U107" i="1"/>
  <c r="BL107" i="1"/>
  <c r="AN107" i="1"/>
  <c r="T107" i="1"/>
  <c r="BK107" i="1"/>
  <c r="AM107" i="1"/>
  <c r="S107" i="1"/>
  <c r="BF107" i="1"/>
  <c r="AL107" i="1"/>
  <c r="R107" i="1"/>
  <c r="BA107" i="1"/>
  <c r="X107" i="1"/>
  <c r="AZ107" i="1"/>
  <c r="W107" i="1"/>
  <c r="AY107" i="1"/>
  <c r="Q107" i="1"/>
  <c r="AX107" i="1"/>
  <c r="P107" i="1"/>
  <c r="C108" i="1"/>
  <c r="AW107" i="1"/>
  <c r="O107" i="1"/>
  <c r="BR107" i="1"/>
  <c r="AE107" i="1"/>
  <c r="BQ107" i="1"/>
  <c r="Z107" i="1"/>
  <c r="BP107" i="1"/>
  <c r="Y107" i="1"/>
  <c r="BO107" i="1"/>
  <c r="J107" i="1"/>
  <c r="AI107" i="1"/>
  <c r="AH107" i="1"/>
  <c r="AG107" i="1"/>
  <c r="AF107" i="1"/>
  <c r="E107" i="1"/>
  <c r="DW107" i="1"/>
  <c r="D107" i="1"/>
  <c r="AV107" i="1"/>
  <c r="AU107" i="1"/>
  <c r="AK107" i="1"/>
  <c r="AJ107" i="1"/>
  <c r="I107" i="1"/>
  <c r="H107" i="1"/>
  <c r="G107" i="1"/>
  <c r="F107" i="1"/>
  <c r="BE107" i="1"/>
  <c r="BS107" i="1" s="1"/>
  <c r="BD107" i="1"/>
  <c r="BC107" i="1"/>
  <c r="BB107" i="1"/>
  <c r="DT103" i="1" a="1"/>
  <c r="DT103" i="1" s="1"/>
  <c r="DL103" i="1" a="1"/>
  <c r="DL103" i="1" s="1"/>
  <c r="DD103" i="1" a="1"/>
  <c r="DD103" i="1" s="1"/>
  <c r="CV103" i="1" a="1"/>
  <c r="CV103" i="1" s="1"/>
  <c r="CM103" i="1" a="1"/>
  <c r="CM103" i="1" s="1"/>
  <c r="CE103" i="1" a="1"/>
  <c r="CE103" i="1" s="1"/>
  <c r="BW103" i="1" a="1"/>
  <c r="BW103" i="1" s="1"/>
  <c r="DR103" i="1" a="1"/>
  <c r="DR103" i="1" s="1"/>
  <c r="DI103" i="1" a="1"/>
  <c r="DI103" i="1" s="1"/>
  <c r="CZ103" i="1" a="1"/>
  <c r="CZ103" i="1" s="1"/>
  <c r="CQ103" i="1" a="1"/>
  <c r="CQ103" i="1" s="1"/>
  <c r="CG103" i="1" a="1"/>
  <c r="CG103" i="1" s="1"/>
  <c r="BX103" i="1" a="1"/>
  <c r="BX103" i="1" s="1"/>
  <c r="DQ103" i="1" a="1"/>
  <c r="DQ103" i="1" s="1"/>
  <c r="DH103" i="1" a="1"/>
  <c r="DH103" i="1" s="1"/>
  <c r="CY103" i="1" a="1"/>
  <c r="CY103" i="1" s="1"/>
  <c r="CP103" i="1" a="1"/>
  <c r="CP103" i="1" s="1"/>
  <c r="CF103" i="1" a="1"/>
  <c r="CF103" i="1" s="1"/>
  <c r="DN103" i="1" a="1"/>
  <c r="DN103" i="1" s="1"/>
  <c r="DB103" i="1" a="1"/>
  <c r="DB103" i="1" s="1"/>
  <c r="CO103" i="1" a="1"/>
  <c r="CO103" i="1" s="1"/>
  <c r="CB103" i="1" a="1"/>
  <c r="CB103" i="1" s="1"/>
  <c r="DM103" i="1" a="1"/>
  <c r="DM103" i="1" s="1"/>
  <c r="DA103" i="1" a="1"/>
  <c r="DA103" i="1" s="1"/>
  <c r="CL103" i="1" a="1"/>
  <c r="CL103" i="1" s="1"/>
  <c r="CA103" i="1" a="1"/>
  <c r="CA103" i="1" s="1"/>
  <c r="CT103" i="1" a="1"/>
  <c r="CT103" i="1" s="1"/>
  <c r="BZ103" i="1" a="1"/>
  <c r="BZ103" i="1" s="1"/>
  <c r="DJ103" i="1" a="1"/>
  <c r="DJ103" i="1" s="1"/>
  <c r="CS103" i="1" a="1"/>
  <c r="CS103" i="1" s="1"/>
  <c r="BY103" i="1" a="1"/>
  <c r="BY103" i="1" s="1"/>
  <c r="DG103" i="1" a="1"/>
  <c r="DG103" i="1" s="1"/>
  <c r="DC103" i="1" a="1"/>
  <c r="DC103" i="1" s="1"/>
  <c r="CD103" i="1" a="1"/>
  <c r="CD103" i="1" s="1"/>
  <c r="DV103" i="1" a="1"/>
  <c r="DV103" i="1" s="1"/>
  <c r="CX103" i="1" a="1"/>
  <c r="CX103" i="1" s="1"/>
  <c r="CC103" i="1" a="1"/>
  <c r="CC103" i="1" s="1"/>
  <c r="CW103" i="1" a="1"/>
  <c r="CW103" i="1" s="1"/>
  <c r="CU103" i="1" a="1"/>
  <c r="CU103" i="1" s="1"/>
  <c r="DP103" i="1" a="1"/>
  <c r="DP103" i="1" s="1"/>
  <c r="DO103" i="1" a="1"/>
  <c r="DO103" i="1" s="1"/>
  <c r="DK103" i="1" a="1"/>
  <c r="DK103" i="1" s="1"/>
  <c r="CI103" i="1" a="1"/>
  <c r="CI103" i="1" s="1"/>
  <c r="CH103" i="1" a="1"/>
  <c r="CH103" i="1" s="1"/>
  <c r="DU103" i="1" a="1"/>
  <c r="DU103" i="1" s="1"/>
  <c r="DS103" i="1" a="1"/>
  <c r="DS103" i="1" s="1"/>
  <c r="DF103" i="1" a="1"/>
  <c r="DF103" i="1" s="1"/>
  <c r="CK103" i="1" a="1"/>
  <c r="CK103" i="1" s="1"/>
  <c r="CJ103" i="1" a="1"/>
  <c r="CJ103" i="1" s="1"/>
  <c r="DE103" i="1" a="1"/>
  <c r="DE103" i="1" s="1"/>
  <c r="CR103" i="1" a="1"/>
  <c r="CR103" i="1" s="1"/>
  <c r="BS106" i="1"/>
  <c r="BT106" i="1" s="1"/>
  <c r="BU106" i="1" s="1"/>
  <c r="BS103" i="1"/>
  <c r="BM110" i="1"/>
  <c r="AW110" i="1"/>
  <c r="AG110" i="1"/>
  <c r="Q110" i="1"/>
  <c r="DW110" i="1"/>
  <c r="BL110" i="1"/>
  <c r="AV110" i="1"/>
  <c r="AF110" i="1"/>
  <c r="P110" i="1"/>
  <c r="C114" i="1"/>
  <c r="BK110" i="1"/>
  <c r="AU110" i="1"/>
  <c r="AE110" i="1"/>
  <c r="O110" i="1"/>
  <c r="BJ110" i="1"/>
  <c r="AT110" i="1"/>
  <c r="AD110" i="1"/>
  <c r="N110" i="1"/>
  <c r="BA110" i="1"/>
  <c r="AC110" i="1"/>
  <c r="I110" i="1"/>
  <c r="AZ110" i="1"/>
  <c r="AB110" i="1"/>
  <c r="H110" i="1"/>
  <c r="AY110" i="1"/>
  <c r="AA110" i="1"/>
  <c r="G110" i="1"/>
  <c r="C111" i="1"/>
  <c r="BR110" i="1"/>
  <c r="AX110" i="1"/>
  <c r="Z110" i="1"/>
  <c r="F110" i="1"/>
  <c r="BQ110" i="1"/>
  <c r="AS110" i="1"/>
  <c r="Y110" i="1"/>
  <c r="E110" i="1"/>
  <c r="BP110" i="1"/>
  <c r="AR110" i="1"/>
  <c r="X110" i="1"/>
  <c r="D110" i="1"/>
  <c r="BO110" i="1"/>
  <c r="AK110" i="1"/>
  <c r="BN110" i="1"/>
  <c r="AJ110" i="1"/>
  <c r="BI110" i="1"/>
  <c r="AI110" i="1"/>
  <c r="BH110" i="1"/>
  <c r="AH110" i="1"/>
  <c r="BG110" i="1"/>
  <c r="W110" i="1"/>
  <c r="AN110" i="1"/>
  <c r="AM110" i="1"/>
  <c r="AL110" i="1"/>
  <c r="V110" i="1"/>
  <c r="U110" i="1"/>
  <c r="T110" i="1"/>
  <c r="S110" i="1"/>
  <c r="R110" i="1"/>
  <c r="A110" i="1"/>
  <c r="BF110" i="1"/>
  <c r="L110" i="1"/>
  <c r="K110" i="1"/>
  <c r="J110" i="1"/>
  <c r="AO110" i="1"/>
  <c r="M110" i="1"/>
  <c r="BC110" i="1"/>
  <c r="BE110" i="1"/>
  <c r="BB110" i="1"/>
  <c r="AP110" i="1"/>
  <c r="BD110" i="1"/>
  <c r="AQ110" i="1"/>
  <c r="BT100" i="1"/>
  <c r="BU100" i="1"/>
  <c r="DU106" i="1" a="1"/>
  <c r="DU106" i="1" s="1"/>
  <c r="DM106" i="1" a="1"/>
  <c r="DM106" i="1" s="1"/>
  <c r="DE106" i="1" a="1"/>
  <c r="DE106" i="1" s="1"/>
  <c r="CW106" i="1" a="1"/>
  <c r="CW106" i="1" s="1"/>
  <c r="CO106" i="1" a="1"/>
  <c r="CO106" i="1" s="1"/>
  <c r="CF106" i="1" a="1"/>
  <c r="CF106" i="1" s="1"/>
  <c r="BX106" i="1" a="1"/>
  <c r="BX106" i="1" s="1"/>
  <c r="DT106" i="1" a="1"/>
  <c r="DT106" i="1" s="1"/>
  <c r="DL106" i="1" a="1"/>
  <c r="DL106" i="1" s="1"/>
  <c r="DD106" i="1" a="1"/>
  <c r="DD106" i="1" s="1"/>
  <c r="CV106" i="1" a="1"/>
  <c r="CV106" i="1" s="1"/>
  <c r="CM106" i="1" a="1"/>
  <c r="CM106" i="1" s="1"/>
  <c r="CE106" i="1" a="1"/>
  <c r="CE106" i="1" s="1"/>
  <c r="BW106" i="1" a="1"/>
  <c r="BW106" i="1" s="1"/>
  <c r="DK106" i="1" a="1"/>
  <c r="DK106" i="1" s="1"/>
  <c r="DA106" i="1" a="1"/>
  <c r="DA106" i="1" s="1"/>
  <c r="CQ106" i="1" a="1"/>
  <c r="CQ106" i="1" s="1"/>
  <c r="CD106" i="1" a="1"/>
  <c r="CD106" i="1" s="1"/>
  <c r="DV106" i="1" a="1"/>
  <c r="DV106" i="1" s="1"/>
  <c r="DJ106" i="1" a="1"/>
  <c r="DJ106" i="1" s="1"/>
  <c r="CZ106" i="1" a="1"/>
  <c r="CZ106" i="1" s="1"/>
  <c r="CP106" i="1" a="1"/>
  <c r="CP106" i="1" s="1"/>
  <c r="CC106" i="1" a="1"/>
  <c r="CC106" i="1" s="1"/>
  <c r="DC106" i="1" a="1"/>
  <c r="DC106" i="1" s="1"/>
  <c r="CK106" i="1" a="1"/>
  <c r="CK106" i="1" s="1"/>
  <c r="DQ106" i="1" a="1"/>
  <c r="DQ106" i="1" s="1"/>
  <c r="DB106" i="1" a="1"/>
  <c r="DB106" i="1" s="1"/>
  <c r="CJ106" i="1" a="1"/>
  <c r="CJ106" i="1" s="1"/>
  <c r="DP106" i="1" a="1"/>
  <c r="DP106" i="1" s="1"/>
  <c r="CY106" i="1" a="1"/>
  <c r="CY106" i="1" s="1"/>
  <c r="CI106" i="1" a="1"/>
  <c r="CI106" i="1" s="1"/>
  <c r="DN106" i="1" a="1"/>
  <c r="DN106" i="1" s="1"/>
  <c r="DI106" i="1" a="1"/>
  <c r="DI106" i="1" s="1"/>
  <c r="CR106" i="1" a="1"/>
  <c r="CR106" i="1" s="1"/>
  <c r="CL106" i="1" a="1"/>
  <c r="CL106" i="1" s="1"/>
  <c r="DH106" i="1" a="1"/>
  <c r="DH106" i="1" s="1"/>
  <c r="CB106" i="1" a="1"/>
  <c r="CB106" i="1" s="1"/>
  <c r="DG106" i="1" a="1"/>
  <c r="DG106" i="1" s="1"/>
  <c r="CA106" i="1" a="1"/>
  <c r="CA106" i="1" s="1"/>
  <c r="DF106" i="1" a="1"/>
  <c r="DF106" i="1" s="1"/>
  <c r="CH106" i="1" a="1"/>
  <c r="CH106" i="1" s="1"/>
  <c r="DS106" i="1" a="1"/>
  <c r="DS106" i="1" s="1"/>
  <c r="CG106" i="1" a="1"/>
  <c r="CG106" i="1" s="1"/>
  <c r="CT106" i="1" a="1"/>
  <c r="CT106" i="1" s="1"/>
  <c r="CS106" i="1" a="1"/>
  <c r="CS106" i="1" s="1"/>
  <c r="DR106" i="1" a="1"/>
  <c r="DR106" i="1" s="1"/>
  <c r="BY106" i="1" a="1"/>
  <c r="BY106" i="1" s="1"/>
  <c r="DO106" i="1" a="1"/>
  <c r="DO106" i="1" s="1"/>
  <c r="CU106" i="1" a="1"/>
  <c r="CU106" i="1" s="1"/>
  <c r="CX106" i="1" a="1"/>
  <c r="CX106" i="1" s="1"/>
  <c r="BZ106" i="1" a="1"/>
  <c r="BZ106" i="1" s="1"/>
  <c r="DT104" i="1" l="1" a="1"/>
  <c r="DT104" i="1" s="1"/>
  <c r="DL104" i="1" a="1"/>
  <c r="DL104" i="1" s="1"/>
  <c r="DD104" i="1" a="1"/>
  <c r="DD104" i="1" s="1"/>
  <c r="CV104" i="1" a="1"/>
  <c r="CV104" i="1" s="1"/>
  <c r="CM104" i="1" a="1"/>
  <c r="CM104" i="1" s="1"/>
  <c r="CE104" i="1" a="1"/>
  <c r="CE104" i="1" s="1"/>
  <c r="BW104" i="1" a="1"/>
  <c r="BW104" i="1" s="1"/>
  <c r="DS104" i="1" a="1"/>
  <c r="DS104" i="1" s="1"/>
  <c r="DK104" i="1" a="1"/>
  <c r="DK104" i="1" s="1"/>
  <c r="DC104" i="1" a="1"/>
  <c r="DC104" i="1" s="1"/>
  <c r="CU104" i="1" a="1"/>
  <c r="CU104" i="1" s="1"/>
  <c r="CK104" i="1" a="1"/>
  <c r="CK104" i="1" s="1"/>
  <c r="CB104" i="1" a="1"/>
  <c r="CB104" i="1" s="1"/>
  <c r="DP104" i="1" a="1"/>
  <c r="DP104" i="1" s="1"/>
  <c r="DF104" i="1" a="1"/>
  <c r="DF104" i="1" s="1"/>
  <c r="CT104" i="1" a="1"/>
  <c r="CT104" i="1" s="1"/>
  <c r="CJ104" i="1" a="1"/>
  <c r="CJ104" i="1" s="1"/>
  <c r="CA104" i="1" a="1"/>
  <c r="CA104" i="1" s="1"/>
  <c r="DO104" i="1" a="1"/>
  <c r="DO104" i="1" s="1"/>
  <c r="DE104" i="1" a="1"/>
  <c r="DE104" i="1" s="1"/>
  <c r="CO104" i="1" a="1"/>
  <c r="CO104" i="1" s="1"/>
  <c r="BZ104" i="1" a="1"/>
  <c r="BZ104" i="1" s="1"/>
  <c r="DN104" i="1" a="1"/>
  <c r="DN104" i="1" s="1"/>
  <c r="CZ104" i="1" a="1"/>
  <c r="CZ104" i="1" s="1"/>
  <c r="CL104" i="1" a="1"/>
  <c r="CL104" i="1" s="1"/>
  <c r="BY104" i="1" a="1"/>
  <c r="BY104" i="1" s="1"/>
  <c r="DM104" i="1" a="1"/>
  <c r="DM104" i="1" s="1"/>
  <c r="CY104" i="1" a="1"/>
  <c r="CY104" i="1" s="1"/>
  <c r="CI104" i="1" a="1"/>
  <c r="CI104" i="1" s="1"/>
  <c r="BX104" i="1" a="1"/>
  <c r="BX104" i="1" s="1"/>
  <c r="CS104" i="1" a="1"/>
  <c r="CS104" i="1" s="1"/>
  <c r="DQ104" i="1" a="1"/>
  <c r="DQ104" i="1" s="1"/>
  <c r="CC104" i="1" a="1"/>
  <c r="CC104" i="1" s="1"/>
  <c r="DJ104" i="1" a="1"/>
  <c r="DJ104" i="1" s="1"/>
  <c r="CR104" i="1" a="1"/>
  <c r="CR104" i="1" s="1"/>
  <c r="DI104" i="1" a="1"/>
  <c r="DI104" i="1" s="1"/>
  <c r="CH104" i="1" a="1"/>
  <c r="CH104" i="1" s="1"/>
  <c r="DH104" i="1" a="1"/>
  <c r="DH104" i="1" s="1"/>
  <c r="CG104" i="1" a="1"/>
  <c r="CG104" i="1" s="1"/>
  <c r="DG104" i="1" a="1"/>
  <c r="DG104" i="1" s="1"/>
  <c r="DB104" i="1" a="1"/>
  <c r="DB104" i="1" s="1"/>
  <c r="DU104" i="1" a="1"/>
  <c r="DU104" i="1" s="1"/>
  <c r="DR104" i="1" a="1"/>
  <c r="DR104" i="1" s="1"/>
  <c r="DA104" i="1" a="1"/>
  <c r="DA104" i="1" s="1"/>
  <c r="CX104" i="1" a="1"/>
  <c r="CX104" i="1" s="1"/>
  <c r="CW104" i="1" a="1"/>
  <c r="CW104" i="1" s="1"/>
  <c r="CQ104" i="1" a="1"/>
  <c r="CQ104" i="1" s="1"/>
  <c r="DV104" i="1" a="1"/>
  <c r="DV104" i="1" s="1"/>
  <c r="CF104" i="1" a="1"/>
  <c r="CF104" i="1" s="1"/>
  <c r="CD104" i="1" a="1"/>
  <c r="CD104" i="1" s="1"/>
  <c r="CP104" i="1" a="1"/>
  <c r="CP104" i="1" s="1"/>
  <c r="BS110" i="1"/>
  <c r="DO110" i="1" a="1"/>
  <c r="DO110" i="1" s="1"/>
  <c r="DG110" i="1" a="1"/>
  <c r="DG110" i="1" s="1"/>
  <c r="CY110" i="1" a="1"/>
  <c r="CY110" i="1" s="1"/>
  <c r="CQ110" i="1" a="1"/>
  <c r="CQ110" i="1" s="1"/>
  <c r="CH110" i="1" a="1"/>
  <c r="CH110" i="1" s="1"/>
  <c r="BZ110" i="1" a="1"/>
  <c r="BZ110" i="1" s="1"/>
  <c r="DV110" i="1" a="1"/>
  <c r="DV110" i="1" s="1"/>
  <c r="DN110" i="1" a="1"/>
  <c r="DN110" i="1" s="1"/>
  <c r="DF110" i="1" a="1"/>
  <c r="DF110" i="1" s="1"/>
  <c r="CX110" i="1" a="1"/>
  <c r="CX110" i="1" s="1"/>
  <c r="CP110" i="1" a="1"/>
  <c r="CP110" i="1" s="1"/>
  <c r="CG110" i="1" a="1"/>
  <c r="CG110" i="1" s="1"/>
  <c r="BY110" i="1" a="1"/>
  <c r="BY110" i="1" s="1"/>
  <c r="DM110" i="1" a="1"/>
  <c r="DM110" i="1" s="1"/>
  <c r="DC110" i="1" a="1"/>
  <c r="DC110" i="1" s="1"/>
  <c r="CS110" i="1" a="1"/>
  <c r="CS110" i="1" s="1"/>
  <c r="CF110" i="1" a="1"/>
  <c r="CF110" i="1" s="1"/>
  <c r="DL110" i="1" a="1"/>
  <c r="DL110" i="1" s="1"/>
  <c r="DB110" i="1" a="1"/>
  <c r="DB110" i="1" s="1"/>
  <c r="CR110" i="1" a="1"/>
  <c r="CR110" i="1" s="1"/>
  <c r="CE110" i="1" a="1"/>
  <c r="CE110" i="1" s="1"/>
  <c r="DU110" i="1" a="1"/>
  <c r="DU110" i="1" s="1"/>
  <c r="DK110" i="1" a="1"/>
  <c r="DK110" i="1" s="1"/>
  <c r="DA110" i="1" a="1"/>
  <c r="DA110" i="1" s="1"/>
  <c r="CO110" i="1" a="1"/>
  <c r="CO110" i="1" s="1"/>
  <c r="CD110" i="1" a="1"/>
  <c r="CD110" i="1" s="1"/>
  <c r="DS110" i="1" a="1"/>
  <c r="DS110" i="1" s="1"/>
  <c r="DD110" i="1" a="1"/>
  <c r="DD110" i="1" s="1"/>
  <c r="CK110" i="1" a="1"/>
  <c r="CK110" i="1" s="1"/>
  <c r="DR110" i="1" a="1"/>
  <c r="DR110" i="1" s="1"/>
  <c r="CZ110" i="1" a="1"/>
  <c r="CZ110" i="1" s="1"/>
  <c r="CJ110" i="1" a="1"/>
  <c r="CJ110" i="1" s="1"/>
  <c r="DE110" i="1" a="1"/>
  <c r="DE110" i="1" s="1"/>
  <c r="CB110" i="1" a="1"/>
  <c r="CB110" i="1" s="1"/>
  <c r="CW110" i="1" a="1"/>
  <c r="CW110" i="1" s="1"/>
  <c r="CA110" i="1" a="1"/>
  <c r="CA110" i="1" s="1"/>
  <c r="CL110" i="1" a="1"/>
  <c r="CL110" i="1" s="1"/>
  <c r="DP110" i="1" a="1"/>
  <c r="DP110" i="1" s="1"/>
  <c r="CI110" i="1" a="1"/>
  <c r="CI110" i="1" s="1"/>
  <c r="DJ110" i="1" a="1"/>
  <c r="DJ110" i="1" s="1"/>
  <c r="CC110" i="1" a="1"/>
  <c r="CC110" i="1" s="1"/>
  <c r="BX110" i="1" a="1"/>
  <c r="BX110" i="1" s="1"/>
  <c r="DT110" i="1" a="1"/>
  <c r="DT110" i="1" s="1"/>
  <c r="DQ110" i="1" a="1"/>
  <c r="DQ110" i="1" s="1"/>
  <c r="BW110" i="1" a="1"/>
  <c r="BW110" i="1" s="1"/>
  <c r="CT110" i="1" a="1"/>
  <c r="CT110" i="1" s="1"/>
  <c r="CM110" i="1" a="1"/>
  <c r="CM110" i="1" s="1"/>
  <c r="CV110" i="1" a="1"/>
  <c r="CV110" i="1" s="1"/>
  <c r="CU110" i="1" a="1"/>
  <c r="CU110" i="1" s="1"/>
  <c r="DI110" i="1" a="1"/>
  <c r="DI110" i="1" s="1"/>
  <c r="DH110" i="1" a="1"/>
  <c r="DH110" i="1" s="1"/>
  <c r="BT107" i="1"/>
  <c r="BU107" i="1" s="1"/>
  <c r="BQ114" i="1"/>
  <c r="BA114" i="1"/>
  <c r="AK114" i="1"/>
  <c r="U114" i="1"/>
  <c r="E114" i="1"/>
  <c r="BP114" i="1"/>
  <c r="AZ114" i="1"/>
  <c r="AJ114" i="1"/>
  <c r="T114" i="1"/>
  <c r="D114" i="1"/>
  <c r="BO114" i="1"/>
  <c r="AY114" i="1"/>
  <c r="AI114" i="1"/>
  <c r="S114" i="1"/>
  <c r="C115" i="1"/>
  <c r="BN114" i="1"/>
  <c r="AX114" i="1"/>
  <c r="AH114" i="1"/>
  <c r="R114" i="1"/>
  <c r="A114" i="1"/>
  <c r="BE114" i="1"/>
  <c r="BS114" i="1" s="1"/>
  <c r="AG114" i="1"/>
  <c r="M114" i="1"/>
  <c r="BD114" i="1"/>
  <c r="AF114" i="1"/>
  <c r="L114" i="1"/>
  <c r="BC114" i="1"/>
  <c r="AE114" i="1"/>
  <c r="K114" i="1"/>
  <c r="BB114" i="1"/>
  <c r="AD114" i="1"/>
  <c r="J114" i="1"/>
  <c r="AW114" i="1"/>
  <c r="AC114" i="1"/>
  <c r="I114" i="1"/>
  <c r="DW114" i="1"/>
  <c r="AV114" i="1"/>
  <c r="AB114" i="1"/>
  <c r="H114" i="1"/>
  <c r="AU114" i="1"/>
  <c r="Q114" i="1"/>
  <c r="AT114" i="1"/>
  <c r="P114" i="1"/>
  <c r="AS114" i="1"/>
  <c r="O114" i="1"/>
  <c r="AR114" i="1"/>
  <c r="N114" i="1"/>
  <c r="AQ114" i="1"/>
  <c r="G114" i="1"/>
  <c r="AL114" i="1"/>
  <c r="AA114" i="1"/>
  <c r="Z114" i="1"/>
  <c r="BR114" i="1"/>
  <c r="BT114" i="1" s="1"/>
  <c r="Y114" i="1"/>
  <c r="BI114" i="1"/>
  <c r="BH114" i="1"/>
  <c r="BG114" i="1"/>
  <c r="BF114" i="1"/>
  <c r="C118" i="1"/>
  <c r="AP114" i="1"/>
  <c r="AO114" i="1"/>
  <c r="AN114" i="1"/>
  <c r="AM114" i="1"/>
  <c r="X114" i="1"/>
  <c r="BM114" i="1"/>
  <c r="BL114" i="1"/>
  <c r="V114" i="1"/>
  <c r="BK114" i="1"/>
  <c r="W114" i="1"/>
  <c r="F114" i="1"/>
  <c r="BJ114" i="1"/>
  <c r="BH105" i="1"/>
  <c r="AR105" i="1"/>
  <c r="AB105" i="1"/>
  <c r="L105" i="1"/>
  <c r="BG105" i="1"/>
  <c r="AQ105" i="1"/>
  <c r="AA105" i="1"/>
  <c r="K105" i="1"/>
  <c r="BF105" i="1"/>
  <c r="AP105" i="1"/>
  <c r="Z105" i="1"/>
  <c r="J105" i="1"/>
  <c r="BE105" i="1"/>
  <c r="BS105" i="1" s="1"/>
  <c r="AO105" i="1"/>
  <c r="Y105" i="1"/>
  <c r="I105" i="1"/>
  <c r="AZ105" i="1"/>
  <c r="AF105" i="1"/>
  <c r="H105" i="1"/>
  <c r="AY105" i="1"/>
  <c r="AE105" i="1"/>
  <c r="G105" i="1"/>
  <c r="BR105" i="1"/>
  <c r="AX105" i="1"/>
  <c r="AD105" i="1"/>
  <c r="F105" i="1"/>
  <c r="BQ105" i="1"/>
  <c r="AW105" i="1"/>
  <c r="AC105" i="1"/>
  <c r="E105" i="1"/>
  <c r="DW105" i="1"/>
  <c r="BP105" i="1"/>
  <c r="AN105" i="1"/>
  <c r="P105" i="1"/>
  <c r="BO105" i="1"/>
  <c r="AM105" i="1"/>
  <c r="O105" i="1"/>
  <c r="BN105" i="1"/>
  <c r="AL105" i="1"/>
  <c r="N105" i="1"/>
  <c r="BM105" i="1"/>
  <c r="AK105" i="1"/>
  <c r="M105" i="1"/>
  <c r="BL105" i="1"/>
  <c r="AJ105" i="1"/>
  <c r="D105" i="1"/>
  <c r="W105" i="1"/>
  <c r="BK105" i="1"/>
  <c r="V105" i="1"/>
  <c r="BJ105" i="1"/>
  <c r="U105" i="1"/>
  <c r="BI105" i="1"/>
  <c r="T105" i="1"/>
  <c r="AI105" i="1"/>
  <c r="AH105" i="1"/>
  <c r="AG105" i="1"/>
  <c r="X105" i="1"/>
  <c r="AV105" i="1"/>
  <c r="AU105" i="1"/>
  <c r="AT105" i="1"/>
  <c r="AS105" i="1"/>
  <c r="BD105" i="1"/>
  <c r="A105" i="1"/>
  <c r="BC105" i="1"/>
  <c r="BB105" i="1"/>
  <c r="BA105" i="1"/>
  <c r="S105" i="1"/>
  <c r="R105" i="1"/>
  <c r="Q105" i="1"/>
  <c r="BS104" i="1"/>
  <c r="BS101" i="1"/>
  <c r="C112" i="1"/>
  <c r="BN111" i="1"/>
  <c r="AX111" i="1"/>
  <c r="AH111" i="1"/>
  <c r="R111" i="1"/>
  <c r="A111" i="1"/>
  <c r="BM111" i="1"/>
  <c r="AW111" i="1"/>
  <c r="AG111" i="1"/>
  <c r="Q111" i="1"/>
  <c r="DW111" i="1"/>
  <c r="BL111" i="1"/>
  <c r="AV111" i="1"/>
  <c r="AF111" i="1"/>
  <c r="P111" i="1"/>
  <c r="BK111" i="1"/>
  <c r="AU111" i="1"/>
  <c r="AE111" i="1"/>
  <c r="O111" i="1"/>
  <c r="BR111" i="1"/>
  <c r="AT111" i="1"/>
  <c r="Z111" i="1"/>
  <c r="F111" i="1"/>
  <c r="BQ111" i="1"/>
  <c r="AS111" i="1"/>
  <c r="Y111" i="1"/>
  <c r="E111" i="1"/>
  <c r="BP111" i="1"/>
  <c r="AR111" i="1"/>
  <c r="X111" i="1"/>
  <c r="D111" i="1"/>
  <c r="BO111" i="1"/>
  <c r="AQ111" i="1"/>
  <c r="W111" i="1"/>
  <c r="BJ111" i="1"/>
  <c r="AP111" i="1"/>
  <c r="V111" i="1"/>
  <c r="BI111" i="1"/>
  <c r="AO111" i="1"/>
  <c r="U111" i="1"/>
  <c r="BH111" i="1"/>
  <c r="AD111" i="1"/>
  <c r="BG111" i="1"/>
  <c r="AC111" i="1"/>
  <c r="BF111" i="1"/>
  <c r="AB111" i="1"/>
  <c r="BE111" i="1"/>
  <c r="AA111" i="1"/>
  <c r="BD111" i="1"/>
  <c r="T111" i="1"/>
  <c r="K111" i="1"/>
  <c r="BC111" i="1"/>
  <c r="J111" i="1"/>
  <c r="BB111" i="1"/>
  <c r="I111" i="1"/>
  <c r="BA111" i="1"/>
  <c r="H111" i="1"/>
  <c r="AZ111" i="1"/>
  <c r="AY111" i="1"/>
  <c r="AN111" i="1"/>
  <c r="AM111" i="1"/>
  <c r="G111" i="1"/>
  <c r="AL111" i="1"/>
  <c r="AK111" i="1"/>
  <c r="AJ111" i="1"/>
  <c r="AI111" i="1"/>
  <c r="S111" i="1"/>
  <c r="N111" i="1"/>
  <c r="M111" i="1"/>
  <c r="L111" i="1"/>
  <c r="DT101" i="1" a="1"/>
  <c r="DT101" i="1" s="1"/>
  <c r="DL101" i="1" a="1"/>
  <c r="DL101" i="1" s="1"/>
  <c r="DD101" i="1" a="1"/>
  <c r="DD101" i="1" s="1"/>
  <c r="CV101" i="1" a="1"/>
  <c r="CV101" i="1" s="1"/>
  <c r="DS101" i="1" a="1"/>
  <c r="DS101" i="1" s="1"/>
  <c r="DK101" i="1" a="1"/>
  <c r="DK101" i="1" s="1"/>
  <c r="DC101" i="1" a="1"/>
  <c r="DC101" i="1" s="1"/>
  <c r="CU101" i="1" a="1"/>
  <c r="CU101" i="1" s="1"/>
  <c r="CL101" i="1" a="1"/>
  <c r="CL101" i="1" s="1"/>
  <c r="CD101" i="1" a="1"/>
  <c r="CD101" i="1" s="1"/>
  <c r="CJ101" i="1" a="1"/>
  <c r="CJ101" i="1" s="1"/>
  <c r="DP101" i="1" a="1"/>
  <c r="DP101" i="1" s="1"/>
  <c r="DF101" i="1" a="1"/>
  <c r="DF101" i="1" s="1"/>
  <c r="CT101" i="1" a="1"/>
  <c r="CT101" i="1" s="1"/>
  <c r="BZ101" i="1" a="1"/>
  <c r="BZ101" i="1" s="1"/>
  <c r="CI101" i="1" a="1"/>
  <c r="CI101" i="1" s="1"/>
  <c r="DO101" i="1" a="1"/>
  <c r="DO101" i="1" s="1"/>
  <c r="DE101" i="1" a="1"/>
  <c r="DE101" i="1" s="1"/>
  <c r="CS101" i="1" a="1"/>
  <c r="CS101" i="1" s="1"/>
  <c r="BY101" i="1" a="1"/>
  <c r="BY101" i="1" s="1"/>
  <c r="CH101" i="1" a="1"/>
  <c r="CH101" i="1" s="1"/>
  <c r="CO101" i="1" a="1"/>
  <c r="CO101" i="1" s="1"/>
  <c r="BX101" i="1" a="1"/>
  <c r="BX101" i="1" s="1"/>
  <c r="DR101" i="1" a="1"/>
  <c r="DR101" i="1" s="1"/>
  <c r="DA101" i="1" a="1"/>
  <c r="DA101" i="1" s="1"/>
  <c r="CM101" i="1" a="1"/>
  <c r="CM101" i="1" s="1"/>
  <c r="BW101" i="1" a="1"/>
  <c r="BW101" i="1" s="1"/>
  <c r="DQ101" i="1" a="1"/>
  <c r="DQ101" i="1" s="1"/>
  <c r="CZ101" i="1" a="1"/>
  <c r="CZ101" i="1" s="1"/>
  <c r="CK101" i="1" a="1"/>
  <c r="CK101" i="1" s="1"/>
  <c r="CF101" i="1" a="1"/>
  <c r="CF101" i="1" s="1"/>
  <c r="DV101" i="1" a="1"/>
  <c r="DV101" i="1" s="1"/>
  <c r="CY101" i="1" a="1"/>
  <c r="CY101" i="1" s="1"/>
  <c r="CE101" i="1" a="1"/>
  <c r="CE101" i="1" s="1"/>
  <c r="DU101" i="1" a="1"/>
  <c r="DU101" i="1" s="1"/>
  <c r="CX101" i="1" a="1"/>
  <c r="CX101" i="1" s="1"/>
  <c r="CC101" i="1" a="1"/>
  <c r="CC101" i="1" s="1"/>
  <c r="CW101" i="1" a="1"/>
  <c r="CW101" i="1" s="1"/>
  <c r="CR101" i="1" a="1"/>
  <c r="CR101" i="1" s="1"/>
  <c r="CQ101" i="1" a="1"/>
  <c r="CQ101" i="1" s="1"/>
  <c r="CP101" i="1" a="1"/>
  <c r="CP101" i="1" s="1"/>
  <c r="DH101" i="1" a="1"/>
  <c r="DH101" i="1" s="1"/>
  <c r="DG101" i="1" a="1"/>
  <c r="DG101" i="1" s="1"/>
  <c r="DB101" i="1" a="1"/>
  <c r="DB101" i="1" s="1"/>
  <c r="CB101" i="1" a="1"/>
  <c r="CB101" i="1" s="1"/>
  <c r="CA101" i="1" a="1"/>
  <c r="CA101" i="1" s="1"/>
  <c r="DN101" i="1" a="1"/>
  <c r="DN101" i="1" s="1"/>
  <c r="DM101" i="1" a="1"/>
  <c r="DM101" i="1" s="1"/>
  <c r="DJ101" i="1" a="1"/>
  <c r="DJ101" i="1" s="1"/>
  <c r="DI101" i="1" a="1"/>
  <c r="DI101" i="1" s="1"/>
  <c r="CG101" i="1" a="1"/>
  <c r="CG101" i="1" s="1"/>
  <c r="DV107" i="1" a="1"/>
  <c r="DV107" i="1" s="1"/>
  <c r="DN107" i="1" a="1"/>
  <c r="DN107" i="1" s="1"/>
  <c r="DF107" i="1" a="1"/>
  <c r="DF107" i="1" s="1"/>
  <c r="CX107" i="1" a="1"/>
  <c r="CX107" i="1" s="1"/>
  <c r="CP107" i="1" a="1"/>
  <c r="CP107" i="1" s="1"/>
  <c r="CG107" i="1" a="1"/>
  <c r="CG107" i="1" s="1"/>
  <c r="BY107" i="1" a="1"/>
  <c r="BY107" i="1" s="1"/>
  <c r="DU107" i="1" a="1"/>
  <c r="DU107" i="1" s="1"/>
  <c r="DM107" i="1" a="1"/>
  <c r="DM107" i="1" s="1"/>
  <c r="DE107" i="1" a="1"/>
  <c r="DE107" i="1" s="1"/>
  <c r="CW107" i="1" a="1"/>
  <c r="CW107" i="1" s="1"/>
  <c r="CO107" i="1" a="1"/>
  <c r="CO107" i="1" s="1"/>
  <c r="CF107" i="1" a="1"/>
  <c r="CF107" i="1" s="1"/>
  <c r="BX107" i="1" a="1"/>
  <c r="BX107" i="1" s="1"/>
  <c r="DT107" i="1" a="1"/>
  <c r="DT107" i="1" s="1"/>
  <c r="DJ107" i="1" a="1"/>
  <c r="DJ107" i="1" s="1"/>
  <c r="CZ107" i="1" a="1"/>
  <c r="CZ107" i="1" s="1"/>
  <c r="CM107" i="1" a="1"/>
  <c r="CM107" i="1" s="1"/>
  <c r="CC107" i="1" a="1"/>
  <c r="CC107" i="1" s="1"/>
  <c r="DS107" i="1" a="1"/>
  <c r="DS107" i="1" s="1"/>
  <c r="DI107" i="1" a="1"/>
  <c r="DI107" i="1" s="1"/>
  <c r="CY107" i="1" a="1"/>
  <c r="CY107" i="1" s="1"/>
  <c r="CL107" i="1" a="1"/>
  <c r="CL107" i="1" s="1"/>
  <c r="CB107" i="1" a="1"/>
  <c r="CB107" i="1" s="1"/>
  <c r="DR107" i="1" a="1"/>
  <c r="DR107" i="1" s="1"/>
  <c r="DH107" i="1" a="1"/>
  <c r="DH107" i="1" s="1"/>
  <c r="CV107" i="1" a="1"/>
  <c r="CV107" i="1" s="1"/>
  <c r="CK107" i="1" a="1"/>
  <c r="CK107" i="1" s="1"/>
  <c r="CA107" i="1" a="1"/>
  <c r="CA107" i="1" s="1"/>
  <c r="DK107" i="1" a="1"/>
  <c r="DK107" i="1" s="1"/>
  <c r="CS107" i="1" a="1"/>
  <c r="CS107" i="1" s="1"/>
  <c r="DG107" i="1" a="1"/>
  <c r="DG107" i="1" s="1"/>
  <c r="CR107" i="1" a="1"/>
  <c r="CR107" i="1" s="1"/>
  <c r="BZ107" i="1" a="1"/>
  <c r="BZ107" i="1" s="1"/>
  <c r="DD107" i="1" a="1"/>
  <c r="DD107" i="1" s="1"/>
  <c r="CQ107" i="1" a="1"/>
  <c r="CQ107" i="1" s="1"/>
  <c r="BW107" i="1" a="1"/>
  <c r="BW107" i="1" s="1"/>
  <c r="CT107" i="1" a="1"/>
  <c r="CT107" i="1" s="1"/>
  <c r="DP107" i="1" a="1"/>
  <c r="DP107" i="1" s="1"/>
  <c r="DO107" i="1" a="1"/>
  <c r="DO107" i="1" s="1"/>
  <c r="CH107" i="1" a="1"/>
  <c r="CH107" i="1" s="1"/>
  <c r="DL107" i="1" a="1"/>
  <c r="DL107" i="1" s="1"/>
  <c r="CE107" i="1" a="1"/>
  <c r="CE107" i="1" s="1"/>
  <c r="CD107" i="1" a="1"/>
  <c r="CD107" i="1" s="1"/>
  <c r="DQ107" i="1" a="1"/>
  <c r="DQ107" i="1" s="1"/>
  <c r="DC107" i="1" a="1"/>
  <c r="DC107" i="1" s="1"/>
  <c r="DB107" i="1" a="1"/>
  <c r="DB107" i="1" s="1"/>
  <c r="DA107" i="1" a="1"/>
  <c r="DA107" i="1" s="1"/>
  <c r="CU107" i="1" a="1"/>
  <c r="CU107" i="1" s="1"/>
  <c r="CJ107" i="1" a="1"/>
  <c r="CJ107" i="1" s="1"/>
  <c r="CI107" i="1" a="1"/>
  <c r="CI107" i="1" s="1"/>
  <c r="BT104" i="1"/>
  <c r="BU104" i="1" s="1"/>
  <c r="BT110" i="1"/>
  <c r="BU110" i="1" s="1"/>
  <c r="BK108" i="1"/>
  <c r="AU108" i="1"/>
  <c r="AE108" i="1"/>
  <c r="O108" i="1"/>
  <c r="BJ108" i="1"/>
  <c r="AT108" i="1"/>
  <c r="AD108" i="1"/>
  <c r="N108" i="1"/>
  <c r="BI108" i="1"/>
  <c r="AS108" i="1"/>
  <c r="AC108" i="1"/>
  <c r="M108" i="1"/>
  <c r="BH108" i="1"/>
  <c r="AR108" i="1"/>
  <c r="AB108" i="1"/>
  <c r="L108" i="1"/>
  <c r="BG108" i="1"/>
  <c r="AM108" i="1"/>
  <c r="S108" i="1"/>
  <c r="BF108" i="1"/>
  <c r="AL108" i="1"/>
  <c r="R108" i="1"/>
  <c r="BE108" i="1"/>
  <c r="BS108" i="1" s="1"/>
  <c r="AK108" i="1"/>
  <c r="Q108" i="1"/>
  <c r="BD108" i="1"/>
  <c r="AJ108" i="1"/>
  <c r="P108" i="1"/>
  <c r="BC108" i="1"/>
  <c r="AI108" i="1"/>
  <c r="K108" i="1"/>
  <c r="BB108" i="1"/>
  <c r="AH108" i="1"/>
  <c r="J108" i="1"/>
  <c r="AQ108" i="1"/>
  <c r="G108" i="1"/>
  <c r="C109" i="1"/>
  <c r="AP108" i="1"/>
  <c r="F108" i="1"/>
  <c r="AO108" i="1"/>
  <c r="E108" i="1"/>
  <c r="DW108" i="1"/>
  <c r="BR108" i="1"/>
  <c r="AN108" i="1"/>
  <c r="D108" i="1"/>
  <c r="BQ108" i="1"/>
  <c r="AG108" i="1"/>
  <c r="AV108" i="1"/>
  <c r="AF108" i="1"/>
  <c r="AA108" i="1"/>
  <c r="Z108" i="1"/>
  <c r="AZ108" i="1"/>
  <c r="AY108" i="1"/>
  <c r="AX108" i="1"/>
  <c r="AW108" i="1"/>
  <c r="A108" i="1"/>
  <c r="BP108" i="1"/>
  <c r="BO108" i="1"/>
  <c r="U108" i="1"/>
  <c r="T108" i="1"/>
  <c r="I108" i="1"/>
  <c r="H108" i="1"/>
  <c r="BN108" i="1"/>
  <c r="BM108" i="1"/>
  <c r="BL108" i="1"/>
  <c r="BA108" i="1"/>
  <c r="V108" i="1"/>
  <c r="Y108" i="1"/>
  <c r="X108" i="1"/>
  <c r="W108" i="1"/>
  <c r="BT101" i="1"/>
  <c r="BU101" i="1" s="1"/>
  <c r="BR115" i="1" l="1"/>
  <c r="BB115" i="1"/>
  <c r="AL115" i="1"/>
  <c r="V115" i="1"/>
  <c r="F115" i="1"/>
  <c r="BQ115" i="1"/>
  <c r="BA115" i="1"/>
  <c r="AK115" i="1"/>
  <c r="U115" i="1"/>
  <c r="E115" i="1"/>
  <c r="BP115" i="1"/>
  <c r="AZ115" i="1"/>
  <c r="AJ115" i="1"/>
  <c r="T115" i="1"/>
  <c r="D115" i="1"/>
  <c r="BO115" i="1"/>
  <c r="AY115" i="1"/>
  <c r="AI115" i="1"/>
  <c r="S115" i="1"/>
  <c r="C116" i="1"/>
  <c r="AX115" i="1"/>
  <c r="AD115" i="1"/>
  <c r="J115" i="1"/>
  <c r="AW115" i="1"/>
  <c r="AC115" i="1"/>
  <c r="I115" i="1"/>
  <c r="DW115" i="1"/>
  <c r="AV115" i="1"/>
  <c r="AB115" i="1"/>
  <c r="H115" i="1"/>
  <c r="AU115" i="1"/>
  <c r="AA115" i="1"/>
  <c r="G115" i="1"/>
  <c r="BN115" i="1"/>
  <c r="AT115" i="1"/>
  <c r="Z115" i="1"/>
  <c r="A115" i="1"/>
  <c r="BM115" i="1"/>
  <c r="AS115" i="1"/>
  <c r="Y115" i="1"/>
  <c r="AR115" i="1"/>
  <c r="N115" i="1"/>
  <c r="AQ115" i="1"/>
  <c r="M115" i="1"/>
  <c r="AP115" i="1"/>
  <c r="L115" i="1"/>
  <c r="AO115" i="1"/>
  <c r="K115" i="1"/>
  <c r="AN115" i="1"/>
  <c r="BG115" i="1"/>
  <c r="BF115" i="1"/>
  <c r="BE115" i="1"/>
  <c r="BD115" i="1"/>
  <c r="R115" i="1"/>
  <c r="Q115" i="1"/>
  <c r="P115" i="1"/>
  <c r="BL115" i="1"/>
  <c r="O115" i="1"/>
  <c r="BC115" i="1"/>
  <c r="AM115" i="1"/>
  <c r="AH115" i="1"/>
  <c r="AG115" i="1"/>
  <c r="AF115" i="1"/>
  <c r="AE115" i="1"/>
  <c r="X115" i="1"/>
  <c r="W115" i="1"/>
  <c r="BH115" i="1"/>
  <c r="BK115" i="1"/>
  <c r="BJ115" i="1"/>
  <c r="BI115" i="1"/>
  <c r="BT105" i="1"/>
  <c r="DV108" i="1" a="1"/>
  <c r="DV108" i="1" s="1"/>
  <c r="DN108" i="1" a="1"/>
  <c r="DN108" i="1" s="1"/>
  <c r="DF108" i="1" a="1"/>
  <c r="DF108" i="1" s="1"/>
  <c r="CX108" i="1" a="1"/>
  <c r="CX108" i="1" s="1"/>
  <c r="CP108" i="1" a="1"/>
  <c r="CP108" i="1" s="1"/>
  <c r="CG108" i="1" a="1"/>
  <c r="CG108" i="1" s="1"/>
  <c r="BY108" i="1" a="1"/>
  <c r="BY108" i="1" s="1"/>
  <c r="DU108" i="1" a="1"/>
  <c r="DU108" i="1" s="1"/>
  <c r="DM108" i="1" a="1"/>
  <c r="DM108" i="1" s="1"/>
  <c r="DE108" i="1" a="1"/>
  <c r="DE108" i="1" s="1"/>
  <c r="CW108" i="1" a="1"/>
  <c r="CW108" i="1" s="1"/>
  <c r="CO108" i="1" a="1"/>
  <c r="CO108" i="1" s="1"/>
  <c r="CF108" i="1" a="1"/>
  <c r="CF108" i="1" s="1"/>
  <c r="BX108" i="1" a="1"/>
  <c r="BX108" i="1" s="1"/>
  <c r="DR108" i="1" a="1"/>
  <c r="DR108" i="1" s="1"/>
  <c r="DH108" i="1" a="1"/>
  <c r="DH108" i="1" s="1"/>
  <c r="CV108" i="1" a="1"/>
  <c r="CV108" i="1" s="1"/>
  <c r="CK108" i="1" a="1"/>
  <c r="CK108" i="1" s="1"/>
  <c r="CA108" i="1" a="1"/>
  <c r="CA108" i="1" s="1"/>
  <c r="DQ108" i="1" a="1"/>
  <c r="DQ108" i="1" s="1"/>
  <c r="DG108" i="1" a="1"/>
  <c r="DG108" i="1" s="1"/>
  <c r="CU108" i="1" a="1"/>
  <c r="CU108" i="1" s="1"/>
  <c r="CJ108" i="1" a="1"/>
  <c r="CJ108" i="1" s="1"/>
  <c r="BZ108" i="1" a="1"/>
  <c r="BZ108" i="1" s="1"/>
  <c r="DP108" i="1" a="1"/>
  <c r="DP108" i="1" s="1"/>
  <c r="DD108" i="1" a="1"/>
  <c r="DD108" i="1" s="1"/>
  <c r="CT108" i="1" a="1"/>
  <c r="CT108" i="1" s="1"/>
  <c r="CI108" i="1" a="1"/>
  <c r="CI108" i="1" s="1"/>
  <c r="BW108" i="1" a="1"/>
  <c r="BW108" i="1" s="1"/>
  <c r="DI108" i="1" a="1"/>
  <c r="DI108" i="1" s="1"/>
  <c r="CQ108" i="1" a="1"/>
  <c r="CQ108" i="1" s="1"/>
  <c r="DC108" i="1" a="1"/>
  <c r="DC108" i="1" s="1"/>
  <c r="CM108" i="1" a="1"/>
  <c r="CM108" i="1" s="1"/>
  <c r="DB108" i="1" a="1"/>
  <c r="DB108" i="1" s="1"/>
  <c r="CD108" i="1" a="1"/>
  <c r="CD108" i="1" s="1"/>
  <c r="DA108" i="1" a="1"/>
  <c r="DA108" i="1" s="1"/>
  <c r="CC108" i="1" a="1"/>
  <c r="CC108" i="1" s="1"/>
  <c r="CS108" i="1" a="1"/>
  <c r="CS108" i="1" s="1"/>
  <c r="DT108" i="1" a="1"/>
  <c r="DT108" i="1" s="1"/>
  <c r="CR108" i="1" a="1"/>
  <c r="CR108" i="1" s="1"/>
  <c r="DS108" i="1" a="1"/>
  <c r="DS108" i="1" s="1"/>
  <c r="CL108" i="1" a="1"/>
  <c r="CL108" i="1" s="1"/>
  <c r="DO108" i="1" a="1"/>
  <c r="DO108" i="1" s="1"/>
  <c r="CB108" i="1" a="1"/>
  <c r="CB108" i="1" s="1"/>
  <c r="DL108" i="1" a="1"/>
  <c r="DL108" i="1" s="1"/>
  <c r="CH108" i="1" a="1"/>
  <c r="CH108" i="1" s="1"/>
  <c r="CE108" i="1" a="1"/>
  <c r="CE108" i="1" s="1"/>
  <c r="DK108" i="1" a="1"/>
  <c r="DK108" i="1" s="1"/>
  <c r="DJ108" i="1" a="1"/>
  <c r="DJ108" i="1" s="1"/>
  <c r="CZ108" i="1" a="1"/>
  <c r="CZ108" i="1" s="1"/>
  <c r="CY108" i="1" a="1"/>
  <c r="CY108" i="1" s="1"/>
  <c r="BU105" i="1"/>
  <c r="DP111" i="1" a="1"/>
  <c r="DP111" i="1" s="1"/>
  <c r="DH111" i="1" a="1"/>
  <c r="DH111" i="1" s="1"/>
  <c r="CZ111" i="1" a="1"/>
  <c r="CZ111" i="1" s="1"/>
  <c r="CR111" i="1" a="1"/>
  <c r="CR111" i="1" s="1"/>
  <c r="CI111" i="1" a="1"/>
  <c r="CI111" i="1" s="1"/>
  <c r="CA111" i="1" a="1"/>
  <c r="CA111" i="1" s="1"/>
  <c r="DO111" i="1" a="1"/>
  <c r="DO111" i="1" s="1"/>
  <c r="DG111" i="1" a="1"/>
  <c r="DG111" i="1" s="1"/>
  <c r="CY111" i="1" a="1"/>
  <c r="CY111" i="1" s="1"/>
  <c r="CQ111" i="1" a="1"/>
  <c r="CQ111" i="1" s="1"/>
  <c r="CH111" i="1" a="1"/>
  <c r="CH111" i="1" s="1"/>
  <c r="BZ111" i="1" a="1"/>
  <c r="BZ111" i="1" s="1"/>
  <c r="DV111" i="1" a="1"/>
  <c r="DV111" i="1" s="1"/>
  <c r="DL111" i="1" a="1"/>
  <c r="DL111" i="1" s="1"/>
  <c r="DB111" i="1" a="1"/>
  <c r="DB111" i="1" s="1"/>
  <c r="CP111" i="1" a="1"/>
  <c r="CP111" i="1" s="1"/>
  <c r="CE111" i="1" a="1"/>
  <c r="CE111" i="1" s="1"/>
  <c r="DU111" i="1" a="1"/>
  <c r="DU111" i="1" s="1"/>
  <c r="DK111" i="1" a="1"/>
  <c r="DK111" i="1" s="1"/>
  <c r="DA111" i="1" a="1"/>
  <c r="DA111" i="1" s="1"/>
  <c r="CO111" i="1" a="1"/>
  <c r="CO111" i="1" s="1"/>
  <c r="CD111" i="1" a="1"/>
  <c r="CD111" i="1" s="1"/>
  <c r="DT111" i="1" a="1"/>
  <c r="DT111" i="1" s="1"/>
  <c r="DJ111" i="1" a="1"/>
  <c r="DJ111" i="1" s="1"/>
  <c r="CX111" i="1" a="1"/>
  <c r="CX111" i="1" s="1"/>
  <c r="CM111" i="1" a="1"/>
  <c r="CM111" i="1" s="1"/>
  <c r="CC111" i="1" a="1"/>
  <c r="CC111" i="1" s="1"/>
  <c r="DR111" i="1" a="1"/>
  <c r="DR111" i="1" s="1"/>
  <c r="DC111" i="1" a="1"/>
  <c r="DC111" i="1" s="1"/>
  <c r="CJ111" i="1" a="1"/>
  <c r="CJ111" i="1" s="1"/>
  <c r="DQ111" i="1" a="1"/>
  <c r="DQ111" i="1" s="1"/>
  <c r="CW111" i="1" a="1"/>
  <c r="CW111" i="1" s="1"/>
  <c r="CG111" i="1" a="1"/>
  <c r="CG111" i="1" s="1"/>
  <c r="DN111" i="1" a="1"/>
  <c r="DN111" i="1" s="1"/>
  <c r="CV111" i="1" a="1"/>
  <c r="CV111" i="1" s="1"/>
  <c r="CF111" i="1" a="1"/>
  <c r="CF111" i="1" s="1"/>
  <c r="CS111" i="1" a="1"/>
  <c r="CS111" i="1" s="1"/>
  <c r="DM111" i="1" a="1"/>
  <c r="DM111" i="1" s="1"/>
  <c r="CL111" i="1" a="1"/>
  <c r="CL111" i="1" s="1"/>
  <c r="DI111" i="1" a="1"/>
  <c r="DI111" i="1" s="1"/>
  <c r="CU111" i="1" a="1"/>
  <c r="CU111" i="1" s="1"/>
  <c r="CT111" i="1" a="1"/>
  <c r="CT111" i="1" s="1"/>
  <c r="BY111" i="1" a="1"/>
  <c r="BY111" i="1" s="1"/>
  <c r="DS111" i="1" a="1"/>
  <c r="DS111" i="1" s="1"/>
  <c r="BX111" i="1" a="1"/>
  <c r="BX111" i="1" s="1"/>
  <c r="DF111" i="1" a="1"/>
  <c r="DF111" i="1" s="1"/>
  <c r="DE111" i="1" a="1"/>
  <c r="DE111" i="1" s="1"/>
  <c r="CK111" i="1" a="1"/>
  <c r="CK111" i="1" s="1"/>
  <c r="CB111" i="1" a="1"/>
  <c r="CB111" i="1" s="1"/>
  <c r="DD111" i="1" a="1"/>
  <c r="DD111" i="1" s="1"/>
  <c r="BW111" i="1" a="1"/>
  <c r="BW111" i="1" s="1"/>
  <c r="BU114" i="1"/>
  <c r="BE118" i="1"/>
  <c r="BS118" i="1" s="1"/>
  <c r="BD118" i="1"/>
  <c r="BC118" i="1"/>
  <c r="BR118" i="1"/>
  <c r="BB118" i="1"/>
  <c r="BQ118" i="1"/>
  <c r="BA118" i="1"/>
  <c r="BP118" i="1"/>
  <c r="AZ118" i="1"/>
  <c r="BO118" i="1"/>
  <c r="AY118" i="1"/>
  <c r="C119" i="1"/>
  <c r="BN118" i="1"/>
  <c r="AX118" i="1"/>
  <c r="BM118" i="1"/>
  <c r="AW118" i="1"/>
  <c r="DW118" i="1"/>
  <c r="BL118" i="1"/>
  <c r="AV118" i="1"/>
  <c r="C122" i="1"/>
  <c r="BK118" i="1"/>
  <c r="AU118" i="1"/>
  <c r="BJ118" i="1"/>
  <c r="AT118" i="1"/>
  <c r="BI118" i="1"/>
  <c r="AS118" i="1"/>
  <c r="BH118" i="1"/>
  <c r="AR118" i="1"/>
  <c r="BG118" i="1"/>
  <c r="AQ118" i="1"/>
  <c r="BF118" i="1"/>
  <c r="AP118" i="1"/>
  <c r="AO118" i="1"/>
  <c r="Y118" i="1"/>
  <c r="I118" i="1"/>
  <c r="AN118" i="1"/>
  <c r="X118" i="1"/>
  <c r="H118" i="1"/>
  <c r="AM118" i="1"/>
  <c r="W118" i="1"/>
  <c r="G118" i="1"/>
  <c r="AL118" i="1"/>
  <c r="V118" i="1"/>
  <c r="F118" i="1"/>
  <c r="AK118" i="1"/>
  <c r="Q118" i="1"/>
  <c r="AJ118" i="1"/>
  <c r="P118" i="1"/>
  <c r="AI118" i="1"/>
  <c r="O118" i="1"/>
  <c r="AH118" i="1"/>
  <c r="N118" i="1"/>
  <c r="AG118" i="1"/>
  <c r="M118" i="1"/>
  <c r="AF118" i="1"/>
  <c r="L118" i="1"/>
  <c r="AE118" i="1"/>
  <c r="AD118" i="1"/>
  <c r="AC118" i="1"/>
  <c r="AB118" i="1"/>
  <c r="AA118" i="1"/>
  <c r="Z118" i="1"/>
  <c r="U118" i="1"/>
  <c r="T118" i="1"/>
  <c r="S118" i="1"/>
  <c r="R118" i="1"/>
  <c r="K118" i="1"/>
  <c r="J118" i="1"/>
  <c r="E118" i="1"/>
  <c r="D118" i="1"/>
  <c r="A118" i="1"/>
  <c r="DQ114" i="1" a="1"/>
  <c r="DQ114" i="1" s="1"/>
  <c r="DI114" i="1" a="1"/>
  <c r="DI114" i="1" s="1"/>
  <c r="DA114" i="1" a="1"/>
  <c r="DA114" i="1" s="1"/>
  <c r="CS114" i="1" a="1"/>
  <c r="CS114" i="1" s="1"/>
  <c r="CJ114" i="1" a="1"/>
  <c r="CJ114" i="1" s="1"/>
  <c r="CB114" i="1" a="1"/>
  <c r="CB114" i="1" s="1"/>
  <c r="DP114" i="1" a="1"/>
  <c r="DP114" i="1" s="1"/>
  <c r="DH114" i="1" a="1"/>
  <c r="DH114" i="1" s="1"/>
  <c r="CZ114" i="1" a="1"/>
  <c r="CZ114" i="1" s="1"/>
  <c r="CR114" i="1" a="1"/>
  <c r="CR114" i="1" s="1"/>
  <c r="CI114" i="1" a="1"/>
  <c r="CI114" i="1" s="1"/>
  <c r="CA114" i="1" a="1"/>
  <c r="CA114" i="1" s="1"/>
  <c r="DO114" i="1" a="1"/>
  <c r="DO114" i="1" s="1"/>
  <c r="DE114" i="1" a="1"/>
  <c r="DE114" i="1" s="1"/>
  <c r="CU114" i="1" a="1"/>
  <c r="CU114" i="1" s="1"/>
  <c r="CH114" i="1" a="1"/>
  <c r="CH114" i="1" s="1"/>
  <c r="BX114" i="1" a="1"/>
  <c r="BX114" i="1" s="1"/>
  <c r="DN114" i="1" a="1"/>
  <c r="DN114" i="1" s="1"/>
  <c r="DD114" i="1" a="1"/>
  <c r="DD114" i="1" s="1"/>
  <c r="CT114" i="1" a="1"/>
  <c r="CT114" i="1" s="1"/>
  <c r="CG114" i="1" a="1"/>
  <c r="CG114" i="1" s="1"/>
  <c r="BW114" i="1" a="1"/>
  <c r="BW114" i="1" s="1"/>
  <c r="DM114" i="1" a="1"/>
  <c r="DM114" i="1" s="1"/>
  <c r="DC114" i="1" a="1"/>
  <c r="DC114" i="1" s="1"/>
  <c r="CQ114" i="1" a="1"/>
  <c r="CQ114" i="1" s="1"/>
  <c r="CF114" i="1" a="1"/>
  <c r="CF114" i="1" s="1"/>
  <c r="DK114" i="1" a="1"/>
  <c r="DK114" i="1" s="1"/>
  <c r="CV114" i="1" a="1"/>
  <c r="CV114" i="1" s="1"/>
  <c r="CC114" i="1" a="1"/>
  <c r="CC114" i="1" s="1"/>
  <c r="DJ114" i="1" a="1"/>
  <c r="DJ114" i="1" s="1"/>
  <c r="CP114" i="1" a="1"/>
  <c r="CP114" i="1" s="1"/>
  <c r="BZ114" i="1" a="1"/>
  <c r="BZ114" i="1" s="1"/>
  <c r="DV114" i="1" a="1"/>
  <c r="DV114" i="1" s="1"/>
  <c r="CD114" i="1" a="1"/>
  <c r="CD114" i="1" s="1"/>
  <c r="CY114" i="1" a="1"/>
  <c r="CY114" i="1" s="1"/>
  <c r="BY114" i="1" a="1"/>
  <c r="BY114" i="1" s="1"/>
  <c r="DU114" i="1" a="1"/>
  <c r="DU114" i="1" s="1"/>
  <c r="CX114" i="1" a="1"/>
  <c r="CX114" i="1" s="1"/>
  <c r="CW114" i="1" a="1"/>
  <c r="CW114" i="1" s="1"/>
  <c r="CO114" i="1" a="1"/>
  <c r="CO114" i="1" s="1"/>
  <c r="DT114" i="1" a="1"/>
  <c r="DT114" i="1" s="1"/>
  <c r="CK114" i="1" a="1"/>
  <c r="CK114" i="1" s="1"/>
  <c r="DS114" i="1" a="1"/>
  <c r="DS114" i="1" s="1"/>
  <c r="CE114" i="1" a="1"/>
  <c r="CE114" i="1" s="1"/>
  <c r="CM114" i="1" a="1"/>
  <c r="CM114" i="1" s="1"/>
  <c r="CL114" i="1" a="1"/>
  <c r="CL114" i="1" s="1"/>
  <c r="DR114" i="1" a="1"/>
  <c r="DR114" i="1" s="1"/>
  <c r="DL114" i="1" a="1"/>
  <c r="DL114" i="1" s="1"/>
  <c r="DG114" i="1" a="1"/>
  <c r="DG114" i="1" s="1"/>
  <c r="DF114" i="1" a="1"/>
  <c r="DF114" i="1" s="1"/>
  <c r="DB114" i="1" a="1"/>
  <c r="DB114" i="1" s="1"/>
  <c r="BT108" i="1"/>
  <c r="DU105" i="1" a="1"/>
  <c r="DU105" i="1" s="1"/>
  <c r="DM105" i="1" a="1"/>
  <c r="DM105" i="1" s="1"/>
  <c r="DE105" i="1" a="1"/>
  <c r="DE105" i="1" s="1"/>
  <c r="CW105" i="1" a="1"/>
  <c r="CW105" i="1" s="1"/>
  <c r="CO105" i="1" a="1"/>
  <c r="CO105" i="1" s="1"/>
  <c r="CF105" i="1" a="1"/>
  <c r="CF105" i="1" s="1"/>
  <c r="BX105" i="1" a="1"/>
  <c r="BX105" i="1" s="1"/>
  <c r="DT105" i="1" a="1"/>
  <c r="DT105" i="1" s="1"/>
  <c r="DL105" i="1" a="1"/>
  <c r="DL105" i="1" s="1"/>
  <c r="DD105" i="1" a="1"/>
  <c r="DD105" i="1" s="1"/>
  <c r="CV105" i="1" a="1"/>
  <c r="CV105" i="1" s="1"/>
  <c r="CM105" i="1" a="1"/>
  <c r="CM105" i="1" s="1"/>
  <c r="CE105" i="1" a="1"/>
  <c r="CE105" i="1" s="1"/>
  <c r="BW105" i="1" a="1"/>
  <c r="BW105" i="1" s="1"/>
  <c r="DO105" i="1" a="1"/>
  <c r="DO105" i="1" s="1"/>
  <c r="DC105" i="1" a="1"/>
  <c r="DC105" i="1" s="1"/>
  <c r="CS105" i="1" a="1"/>
  <c r="CS105" i="1" s="1"/>
  <c r="CH105" i="1" a="1"/>
  <c r="CH105" i="1" s="1"/>
  <c r="DN105" i="1" a="1"/>
  <c r="DN105" i="1" s="1"/>
  <c r="DB105" i="1" a="1"/>
  <c r="DB105" i="1" s="1"/>
  <c r="CR105" i="1" a="1"/>
  <c r="CR105" i="1" s="1"/>
  <c r="CG105" i="1" a="1"/>
  <c r="CG105" i="1" s="1"/>
  <c r="DK105" i="1" a="1"/>
  <c r="DK105" i="1" s="1"/>
  <c r="CY105" i="1" a="1"/>
  <c r="CY105" i="1" s="1"/>
  <c r="CJ105" i="1" a="1"/>
  <c r="CJ105" i="1" s="1"/>
  <c r="DJ105" i="1" a="1"/>
  <c r="DJ105" i="1" s="1"/>
  <c r="CX105" i="1" a="1"/>
  <c r="CX105" i="1" s="1"/>
  <c r="CI105" i="1" a="1"/>
  <c r="CI105" i="1" s="1"/>
  <c r="DI105" i="1" a="1"/>
  <c r="DI105" i="1" s="1"/>
  <c r="CU105" i="1" a="1"/>
  <c r="CU105" i="1" s="1"/>
  <c r="CD105" i="1" a="1"/>
  <c r="CD105" i="1" s="1"/>
  <c r="CP105" i="1" a="1"/>
  <c r="CP105" i="1" s="1"/>
  <c r="DH105" i="1" a="1"/>
  <c r="DH105" i="1" s="1"/>
  <c r="CL105" i="1" a="1"/>
  <c r="CL105" i="1" s="1"/>
  <c r="DG105" i="1" a="1"/>
  <c r="DG105" i="1" s="1"/>
  <c r="DF105" i="1" a="1"/>
  <c r="DF105" i="1" s="1"/>
  <c r="CB105" i="1" a="1"/>
  <c r="CB105" i="1" s="1"/>
  <c r="DA105" i="1" a="1"/>
  <c r="DA105" i="1" s="1"/>
  <c r="CA105" i="1" a="1"/>
  <c r="CA105" i="1" s="1"/>
  <c r="CT105" i="1" a="1"/>
  <c r="CT105" i="1" s="1"/>
  <c r="DV105" i="1" a="1"/>
  <c r="DV105" i="1" s="1"/>
  <c r="CQ105" i="1" a="1"/>
  <c r="CQ105" i="1" s="1"/>
  <c r="DS105" i="1" a="1"/>
  <c r="DS105" i="1" s="1"/>
  <c r="BZ105" i="1" a="1"/>
  <c r="BZ105" i="1" s="1"/>
  <c r="DR105" i="1" a="1"/>
  <c r="DR105" i="1" s="1"/>
  <c r="BY105" i="1" a="1"/>
  <c r="BY105" i="1" s="1"/>
  <c r="CK105" i="1" a="1"/>
  <c r="CK105" i="1" s="1"/>
  <c r="CC105" i="1" a="1"/>
  <c r="CC105" i="1" s="1"/>
  <c r="DQ105" i="1" a="1"/>
  <c r="DQ105" i="1" s="1"/>
  <c r="DP105" i="1" a="1"/>
  <c r="DP105" i="1" s="1"/>
  <c r="CZ105" i="1" a="1"/>
  <c r="CZ105" i="1" s="1"/>
  <c r="DW109" i="1"/>
  <c r="BL109" i="1"/>
  <c r="AV109" i="1"/>
  <c r="AF109" i="1"/>
  <c r="P109" i="1"/>
  <c r="BK109" i="1"/>
  <c r="AU109" i="1"/>
  <c r="AE109" i="1"/>
  <c r="O109" i="1"/>
  <c r="BJ109" i="1"/>
  <c r="AT109" i="1"/>
  <c r="AD109" i="1"/>
  <c r="N109" i="1"/>
  <c r="BI109" i="1"/>
  <c r="AS109" i="1"/>
  <c r="AC109" i="1"/>
  <c r="M109" i="1"/>
  <c r="BD109" i="1"/>
  <c r="AJ109" i="1"/>
  <c r="L109" i="1"/>
  <c r="BC109" i="1"/>
  <c r="AI109" i="1"/>
  <c r="K109" i="1"/>
  <c r="BB109" i="1"/>
  <c r="AH109" i="1"/>
  <c r="J109" i="1"/>
  <c r="BA109" i="1"/>
  <c r="AG109" i="1"/>
  <c r="I109" i="1"/>
  <c r="AZ109" i="1"/>
  <c r="AB109" i="1"/>
  <c r="H109" i="1"/>
  <c r="AY109" i="1"/>
  <c r="AA109" i="1"/>
  <c r="G109" i="1"/>
  <c r="BR109" i="1"/>
  <c r="AN109" i="1"/>
  <c r="D109" i="1"/>
  <c r="BQ109" i="1"/>
  <c r="AM109" i="1"/>
  <c r="BP109" i="1"/>
  <c r="AL109" i="1"/>
  <c r="A109" i="1"/>
  <c r="BO109" i="1"/>
  <c r="AK109" i="1"/>
  <c r="BN109" i="1"/>
  <c r="Z109" i="1"/>
  <c r="BH109" i="1"/>
  <c r="S109" i="1"/>
  <c r="BG109" i="1"/>
  <c r="R109" i="1"/>
  <c r="BF109" i="1"/>
  <c r="Q109" i="1"/>
  <c r="BE109" i="1"/>
  <c r="F109" i="1"/>
  <c r="E109" i="1"/>
  <c r="BM109" i="1"/>
  <c r="AP109" i="1"/>
  <c r="AO109" i="1"/>
  <c r="Y109" i="1"/>
  <c r="X109" i="1"/>
  <c r="AX109" i="1"/>
  <c r="AW109" i="1"/>
  <c r="AR109" i="1"/>
  <c r="AQ109" i="1"/>
  <c r="W109" i="1"/>
  <c r="V109" i="1"/>
  <c r="U109" i="1"/>
  <c r="T109" i="1"/>
  <c r="BO112" i="1"/>
  <c r="AY112" i="1"/>
  <c r="AI112" i="1"/>
  <c r="S112" i="1"/>
  <c r="C113" i="1"/>
  <c r="BN112" i="1"/>
  <c r="AX112" i="1"/>
  <c r="AH112" i="1"/>
  <c r="R112" i="1"/>
  <c r="A112" i="1"/>
  <c r="BM112" i="1"/>
  <c r="AW112" i="1"/>
  <c r="AG112" i="1"/>
  <c r="Q112" i="1"/>
  <c r="DW112" i="1"/>
  <c r="BL112" i="1"/>
  <c r="AV112" i="1"/>
  <c r="AF112" i="1"/>
  <c r="P112" i="1"/>
  <c r="BK112" i="1"/>
  <c r="AQ112" i="1"/>
  <c r="W112" i="1"/>
  <c r="BJ112" i="1"/>
  <c r="AP112" i="1"/>
  <c r="V112" i="1"/>
  <c r="BI112" i="1"/>
  <c r="AO112" i="1"/>
  <c r="U112" i="1"/>
  <c r="BH112" i="1"/>
  <c r="AN112" i="1"/>
  <c r="T112" i="1"/>
  <c r="BG112" i="1"/>
  <c r="AM112" i="1"/>
  <c r="O112" i="1"/>
  <c r="BF112" i="1"/>
  <c r="AL112" i="1"/>
  <c r="N112" i="1"/>
  <c r="BE112" i="1"/>
  <c r="BS112" i="1" s="1"/>
  <c r="AA112" i="1"/>
  <c r="BD112" i="1"/>
  <c r="Z112" i="1"/>
  <c r="BC112" i="1"/>
  <c r="Y112" i="1"/>
  <c r="BB112" i="1"/>
  <c r="X112" i="1"/>
  <c r="BA112" i="1"/>
  <c r="M112" i="1"/>
  <c r="AJ112" i="1"/>
  <c r="AE112" i="1"/>
  <c r="AD112" i="1"/>
  <c r="AC112" i="1"/>
  <c r="I112" i="1"/>
  <c r="H112" i="1"/>
  <c r="G112" i="1"/>
  <c r="BR112" i="1"/>
  <c r="BT112" i="1" s="1"/>
  <c r="F112" i="1"/>
  <c r="E112" i="1"/>
  <c r="BU112" i="1" s="1"/>
  <c r="D112" i="1"/>
  <c r="BQ112" i="1"/>
  <c r="BP112" i="1"/>
  <c r="AZ112" i="1"/>
  <c r="AU112" i="1"/>
  <c r="AT112" i="1"/>
  <c r="AS112" i="1"/>
  <c r="AR112" i="1"/>
  <c r="AK112" i="1"/>
  <c r="AB112" i="1"/>
  <c r="L112" i="1"/>
  <c r="K112" i="1"/>
  <c r="J112" i="1"/>
  <c r="BS111" i="1"/>
  <c r="BT111" i="1" s="1"/>
  <c r="BU111" i="1" s="1"/>
  <c r="BU108" i="1"/>
  <c r="DS118" i="1" l="1" a="1"/>
  <c r="DS118" i="1" s="1"/>
  <c r="DK118" i="1" a="1"/>
  <c r="DK118" i="1" s="1"/>
  <c r="DC118" i="1" a="1"/>
  <c r="DC118" i="1" s="1"/>
  <c r="CU118" i="1" a="1"/>
  <c r="CU118" i="1" s="1"/>
  <c r="CL118" i="1" a="1"/>
  <c r="CL118" i="1" s="1"/>
  <c r="CD118" i="1" a="1"/>
  <c r="CD118" i="1" s="1"/>
  <c r="DR118" i="1" a="1"/>
  <c r="DR118" i="1" s="1"/>
  <c r="DJ118" i="1" a="1"/>
  <c r="DJ118" i="1" s="1"/>
  <c r="DB118" i="1" a="1"/>
  <c r="DB118" i="1" s="1"/>
  <c r="CT118" i="1" a="1"/>
  <c r="CT118" i="1" s="1"/>
  <c r="CK118" i="1" a="1"/>
  <c r="CK118" i="1" s="1"/>
  <c r="CC118" i="1" a="1"/>
  <c r="CC118" i="1" s="1"/>
  <c r="DQ118" i="1" a="1"/>
  <c r="DQ118" i="1" s="1"/>
  <c r="DI118" i="1" a="1"/>
  <c r="DI118" i="1" s="1"/>
  <c r="DA118" i="1" a="1"/>
  <c r="DA118" i="1" s="1"/>
  <c r="CS118" i="1" a="1"/>
  <c r="CS118" i="1" s="1"/>
  <c r="CJ118" i="1" a="1"/>
  <c r="CJ118" i="1" s="1"/>
  <c r="CB118" i="1" a="1"/>
  <c r="CB118" i="1" s="1"/>
  <c r="DP118" i="1" a="1"/>
  <c r="DP118" i="1" s="1"/>
  <c r="DH118" i="1" a="1"/>
  <c r="DH118" i="1" s="1"/>
  <c r="CZ118" i="1" a="1"/>
  <c r="CZ118" i="1" s="1"/>
  <c r="CR118" i="1" a="1"/>
  <c r="CR118" i="1" s="1"/>
  <c r="CI118" i="1" a="1"/>
  <c r="CI118" i="1" s="1"/>
  <c r="CA118" i="1" a="1"/>
  <c r="CA118" i="1" s="1"/>
  <c r="DO118" i="1" a="1"/>
  <c r="DO118" i="1" s="1"/>
  <c r="DG118" i="1" a="1"/>
  <c r="DG118" i="1" s="1"/>
  <c r="CY118" i="1" a="1"/>
  <c r="CY118" i="1" s="1"/>
  <c r="CQ118" i="1" a="1"/>
  <c r="CQ118" i="1" s="1"/>
  <c r="CH118" i="1" a="1"/>
  <c r="CH118" i="1" s="1"/>
  <c r="BZ118" i="1" a="1"/>
  <c r="BZ118" i="1" s="1"/>
  <c r="DV118" i="1" a="1"/>
  <c r="DV118" i="1" s="1"/>
  <c r="DN118" i="1" a="1"/>
  <c r="DN118" i="1" s="1"/>
  <c r="DF118" i="1" a="1"/>
  <c r="DF118" i="1" s="1"/>
  <c r="CX118" i="1" a="1"/>
  <c r="CX118" i="1" s="1"/>
  <c r="CP118" i="1" a="1"/>
  <c r="CP118" i="1" s="1"/>
  <c r="CG118" i="1" a="1"/>
  <c r="CG118" i="1" s="1"/>
  <c r="BY118" i="1" a="1"/>
  <c r="BY118" i="1" s="1"/>
  <c r="DU118" i="1" a="1"/>
  <c r="DU118" i="1" s="1"/>
  <c r="DM118" i="1" a="1"/>
  <c r="DM118" i="1" s="1"/>
  <c r="DE118" i="1" a="1"/>
  <c r="DE118" i="1" s="1"/>
  <c r="CW118" i="1" a="1"/>
  <c r="CW118" i="1" s="1"/>
  <c r="CO118" i="1" a="1"/>
  <c r="CO118" i="1" s="1"/>
  <c r="CF118" i="1" a="1"/>
  <c r="CF118" i="1" s="1"/>
  <c r="BX118" i="1" a="1"/>
  <c r="BX118" i="1" s="1"/>
  <c r="DT118" i="1" a="1"/>
  <c r="DT118" i="1" s="1"/>
  <c r="DL118" i="1" a="1"/>
  <c r="DL118" i="1" s="1"/>
  <c r="DD118" i="1" a="1"/>
  <c r="DD118" i="1" s="1"/>
  <c r="CV118" i="1" a="1"/>
  <c r="CV118" i="1" s="1"/>
  <c r="CM118" i="1" a="1"/>
  <c r="CM118" i="1" s="1"/>
  <c r="CE118" i="1" a="1"/>
  <c r="CE118" i="1" s="1"/>
  <c r="BW118" i="1" a="1"/>
  <c r="BW118" i="1" s="1"/>
  <c r="DR115" i="1" a="1"/>
  <c r="DR115" i="1" s="1"/>
  <c r="DJ115" i="1" a="1"/>
  <c r="DJ115" i="1" s="1"/>
  <c r="DB115" i="1" a="1"/>
  <c r="DB115" i="1" s="1"/>
  <c r="CT115" i="1" a="1"/>
  <c r="CT115" i="1" s="1"/>
  <c r="CK115" i="1" a="1"/>
  <c r="CK115" i="1" s="1"/>
  <c r="CC115" i="1" a="1"/>
  <c r="CC115" i="1" s="1"/>
  <c r="DQ115" i="1" a="1"/>
  <c r="DQ115" i="1" s="1"/>
  <c r="DI115" i="1" a="1"/>
  <c r="DI115" i="1" s="1"/>
  <c r="DA115" i="1" a="1"/>
  <c r="DA115" i="1" s="1"/>
  <c r="CS115" i="1" a="1"/>
  <c r="CS115" i="1" s="1"/>
  <c r="CJ115" i="1" a="1"/>
  <c r="CJ115" i="1" s="1"/>
  <c r="CB115" i="1" a="1"/>
  <c r="CB115" i="1" s="1"/>
  <c r="DN115" i="1" a="1"/>
  <c r="DN115" i="1" s="1"/>
  <c r="DD115" i="1" a="1"/>
  <c r="DD115" i="1" s="1"/>
  <c r="CR115" i="1" a="1"/>
  <c r="CR115" i="1" s="1"/>
  <c r="CG115" i="1" a="1"/>
  <c r="CG115" i="1" s="1"/>
  <c r="BW115" i="1" a="1"/>
  <c r="BW115" i="1" s="1"/>
  <c r="DM115" i="1" a="1"/>
  <c r="DM115" i="1" s="1"/>
  <c r="DC115" i="1" a="1"/>
  <c r="DC115" i="1" s="1"/>
  <c r="CQ115" i="1" a="1"/>
  <c r="CQ115" i="1" s="1"/>
  <c r="CF115" i="1" a="1"/>
  <c r="CF115" i="1" s="1"/>
  <c r="DV115" i="1" a="1"/>
  <c r="DV115" i="1" s="1"/>
  <c r="DL115" i="1" a="1"/>
  <c r="DL115" i="1" s="1"/>
  <c r="CZ115" i="1" a="1"/>
  <c r="CZ115" i="1" s="1"/>
  <c r="CP115" i="1" a="1"/>
  <c r="CP115" i="1" s="1"/>
  <c r="CE115" i="1" a="1"/>
  <c r="CE115" i="1" s="1"/>
  <c r="DH115" i="1" a="1"/>
  <c r="DH115" i="1" s="1"/>
  <c r="CU115" i="1" a="1"/>
  <c r="CU115" i="1" s="1"/>
  <c r="BZ115" i="1" a="1"/>
  <c r="BZ115" i="1" s="1"/>
  <c r="DG115" i="1" a="1"/>
  <c r="DG115" i="1" s="1"/>
  <c r="CO115" i="1" a="1"/>
  <c r="CO115" i="1" s="1"/>
  <c r="BY115" i="1" a="1"/>
  <c r="BY115" i="1" s="1"/>
  <c r="DU115" i="1" a="1"/>
  <c r="DU115" i="1" s="1"/>
  <c r="DF115" i="1" a="1"/>
  <c r="DF115" i="1" s="1"/>
  <c r="CM115" i="1" a="1"/>
  <c r="CM115" i="1" s="1"/>
  <c r="BX115" i="1" a="1"/>
  <c r="BX115" i="1" s="1"/>
  <c r="DO115" i="1" a="1"/>
  <c r="DO115" i="1" s="1"/>
  <c r="CL115" i="1" a="1"/>
  <c r="CL115" i="1" s="1"/>
  <c r="DK115" i="1" a="1"/>
  <c r="DK115" i="1" s="1"/>
  <c r="CI115" i="1" a="1"/>
  <c r="CI115" i="1" s="1"/>
  <c r="CA115" i="1" a="1"/>
  <c r="CA115" i="1" s="1"/>
  <c r="DE115" i="1" a="1"/>
  <c r="DE115" i="1" s="1"/>
  <c r="CY115" i="1" a="1"/>
  <c r="CY115" i="1" s="1"/>
  <c r="CH115" i="1" a="1"/>
  <c r="CH115" i="1" s="1"/>
  <c r="DT115" i="1" a="1"/>
  <c r="DT115" i="1" s="1"/>
  <c r="CD115" i="1" a="1"/>
  <c r="CD115" i="1" s="1"/>
  <c r="DS115" i="1" a="1"/>
  <c r="DS115" i="1" s="1"/>
  <c r="DP115" i="1" a="1"/>
  <c r="DP115" i="1" s="1"/>
  <c r="CV115" i="1" a="1"/>
  <c r="CV115" i="1" s="1"/>
  <c r="CX115" i="1" a="1"/>
  <c r="CX115" i="1" s="1"/>
  <c r="CW115" i="1" a="1"/>
  <c r="CW115" i="1" s="1"/>
  <c r="BS115" i="1"/>
  <c r="BC116" i="1"/>
  <c r="AM116" i="1"/>
  <c r="W116" i="1"/>
  <c r="G116" i="1"/>
  <c r="BR116" i="1"/>
  <c r="BT116" i="1" s="1"/>
  <c r="BB116" i="1"/>
  <c r="AL116" i="1"/>
  <c r="V116" i="1"/>
  <c r="F116" i="1"/>
  <c r="BQ116" i="1"/>
  <c r="BA116" i="1"/>
  <c r="AK116" i="1"/>
  <c r="U116" i="1"/>
  <c r="E116" i="1"/>
  <c r="BP116" i="1"/>
  <c r="AZ116" i="1"/>
  <c r="AJ116" i="1"/>
  <c r="T116" i="1"/>
  <c r="D116" i="1"/>
  <c r="BO116" i="1"/>
  <c r="AU116" i="1"/>
  <c r="AA116" i="1"/>
  <c r="BN116" i="1"/>
  <c r="AT116" i="1"/>
  <c r="Z116" i="1"/>
  <c r="A116" i="1"/>
  <c r="BM116" i="1"/>
  <c r="AS116" i="1"/>
  <c r="Y116" i="1"/>
  <c r="BL116" i="1"/>
  <c r="AR116" i="1"/>
  <c r="X116" i="1"/>
  <c r="BK116" i="1"/>
  <c r="AQ116" i="1"/>
  <c r="S116" i="1"/>
  <c r="BJ116" i="1"/>
  <c r="AP116" i="1"/>
  <c r="R116" i="1"/>
  <c r="AO116" i="1"/>
  <c r="K116" i="1"/>
  <c r="C117" i="1"/>
  <c r="AN116" i="1"/>
  <c r="J116" i="1"/>
  <c r="AI116" i="1"/>
  <c r="I116" i="1"/>
  <c r="DW116" i="1"/>
  <c r="AH116" i="1"/>
  <c r="H116" i="1"/>
  <c r="AG116" i="1"/>
  <c r="AD116" i="1"/>
  <c r="AC116" i="1"/>
  <c r="AB116" i="1"/>
  <c r="Q116" i="1"/>
  <c r="AW116" i="1"/>
  <c r="AV116" i="1"/>
  <c r="AF116" i="1"/>
  <c r="AE116" i="1"/>
  <c r="L116" i="1"/>
  <c r="P116" i="1"/>
  <c r="O116" i="1"/>
  <c r="N116" i="1"/>
  <c r="M116" i="1"/>
  <c r="BG116" i="1"/>
  <c r="BF116" i="1"/>
  <c r="BE116" i="1"/>
  <c r="BS116" i="1" s="1"/>
  <c r="BD116" i="1"/>
  <c r="AY116" i="1"/>
  <c r="BI116" i="1"/>
  <c r="BH116" i="1"/>
  <c r="AX116" i="1"/>
  <c r="DP112" i="1" a="1"/>
  <c r="DP112" i="1" s="1"/>
  <c r="DH112" i="1" a="1"/>
  <c r="DH112" i="1" s="1"/>
  <c r="CZ112" i="1" a="1"/>
  <c r="CZ112" i="1" s="1"/>
  <c r="CR112" i="1" a="1"/>
  <c r="CR112" i="1" s="1"/>
  <c r="CI112" i="1" a="1"/>
  <c r="CI112" i="1" s="1"/>
  <c r="CA112" i="1" a="1"/>
  <c r="CA112" i="1" s="1"/>
  <c r="DO112" i="1" a="1"/>
  <c r="DO112" i="1" s="1"/>
  <c r="DG112" i="1" a="1"/>
  <c r="DG112" i="1" s="1"/>
  <c r="CY112" i="1" a="1"/>
  <c r="CY112" i="1" s="1"/>
  <c r="CQ112" i="1" a="1"/>
  <c r="CQ112" i="1" s="1"/>
  <c r="CH112" i="1" a="1"/>
  <c r="CH112" i="1" s="1"/>
  <c r="BZ112" i="1" a="1"/>
  <c r="BZ112" i="1" s="1"/>
  <c r="DT112" i="1" a="1"/>
  <c r="DT112" i="1" s="1"/>
  <c r="DJ112" i="1" a="1"/>
  <c r="DJ112" i="1" s="1"/>
  <c r="CX112" i="1" a="1"/>
  <c r="CX112" i="1" s="1"/>
  <c r="CM112" i="1" a="1"/>
  <c r="CM112" i="1" s="1"/>
  <c r="CC112" i="1" a="1"/>
  <c r="CC112" i="1" s="1"/>
  <c r="DS112" i="1" a="1"/>
  <c r="DS112" i="1" s="1"/>
  <c r="DI112" i="1" a="1"/>
  <c r="DI112" i="1" s="1"/>
  <c r="CW112" i="1" a="1"/>
  <c r="CW112" i="1" s="1"/>
  <c r="CL112" i="1" a="1"/>
  <c r="CL112" i="1" s="1"/>
  <c r="CB112" i="1" a="1"/>
  <c r="CB112" i="1" s="1"/>
  <c r="DR112" i="1" a="1"/>
  <c r="DR112" i="1" s="1"/>
  <c r="DF112" i="1" a="1"/>
  <c r="DF112" i="1" s="1"/>
  <c r="CV112" i="1" a="1"/>
  <c r="CV112" i="1" s="1"/>
  <c r="CK112" i="1" a="1"/>
  <c r="CK112" i="1" s="1"/>
  <c r="BY112" i="1" a="1"/>
  <c r="BY112" i="1" s="1"/>
  <c r="DN112" i="1" a="1"/>
  <c r="DN112" i="1" s="1"/>
  <c r="DA112" i="1" a="1"/>
  <c r="DA112" i="1" s="1"/>
  <c r="CF112" i="1" a="1"/>
  <c r="CF112" i="1" s="1"/>
  <c r="DM112" i="1" a="1"/>
  <c r="DM112" i="1" s="1"/>
  <c r="CU112" i="1" a="1"/>
  <c r="CU112" i="1" s="1"/>
  <c r="CE112" i="1" a="1"/>
  <c r="CE112" i="1" s="1"/>
  <c r="DC112" i="1" a="1"/>
  <c r="DC112" i="1" s="1"/>
  <c r="BX112" i="1" a="1"/>
  <c r="BX112" i="1" s="1"/>
  <c r="DB112" i="1" a="1"/>
  <c r="DB112" i="1" s="1"/>
  <c r="BW112" i="1" a="1"/>
  <c r="BW112" i="1" s="1"/>
  <c r="DE112" i="1" a="1"/>
  <c r="DE112" i="1" s="1"/>
  <c r="DD112" i="1" a="1"/>
  <c r="DD112" i="1" s="1"/>
  <c r="DV112" i="1" a="1"/>
  <c r="DV112" i="1" s="1"/>
  <c r="CJ112" i="1" a="1"/>
  <c r="CJ112" i="1" s="1"/>
  <c r="DU112" i="1" a="1"/>
  <c r="DU112" i="1" s="1"/>
  <c r="CG112" i="1" a="1"/>
  <c r="CG112" i="1" s="1"/>
  <c r="CD112" i="1" a="1"/>
  <c r="CD112" i="1" s="1"/>
  <c r="CP112" i="1" a="1"/>
  <c r="CP112" i="1" s="1"/>
  <c r="CO112" i="1" a="1"/>
  <c r="CO112" i="1" s="1"/>
  <c r="CS112" i="1" a="1"/>
  <c r="CS112" i="1" s="1"/>
  <c r="DQ112" i="1" a="1"/>
  <c r="DQ112" i="1" s="1"/>
  <c r="DL112" i="1" a="1"/>
  <c r="DL112" i="1" s="1"/>
  <c r="DK112" i="1" a="1"/>
  <c r="DK112" i="1" s="1"/>
  <c r="CT112" i="1" a="1"/>
  <c r="CT112" i="1" s="1"/>
  <c r="BF119" i="1"/>
  <c r="AP119" i="1"/>
  <c r="Z119" i="1"/>
  <c r="J119" i="1"/>
  <c r="BE119" i="1"/>
  <c r="AO119" i="1"/>
  <c r="Y119" i="1"/>
  <c r="I119" i="1"/>
  <c r="BD119" i="1"/>
  <c r="AN119" i="1"/>
  <c r="X119" i="1"/>
  <c r="H119" i="1"/>
  <c r="BC119" i="1"/>
  <c r="AM119" i="1"/>
  <c r="W119" i="1"/>
  <c r="G119" i="1"/>
  <c r="BR119" i="1"/>
  <c r="BB119" i="1"/>
  <c r="AL119" i="1"/>
  <c r="V119" i="1"/>
  <c r="F119" i="1"/>
  <c r="BQ119" i="1"/>
  <c r="BA119" i="1"/>
  <c r="AK119" i="1"/>
  <c r="U119" i="1"/>
  <c r="E119" i="1"/>
  <c r="BP119" i="1"/>
  <c r="AZ119" i="1"/>
  <c r="AJ119" i="1"/>
  <c r="T119" i="1"/>
  <c r="D119" i="1"/>
  <c r="BO119" i="1"/>
  <c r="AY119" i="1"/>
  <c r="AI119" i="1"/>
  <c r="S119" i="1"/>
  <c r="C120" i="1"/>
  <c r="BN119" i="1"/>
  <c r="AX119" i="1"/>
  <c r="AH119" i="1"/>
  <c r="R119" i="1"/>
  <c r="A119" i="1"/>
  <c r="BM119" i="1"/>
  <c r="AW119" i="1"/>
  <c r="AG119" i="1"/>
  <c r="Q119" i="1"/>
  <c r="DW119" i="1"/>
  <c r="BL119" i="1"/>
  <c r="AV119" i="1"/>
  <c r="AF119" i="1"/>
  <c r="P119" i="1"/>
  <c r="BK119" i="1"/>
  <c r="AU119" i="1"/>
  <c r="AE119" i="1"/>
  <c r="O119" i="1"/>
  <c r="BJ119" i="1"/>
  <c r="AT119" i="1"/>
  <c r="AD119" i="1"/>
  <c r="N119" i="1"/>
  <c r="BI119" i="1"/>
  <c r="AS119" i="1"/>
  <c r="AC119" i="1"/>
  <c r="M119" i="1"/>
  <c r="BH119" i="1"/>
  <c r="AR119" i="1"/>
  <c r="AB119" i="1"/>
  <c r="L119" i="1"/>
  <c r="BG119" i="1"/>
  <c r="AQ119" i="1"/>
  <c r="AA119" i="1"/>
  <c r="K119" i="1"/>
  <c r="BP113" i="1"/>
  <c r="AZ113" i="1"/>
  <c r="AJ113" i="1"/>
  <c r="T113" i="1"/>
  <c r="D113" i="1"/>
  <c r="BO113" i="1"/>
  <c r="AY113" i="1"/>
  <c r="AI113" i="1"/>
  <c r="S113" i="1"/>
  <c r="BN113" i="1"/>
  <c r="AX113" i="1"/>
  <c r="AH113" i="1"/>
  <c r="R113" i="1"/>
  <c r="A113" i="1"/>
  <c r="BM113" i="1"/>
  <c r="AW113" i="1"/>
  <c r="AG113" i="1"/>
  <c r="Q113" i="1"/>
  <c r="BH113" i="1"/>
  <c r="AN113" i="1"/>
  <c r="P113" i="1"/>
  <c r="BG113" i="1"/>
  <c r="AM113" i="1"/>
  <c r="O113" i="1"/>
  <c r="BF113" i="1"/>
  <c r="AL113" i="1"/>
  <c r="N113" i="1"/>
  <c r="BE113" i="1"/>
  <c r="AK113" i="1"/>
  <c r="M113" i="1"/>
  <c r="BD113" i="1"/>
  <c r="AF113" i="1"/>
  <c r="L113" i="1"/>
  <c r="BC113" i="1"/>
  <c r="AE113" i="1"/>
  <c r="K113" i="1"/>
  <c r="BB113" i="1"/>
  <c r="X113" i="1"/>
  <c r="BA113" i="1"/>
  <c r="W113" i="1"/>
  <c r="AV113" i="1"/>
  <c r="V113" i="1"/>
  <c r="AU113" i="1"/>
  <c r="U113" i="1"/>
  <c r="AT113" i="1"/>
  <c r="J113" i="1"/>
  <c r="BK113" i="1"/>
  <c r="G113" i="1"/>
  <c r="BJ113" i="1"/>
  <c r="F113" i="1"/>
  <c r="BI113" i="1"/>
  <c r="E113" i="1"/>
  <c r="AS113" i="1"/>
  <c r="AD113" i="1"/>
  <c r="AC113" i="1"/>
  <c r="AB113" i="1"/>
  <c r="AA113" i="1"/>
  <c r="DW113" i="1"/>
  <c r="AR113" i="1"/>
  <c r="AQ113" i="1"/>
  <c r="AP113" i="1"/>
  <c r="AO113" i="1"/>
  <c r="BR113" i="1"/>
  <c r="BQ113" i="1"/>
  <c r="BL113" i="1"/>
  <c r="Z113" i="1"/>
  <c r="Y113" i="1"/>
  <c r="I113" i="1"/>
  <c r="H113" i="1"/>
  <c r="DO109" i="1" a="1"/>
  <c r="DO109" i="1" s="1"/>
  <c r="DG109" i="1" a="1"/>
  <c r="DG109" i="1" s="1"/>
  <c r="CY109" i="1" a="1"/>
  <c r="CY109" i="1" s="1"/>
  <c r="CQ109" i="1" a="1"/>
  <c r="CQ109" i="1" s="1"/>
  <c r="CH109" i="1" a="1"/>
  <c r="CH109" i="1" s="1"/>
  <c r="BZ109" i="1" a="1"/>
  <c r="BZ109" i="1" s="1"/>
  <c r="DV109" i="1" a="1"/>
  <c r="DV109" i="1" s="1"/>
  <c r="DN109" i="1" a="1"/>
  <c r="DN109" i="1" s="1"/>
  <c r="DF109" i="1" a="1"/>
  <c r="DF109" i="1" s="1"/>
  <c r="CX109" i="1" a="1"/>
  <c r="CX109" i="1" s="1"/>
  <c r="CP109" i="1" a="1"/>
  <c r="CP109" i="1" s="1"/>
  <c r="CG109" i="1" a="1"/>
  <c r="CG109" i="1" s="1"/>
  <c r="BY109" i="1" a="1"/>
  <c r="BY109" i="1" s="1"/>
  <c r="DQ109" i="1" a="1"/>
  <c r="DQ109" i="1" s="1"/>
  <c r="DE109" i="1" a="1"/>
  <c r="DE109" i="1" s="1"/>
  <c r="CU109" i="1" a="1"/>
  <c r="CU109" i="1" s="1"/>
  <c r="CJ109" i="1" a="1"/>
  <c r="CJ109" i="1" s="1"/>
  <c r="BX109" i="1" a="1"/>
  <c r="BX109" i="1" s="1"/>
  <c r="DP109" i="1" a="1"/>
  <c r="DP109" i="1" s="1"/>
  <c r="DD109" i="1" a="1"/>
  <c r="DD109" i="1" s="1"/>
  <c r="CT109" i="1" a="1"/>
  <c r="CT109" i="1" s="1"/>
  <c r="CI109" i="1" a="1"/>
  <c r="CI109" i="1" s="1"/>
  <c r="BW109" i="1" a="1"/>
  <c r="BW109" i="1" s="1"/>
  <c r="DM109" i="1" a="1"/>
  <c r="DM109" i="1" s="1"/>
  <c r="DC109" i="1" a="1"/>
  <c r="DC109" i="1" s="1"/>
  <c r="CS109" i="1" a="1"/>
  <c r="CS109" i="1" s="1"/>
  <c r="CF109" i="1" a="1"/>
  <c r="CF109" i="1" s="1"/>
  <c r="DU109" i="1" a="1"/>
  <c r="DU109" i="1" s="1"/>
  <c r="DH109" i="1" a="1"/>
  <c r="DH109" i="1" s="1"/>
  <c r="CM109" i="1" a="1"/>
  <c r="CM109" i="1" s="1"/>
  <c r="DT109" i="1" a="1"/>
  <c r="DT109" i="1" s="1"/>
  <c r="DB109" i="1" a="1"/>
  <c r="DB109" i="1" s="1"/>
  <c r="CL109" i="1" a="1"/>
  <c r="CL109" i="1" s="1"/>
  <c r="DS109" i="1" a="1"/>
  <c r="DS109" i="1" s="1"/>
  <c r="DA109" i="1" a="1"/>
  <c r="DA109" i="1" s="1"/>
  <c r="CK109" i="1" a="1"/>
  <c r="CK109" i="1" s="1"/>
  <c r="CR109" i="1" a="1"/>
  <c r="CR109" i="1" s="1"/>
  <c r="DL109" i="1" a="1"/>
  <c r="DL109" i="1" s="1"/>
  <c r="CO109" i="1" a="1"/>
  <c r="CO109" i="1" s="1"/>
  <c r="DK109" i="1" a="1"/>
  <c r="DK109" i="1" s="1"/>
  <c r="CA109" i="1" a="1"/>
  <c r="CA109" i="1" s="1"/>
  <c r="CZ109" i="1" a="1"/>
  <c r="CZ109" i="1" s="1"/>
  <c r="CC109" i="1" a="1"/>
  <c r="CC109" i="1" s="1"/>
  <c r="DR109" i="1" a="1"/>
  <c r="DR109" i="1" s="1"/>
  <c r="CB109" i="1" a="1"/>
  <c r="CB109" i="1" s="1"/>
  <c r="DJ109" i="1" a="1"/>
  <c r="DJ109" i="1" s="1"/>
  <c r="DI109" i="1" a="1"/>
  <c r="DI109" i="1" s="1"/>
  <c r="CW109" i="1" a="1"/>
  <c r="CW109" i="1" s="1"/>
  <c r="CV109" i="1" a="1"/>
  <c r="CV109" i="1" s="1"/>
  <c r="CE109" i="1" a="1"/>
  <c r="CE109" i="1" s="1"/>
  <c r="CD109" i="1" a="1"/>
  <c r="CD109" i="1" s="1"/>
  <c r="BS109" i="1"/>
  <c r="BI122" i="1"/>
  <c r="AS122" i="1"/>
  <c r="AC122" i="1"/>
  <c r="M122" i="1"/>
  <c r="BH122" i="1"/>
  <c r="AR122" i="1"/>
  <c r="AB122" i="1"/>
  <c r="L122" i="1"/>
  <c r="BG122" i="1"/>
  <c r="AQ122" i="1"/>
  <c r="AA122" i="1"/>
  <c r="K122" i="1"/>
  <c r="BF122" i="1"/>
  <c r="AP122" i="1"/>
  <c r="Z122" i="1"/>
  <c r="J122" i="1"/>
  <c r="BE122" i="1"/>
  <c r="AO122" i="1"/>
  <c r="Y122" i="1"/>
  <c r="I122" i="1"/>
  <c r="BD122" i="1"/>
  <c r="AN122" i="1"/>
  <c r="X122" i="1"/>
  <c r="H122" i="1"/>
  <c r="BC122" i="1"/>
  <c r="AM122" i="1"/>
  <c r="W122" i="1"/>
  <c r="G122" i="1"/>
  <c r="BR122" i="1"/>
  <c r="BB122" i="1"/>
  <c r="AL122" i="1"/>
  <c r="V122" i="1"/>
  <c r="F122" i="1"/>
  <c r="BQ122" i="1"/>
  <c r="BA122" i="1"/>
  <c r="AK122" i="1"/>
  <c r="U122" i="1"/>
  <c r="E122" i="1"/>
  <c r="BP122" i="1"/>
  <c r="AZ122" i="1"/>
  <c r="AJ122" i="1"/>
  <c r="T122" i="1"/>
  <c r="D122" i="1"/>
  <c r="BO122" i="1"/>
  <c r="AY122" i="1"/>
  <c r="AI122" i="1"/>
  <c r="S122" i="1"/>
  <c r="C123" i="1"/>
  <c r="BN122" i="1"/>
  <c r="AX122" i="1"/>
  <c r="AH122" i="1"/>
  <c r="R122" i="1"/>
  <c r="A122" i="1"/>
  <c r="BM122" i="1"/>
  <c r="AW122" i="1"/>
  <c r="AG122" i="1"/>
  <c r="Q122" i="1"/>
  <c r="DW122" i="1"/>
  <c r="BL122" i="1"/>
  <c r="AV122" i="1"/>
  <c r="AF122" i="1"/>
  <c r="P122" i="1"/>
  <c r="BK122" i="1"/>
  <c r="AU122" i="1"/>
  <c r="AE122" i="1"/>
  <c r="O122" i="1"/>
  <c r="BJ122" i="1"/>
  <c r="AT122" i="1"/>
  <c r="AD122" i="1"/>
  <c r="N122" i="1"/>
  <c r="BT118" i="1"/>
  <c r="BU118" i="1" s="1"/>
  <c r="BT109" i="1"/>
  <c r="BU109" i="1" s="1"/>
  <c r="BT115" i="1"/>
  <c r="BU115" i="1" s="1"/>
  <c r="BS119" i="1" l="1"/>
  <c r="BU116" i="1"/>
  <c r="DU122" i="1" a="1"/>
  <c r="DU122" i="1" s="1"/>
  <c r="DM122" i="1" a="1"/>
  <c r="DM122" i="1" s="1"/>
  <c r="DE122" i="1" a="1"/>
  <c r="DE122" i="1" s="1"/>
  <c r="CW122" i="1" a="1"/>
  <c r="CW122" i="1" s="1"/>
  <c r="CO122" i="1" a="1"/>
  <c r="CO122" i="1" s="1"/>
  <c r="CF122" i="1" a="1"/>
  <c r="CF122" i="1" s="1"/>
  <c r="BX122" i="1" a="1"/>
  <c r="BX122" i="1" s="1"/>
  <c r="DT122" i="1" a="1"/>
  <c r="DT122" i="1" s="1"/>
  <c r="DL122" i="1" a="1"/>
  <c r="DL122" i="1" s="1"/>
  <c r="DD122" i="1" a="1"/>
  <c r="DD122" i="1" s="1"/>
  <c r="CV122" i="1" a="1"/>
  <c r="CV122" i="1" s="1"/>
  <c r="CM122" i="1" a="1"/>
  <c r="CM122" i="1" s="1"/>
  <c r="CE122" i="1" a="1"/>
  <c r="CE122" i="1" s="1"/>
  <c r="BW122" i="1" a="1"/>
  <c r="BW122" i="1" s="1"/>
  <c r="DS122" i="1" a="1"/>
  <c r="DS122" i="1" s="1"/>
  <c r="DK122" i="1" a="1"/>
  <c r="DK122" i="1" s="1"/>
  <c r="DC122" i="1" a="1"/>
  <c r="DC122" i="1" s="1"/>
  <c r="CU122" i="1" a="1"/>
  <c r="CU122" i="1" s="1"/>
  <c r="CL122" i="1" a="1"/>
  <c r="CL122" i="1" s="1"/>
  <c r="CD122" i="1" a="1"/>
  <c r="CD122" i="1" s="1"/>
  <c r="DR122" i="1" a="1"/>
  <c r="DR122" i="1" s="1"/>
  <c r="DJ122" i="1" a="1"/>
  <c r="DJ122" i="1" s="1"/>
  <c r="DB122" i="1" a="1"/>
  <c r="DB122" i="1" s="1"/>
  <c r="CT122" i="1" a="1"/>
  <c r="CT122" i="1" s="1"/>
  <c r="CK122" i="1" a="1"/>
  <c r="CK122" i="1" s="1"/>
  <c r="CC122" i="1" a="1"/>
  <c r="CC122" i="1" s="1"/>
  <c r="DQ122" i="1" a="1"/>
  <c r="DQ122" i="1" s="1"/>
  <c r="DI122" i="1" a="1"/>
  <c r="DI122" i="1" s="1"/>
  <c r="DA122" i="1" a="1"/>
  <c r="DA122" i="1" s="1"/>
  <c r="CS122" i="1" a="1"/>
  <c r="CS122" i="1" s="1"/>
  <c r="CJ122" i="1" a="1"/>
  <c r="CJ122" i="1" s="1"/>
  <c r="CB122" i="1" a="1"/>
  <c r="CB122" i="1" s="1"/>
  <c r="DP122" i="1" a="1"/>
  <c r="DP122" i="1" s="1"/>
  <c r="DH122" i="1" a="1"/>
  <c r="DH122" i="1" s="1"/>
  <c r="CZ122" i="1" a="1"/>
  <c r="CZ122" i="1" s="1"/>
  <c r="CR122" i="1" a="1"/>
  <c r="CR122" i="1" s="1"/>
  <c r="CI122" i="1" a="1"/>
  <c r="CI122" i="1" s="1"/>
  <c r="CA122" i="1" a="1"/>
  <c r="CA122" i="1" s="1"/>
  <c r="DO122" i="1" a="1"/>
  <c r="DO122" i="1" s="1"/>
  <c r="DG122" i="1" a="1"/>
  <c r="DG122" i="1" s="1"/>
  <c r="CY122" i="1" a="1"/>
  <c r="CY122" i="1" s="1"/>
  <c r="CQ122" i="1" a="1"/>
  <c r="CQ122" i="1" s="1"/>
  <c r="CH122" i="1" a="1"/>
  <c r="CH122" i="1" s="1"/>
  <c r="BZ122" i="1" a="1"/>
  <c r="BZ122" i="1" s="1"/>
  <c r="DV122" i="1" a="1"/>
  <c r="DV122" i="1" s="1"/>
  <c r="DN122" i="1" a="1"/>
  <c r="DN122" i="1" s="1"/>
  <c r="DF122" i="1" a="1"/>
  <c r="DF122" i="1" s="1"/>
  <c r="CX122" i="1" a="1"/>
  <c r="CX122" i="1" s="1"/>
  <c r="CP122" i="1" a="1"/>
  <c r="CP122" i="1" s="1"/>
  <c r="CG122" i="1" a="1"/>
  <c r="CG122" i="1" s="1"/>
  <c r="BY122" i="1" a="1"/>
  <c r="BY122" i="1" s="1"/>
  <c r="DQ113" i="1" a="1"/>
  <c r="DQ113" i="1" s="1"/>
  <c r="DI113" i="1" a="1"/>
  <c r="DI113" i="1" s="1"/>
  <c r="DA113" i="1" a="1"/>
  <c r="DA113" i="1" s="1"/>
  <c r="CS113" i="1" a="1"/>
  <c r="CS113" i="1" s="1"/>
  <c r="CJ113" i="1" a="1"/>
  <c r="CJ113" i="1" s="1"/>
  <c r="CB113" i="1" a="1"/>
  <c r="CB113" i="1" s="1"/>
  <c r="DP113" i="1" a="1"/>
  <c r="DP113" i="1" s="1"/>
  <c r="DH113" i="1" a="1"/>
  <c r="DH113" i="1" s="1"/>
  <c r="CZ113" i="1" a="1"/>
  <c r="CZ113" i="1" s="1"/>
  <c r="CR113" i="1" a="1"/>
  <c r="CR113" i="1" s="1"/>
  <c r="CI113" i="1" a="1"/>
  <c r="CI113" i="1" s="1"/>
  <c r="CA113" i="1" a="1"/>
  <c r="CA113" i="1" s="1"/>
  <c r="DS113" i="1" a="1"/>
  <c r="DS113" i="1" s="1"/>
  <c r="DG113" i="1" a="1"/>
  <c r="DG113" i="1" s="1"/>
  <c r="CW113" i="1" a="1"/>
  <c r="CW113" i="1" s="1"/>
  <c r="CL113" i="1" a="1"/>
  <c r="CL113" i="1" s="1"/>
  <c r="BZ113" i="1" a="1"/>
  <c r="BZ113" i="1" s="1"/>
  <c r="DR113" i="1" a="1"/>
  <c r="DR113" i="1" s="1"/>
  <c r="DF113" i="1" a="1"/>
  <c r="DF113" i="1" s="1"/>
  <c r="CV113" i="1" a="1"/>
  <c r="CV113" i="1" s="1"/>
  <c r="CK113" i="1" a="1"/>
  <c r="CK113" i="1" s="1"/>
  <c r="BY113" i="1" a="1"/>
  <c r="BY113" i="1" s="1"/>
  <c r="DO113" i="1" a="1"/>
  <c r="DO113" i="1" s="1"/>
  <c r="DE113" i="1" a="1"/>
  <c r="DE113" i="1" s="1"/>
  <c r="CU113" i="1" a="1"/>
  <c r="CU113" i="1" s="1"/>
  <c r="CH113" i="1" a="1"/>
  <c r="CH113" i="1" s="1"/>
  <c r="BX113" i="1" a="1"/>
  <c r="BX113" i="1" s="1"/>
  <c r="DM113" i="1" a="1"/>
  <c r="DM113" i="1" s="1"/>
  <c r="CX113" i="1" a="1"/>
  <c r="CX113" i="1" s="1"/>
  <c r="CE113" i="1" a="1"/>
  <c r="CE113" i="1" s="1"/>
  <c r="DL113" i="1" a="1"/>
  <c r="DL113" i="1" s="1"/>
  <c r="CT113" i="1" a="1"/>
  <c r="CT113" i="1" s="1"/>
  <c r="CD113" i="1" a="1"/>
  <c r="CD113" i="1" s="1"/>
  <c r="DK113" i="1" a="1"/>
  <c r="DK113" i="1" s="1"/>
  <c r="CQ113" i="1" a="1"/>
  <c r="CQ113" i="1" s="1"/>
  <c r="CC113" i="1" a="1"/>
  <c r="CC113" i="1" s="1"/>
  <c r="DN113" i="1" a="1"/>
  <c r="DN113" i="1" s="1"/>
  <c r="CO113" i="1" a="1"/>
  <c r="CO113" i="1" s="1"/>
  <c r="CM113" i="1" a="1"/>
  <c r="CM113" i="1" s="1"/>
  <c r="DJ113" i="1" a="1"/>
  <c r="DJ113" i="1" s="1"/>
  <c r="DU113" i="1" a="1"/>
  <c r="DU113" i="1" s="1"/>
  <c r="CG113" i="1" a="1"/>
  <c r="CG113" i="1" s="1"/>
  <c r="DT113" i="1" a="1"/>
  <c r="DT113" i="1" s="1"/>
  <c r="CF113" i="1" a="1"/>
  <c r="CF113" i="1" s="1"/>
  <c r="BW113" i="1" a="1"/>
  <c r="BW113" i="1" s="1"/>
  <c r="DV113" i="1" a="1"/>
  <c r="DV113" i="1" s="1"/>
  <c r="DD113" i="1" a="1"/>
  <c r="DD113" i="1" s="1"/>
  <c r="DC113" i="1" a="1"/>
  <c r="DC113" i="1" s="1"/>
  <c r="DB113" i="1" a="1"/>
  <c r="DB113" i="1" s="1"/>
  <c r="CY113" i="1" a="1"/>
  <c r="CY113" i="1" s="1"/>
  <c r="CP113" i="1" a="1"/>
  <c r="CP113" i="1" s="1"/>
  <c r="BG120" i="1"/>
  <c r="AQ120" i="1"/>
  <c r="AA120" i="1"/>
  <c r="K120" i="1"/>
  <c r="BF120" i="1"/>
  <c r="AP120" i="1"/>
  <c r="Z120" i="1"/>
  <c r="J120" i="1"/>
  <c r="BE120" i="1"/>
  <c r="AO120" i="1"/>
  <c r="Y120" i="1"/>
  <c r="I120" i="1"/>
  <c r="BD120" i="1"/>
  <c r="AN120" i="1"/>
  <c r="X120" i="1"/>
  <c r="H120" i="1"/>
  <c r="BC120" i="1"/>
  <c r="AM120" i="1"/>
  <c r="W120" i="1"/>
  <c r="G120" i="1"/>
  <c r="BR120" i="1"/>
  <c r="BB120" i="1"/>
  <c r="AL120" i="1"/>
  <c r="V120" i="1"/>
  <c r="F120" i="1"/>
  <c r="BQ120" i="1"/>
  <c r="BA120" i="1"/>
  <c r="AK120" i="1"/>
  <c r="U120" i="1"/>
  <c r="E120" i="1"/>
  <c r="BP120" i="1"/>
  <c r="AZ120" i="1"/>
  <c r="AJ120" i="1"/>
  <c r="T120" i="1"/>
  <c r="D120" i="1"/>
  <c r="BO120" i="1"/>
  <c r="AY120" i="1"/>
  <c r="AI120" i="1"/>
  <c r="S120" i="1"/>
  <c r="C121" i="1"/>
  <c r="BN120" i="1"/>
  <c r="AX120" i="1"/>
  <c r="AH120" i="1"/>
  <c r="R120" i="1"/>
  <c r="A120" i="1"/>
  <c r="BM120" i="1"/>
  <c r="AW120" i="1"/>
  <c r="AG120" i="1"/>
  <c r="Q120" i="1"/>
  <c r="DW120" i="1"/>
  <c r="BL120" i="1"/>
  <c r="AV120" i="1"/>
  <c r="AF120" i="1"/>
  <c r="P120" i="1"/>
  <c r="BK120" i="1"/>
  <c r="AU120" i="1"/>
  <c r="AE120" i="1"/>
  <c r="O120" i="1"/>
  <c r="BJ120" i="1"/>
  <c r="AT120" i="1"/>
  <c r="AD120" i="1"/>
  <c r="N120" i="1"/>
  <c r="BI120" i="1"/>
  <c r="AS120" i="1"/>
  <c r="AC120" i="1"/>
  <c r="M120" i="1"/>
  <c r="BH120" i="1"/>
  <c r="AR120" i="1"/>
  <c r="AB120" i="1"/>
  <c r="L120" i="1"/>
  <c r="BS113" i="1"/>
  <c r="BT113" i="1" s="1"/>
  <c r="BU113" i="1" s="1"/>
  <c r="DT119" i="1" a="1"/>
  <c r="DT119" i="1" s="1"/>
  <c r="DL119" i="1" a="1"/>
  <c r="DL119" i="1" s="1"/>
  <c r="DD119" i="1" a="1"/>
  <c r="DD119" i="1" s="1"/>
  <c r="CV119" i="1" a="1"/>
  <c r="CV119" i="1" s="1"/>
  <c r="CM119" i="1" a="1"/>
  <c r="CM119" i="1" s="1"/>
  <c r="CE119" i="1" a="1"/>
  <c r="CE119" i="1" s="1"/>
  <c r="BW119" i="1" a="1"/>
  <c r="BW119" i="1" s="1"/>
  <c r="DS119" i="1" a="1"/>
  <c r="DS119" i="1" s="1"/>
  <c r="DK119" i="1" a="1"/>
  <c r="DK119" i="1" s="1"/>
  <c r="DC119" i="1" a="1"/>
  <c r="DC119" i="1" s="1"/>
  <c r="CU119" i="1" a="1"/>
  <c r="CU119" i="1" s="1"/>
  <c r="CL119" i="1" a="1"/>
  <c r="CL119" i="1" s="1"/>
  <c r="CD119" i="1" a="1"/>
  <c r="CD119" i="1" s="1"/>
  <c r="DR119" i="1" a="1"/>
  <c r="DR119" i="1" s="1"/>
  <c r="DJ119" i="1" a="1"/>
  <c r="DJ119" i="1" s="1"/>
  <c r="DB119" i="1" a="1"/>
  <c r="DB119" i="1" s="1"/>
  <c r="CT119" i="1" a="1"/>
  <c r="CT119" i="1" s="1"/>
  <c r="CK119" i="1" a="1"/>
  <c r="CK119" i="1" s="1"/>
  <c r="CC119" i="1" a="1"/>
  <c r="CC119" i="1" s="1"/>
  <c r="DQ119" i="1" a="1"/>
  <c r="DQ119" i="1" s="1"/>
  <c r="DI119" i="1" a="1"/>
  <c r="DI119" i="1" s="1"/>
  <c r="DA119" i="1" a="1"/>
  <c r="DA119" i="1" s="1"/>
  <c r="CS119" i="1" a="1"/>
  <c r="CS119" i="1" s="1"/>
  <c r="CJ119" i="1" a="1"/>
  <c r="CJ119" i="1" s="1"/>
  <c r="CB119" i="1" a="1"/>
  <c r="CB119" i="1" s="1"/>
  <c r="DP119" i="1" a="1"/>
  <c r="DP119" i="1" s="1"/>
  <c r="DH119" i="1" a="1"/>
  <c r="DH119" i="1" s="1"/>
  <c r="CZ119" i="1" a="1"/>
  <c r="CZ119" i="1" s="1"/>
  <c r="CR119" i="1" a="1"/>
  <c r="CR119" i="1" s="1"/>
  <c r="CI119" i="1" a="1"/>
  <c r="CI119" i="1" s="1"/>
  <c r="CA119" i="1" a="1"/>
  <c r="CA119" i="1" s="1"/>
  <c r="DO119" i="1" a="1"/>
  <c r="DO119" i="1" s="1"/>
  <c r="DG119" i="1" a="1"/>
  <c r="DG119" i="1" s="1"/>
  <c r="CY119" i="1" a="1"/>
  <c r="CY119" i="1" s="1"/>
  <c r="CQ119" i="1" a="1"/>
  <c r="CQ119" i="1" s="1"/>
  <c r="CH119" i="1" a="1"/>
  <c r="CH119" i="1" s="1"/>
  <c r="BZ119" i="1" a="1"/>
  <c r="BZ119" i="1" s="1"/>
  <c r="DV119" i="1" a="1"/>
  <c r="DV119" i="1" s="1"/>
  <c r="DN119" i="1" a="1"/>
  <c r="DN119" i="1" s="1"/>
  <c r="DF119" i="1" a="1"/>
  <c r="DF119" i="1" s="1"/>
  <c r="CX119" i="1" a="1"/>
  <c r="CX119" i="1" s="1"/>
  <c r="CP119" i="1" a="1"/>
  <c r="CP119" i="1" s="1"/>
  <c r="CG119" i="1" a="1"/>
  <c r="CG119" i="1" s="1"/>
  <c r="BY119" i="1" a="1"/>
  <c r="BY119" i="1" s="1"/>
  <c r="DU119" i="1" a="1"/>
  <c r="DU119" i="1" s="1"/>
  <c r="DM119" i="1" a="1"/>
  <c r="DM119" i="1" s="1"/>
  <c r="DE119" i="1" a="1"/>
  <c r="DE119" i="1" s="1"/>
  <c r="CW119" i="1" a="1"/>
  <c r="CW119" i="1" s="1"/>
  <c r="CO119" i="1" a="1"/>
  <c r="CO119" i="1" s="1"/>
  <c r="CF119" i="1" a="1"/>
  <c r="CF119" i="1" s="1"/>
  <c r="BX119" i="1" a="1"/>
  <c r="BX119" i="1" s="1"/>
  <c r="BT119" i="1"/>
  <c r="BU119" i="1" s="1"/>
  <c r="DR116" i="1" a="1"/>
  <c r="DR116" i="1" s="1"/>
  <c r="DJ116" i="1" a="1"/>
  <c r="DJ116" i="1" s="1"/>
  <c r="DB116" i="1" a="1"/>
  <c r="DB116" i="1" s="1"/>
  <c r="CT116" i="1" a="1"/>
  <c r="CT116" i="1" s="1"/>
  <c r="CK116" i="1" a="1"/>
  <c r="CK116" i="1" s="1"/>
  <c r="CC116" i="1" a="1"/>
  <c r="CC116" i="1" s="1"/>
  <c r="DQ116" i="1" a="1"/>
  <c r="DQ116" i="1" s="1"/>
  <c r="DI116" i="1" a="1"/>
  <c r="DI116" i="1" s="1"/>
  <c r="DA116" i="1" a="1"/>
  <c r="DA116" i="1" s="1"/>
  <c r="CS116" i="1" a="1"/>
  <c r="CS116" i="1" s="1"/>
  <c r="CJ116" i="1" a="1"/>
  <c r="CJ116" i="1" s="1"/>
  <c r="CB116" i="1" a="1"/>
  <c r="CB116" i="1" s="1"/>
  <c r="DV116" i="1" a="1"/>
  <c r="DV116" i="1" s="1"/>
  <c r="DL116" i="1" a="1"/>
  <c r="DL116" i="1" s="1"/>
  <c r="CZ116" i="1" a="1"/>
  <c r="CZ116" i="1" s="1"/>
  <c r="CP116" i="1" a="1"/>
  <c r="CP116" i="1" s="1"/>
  <c r="CE116" i="1" a="1"/>
  <c r="CE116" i="1" s="1"/>
  <c r="DU116" i="1" a="1"/>
  <c r="DU116" i="1" s="1"/>
  <c r="DK116" i="1" a="1"/>
  <c r="DK116" i="1" s="1"/>
  <c r="CY116" i="1" a="1"/>
  <c r="CY116" i="1" s="1"/>
  <c r="CO116" i="1" a="1"/>
  <c r="CO116" i="1" s="1"/>
  <c r="CD116" i="1" a="1"/>
  <c r="CD116" i="1" s="1"/>
  <c r="DT116" i="1" a="1"/>
  <c r="DT116" i="1" s="1"/>
  <c r="DH116" i="1" a="1"/>
  <c r="DH116" i="1" s="1"/>
  <c r="CX116" i="1" a="1"/>
  <c r="CX116" i="1" s="1"/>
  <c r="CM116" i="1" a="1"/>
  <c r="CM116" i="1" s="1"/>
  <c r="CA116" i="1" a="1"/>
  <c r="CA116" i="1" s="1"/>
  <c r="DF116" i="1" a="1"/>
  <c r="DF116" i="1" s="1"/>
  <c r="CQ116" i="1" a="1"/>
  <c r="CQ116" i="1" s="1"/>
  <c r="BX116" i="1" a="1"/>
  <c r="BX116" i="1" s="1"/>
  <c r="DE116" i="1" a="1"/>
  <c r="DE116" i="1" s="1"/>
  <c r="CL116" i="1" a="1"/>
  <c r="CL116" i="1" s="1"/>
  <c r="BW116" i="1" a="1"/>
  <c r="BW116" i="1" s="1"/>
  <c r="BZ116" i="1" a="1"/>
  <c r="BZ116" i="1" s="1"/>
  <c r="CW116" i="1" a="1"/>
  <c r="CW116" i="1" s="1"/>
  <c r="DS116" i="1" a="1"/>
  <c r="DS116" i="1" s="1"/>
  <c r="BY116" i="1" a="1"/>
  <c r="BY116" i="1" s="1"/>
  <c r="CV116" i="1" a="1"/>
  <c r="CV116" i="1" s="1"/>
  <c r="DP116" i="1" a="1"/>
  <c r="DP116" i="1" s="1"/>
  <c r="CI116" i="1" a="1"/>
  <c r="CI116" i="1" s="1"/>
  <c r="DO116" i="1" a="1"/>
  <c r="DO116" i="1" s="1"/>
  <c r="CH116" i="1" a="1"/>
  <c r="CH116" i="1" s="1"/>
  <c r="CG116" i="1" a="1"/>
  <c r="CG116" i="1" s="1"/>
  <c r="CF116" i="1" a="1"/>
  <c r="CF116" i="1" s="1"/>
  <c r="CU116" i="1" a="1"/>
  <c r="CU116" i="1" s="1"/>
  <c r="CR116" i="1" a="1"/>
  <c r="CR116" i="1" s="1"/>
  <c r="DN116" i="1" a="1"/>
  <c r="DN116" i="1" s="1"/>
  <c r="DM116" i="1" a="1"/>
  <c r="DM116" i="1" s="1"/>
  <c r="DG116" i="1" a="1"/>
  <c r="DG116" i="1" s="1"/>
  <c r="DD116" i="1" a="1"/>
  <c r="DD116" i="1" s="1"/>
  <c r="DC116" i="1" a="1"/>
  <c r="DC116" i="1" s="1"/>
  <c r="BD117" i="1"/>
  <c r="AN117" i="1"/>
  <c r="X117" i="1"/>
  <c r="H117" i="1"/>
  <c r="BC117" i="1"/>
  <c r="AM117" i="1"/>
  <c r="W117" i="1"/>
  <c r="G117" i="1"/>
  <c r="BR117" i="1"/>
  <c r="BB117" i="1"/>
  <c r="AL117" i="1"/>
  <c r="V117" i="1"/>
  <c r="F117" i="1"/>
  <c r="BQ117" i="1"/>
  <c r="BA117" i="1"/>
  <c r="AK117" i="1"/>
  <c r="U117" i="1"/>
  <c r="E117" i="1"/>
  <c r="BL117" i="1"/>
  <c r="AR117" i="1"/>
  <c r="T117" i="1"/>
  <c r="BK117" i="1"/>
  <c r="AQ117" i="1"/>
  <c r="S117" i="1"/>
  <c r="BJ117" i="1"/>
  <c r="AP117" i="1"/>
  <c r="R117" i="1"/>
  <c r="BI117" i="1"/>
  <c r="AO117" i="1"/>
  <c r="Q117" i="1"/>
  <c r="BH117" i="1"/>
  <c r="AJ117" i="1"/>
  <c r="P117" i="1"/>
  <c r="BG117" i="1"/>
  <c r="AI117" i="1"/>
  <c r="O117" i="1"/>
  <c r="DW117" i="1"/>
  <c r="AH117" i="1"/>
  <c r="D117" i="1"/>
  <c r="AG117" i="1"/>
  <c r="BP117" i="1"/>
  <c r="AF117" i="1"/>
  <c r="A117" i="1"/>
  <c r="BO117" i="1"/>
  <c r="AE117" i="1"/>
  <c r="BN117" i="1"/>
  <c r="AD117" i="1"/>
  <c r="AY117" i="1"/>
  <c r="J117" i="1"/>
  <c r="AX117" i="1"/>
  <c r="I117" i="1"/>
  <c r="AW117" i="1"/>
  <c r="AV117" i="1"/>
  <c r="BM117" i="1"/>
  <c r="BF117" i="1"/>
  <c r="BE117" i="1"/>
  <c r="AZ117" i="1"/>
  <c r="N117" i="1"/>
  <c r="M117" i="1"/>
  <c r="L117" i="1"/>
  <c r="K117" i="1"/>
  <c r="AU117" i="1"/>
  <c r="AT117" i="1"/>
  <c r="AS117" i="1"/>
  <c r="AC117" i="1"/>
  <c r="AB117" i="1"/>
  <c r="AA117" i="1"/>
  <c r="Z117" i="1"/>
  <c r="Y117" i="1"/>
  <c r="BS122" i="1"/>
  <c r="BT122" i="1" s="1"/>
  <c r="BU122" i="1" s="1"/>
  <c r="BJ123" i="1"/>
  <c r="AT123" i="1"/>
  <c r="AD123" i="1"/>
  <c r="N123" i="1"/>
  <c r="BI123" i="1"/>
  <c r="AS123" i="1"/>
  <c r="AC123" i="1"/>
  <c r="M123" i="1"/>
  <c r="BH123" i="1"/>
  <c r="AR123" i="1"/>
  <c r="AB123" i="1"/>
  <c r="L123" i="1"/>
  <c r="BG123" i="1"/>
  <c r="AQ123" i="1"/>
  <c r="AA123" i="1"/>
  <c r="K123" i="1"/>
  <c r="BF123" i="1"/>
  <c r="AP123" i="1"/>
  <c r="Z123" i="1"/>
  <c r="J123" i="1"/>
  <c r="BE123" i="1"/>
  <c r="AO123" i="1"/>
  <c r="Y123" i="1"/>
  <c r="I123" i="1"/>
  <c r="BD123" i="1"/>
  <c r="AN123" i="1"/>
  <c r="X123" i="1"/>
  <c r="H123" i="1"/>
  <c r="BC123" i="1"/>
  <c r="AM123" i="1"/>
  <c r="W123" i="1"/>
  <c r="G123" i="1"/>
  <c r="BR123" i="1"/>
  <c r="BB123" i="1"/>
  <c r="AL123" i="1"/>
  <c r="V123" i="1"/>
  <c r="F123" i="1"/>
  <c r="BQ123" i="1"/>
  <c r="BA123" i="1"/>
  <c r="AK123" i="1"/>
  <c r="U123" i="1"/>
  <c r="E123" i="1"/>
  <c r="BP123" i="1"/>
  <c r="AZ123" i="1"/>
  <c r="AJ123" i="1"/>
  <c r="T123" i="1"/>
  <c r="D123" i="1"/>
  <c r="BO123" i="1"/>
  <c r="AY123" i="1"/>
  <c r="AI123" i="1"/>
  <c r="S123" i="1"/>
  <c r="C124" i="1"/>
  <c r="BN123" i="1"/>
  <c r="AX123" i="1"/>
  <c r="AH123" i="1"/>
  <c r="R123" i="1"/>
  <c r="A123" i="1"/>
  <c r="BM123" i="1"/>
  <c r="AW123" i="1"/>
  <c r="AG123" i="1"/>
  <c r="Q123" i="1"/>
  <c r="DW123" i="1"/>
  <c r="BL123" i="1"/>
  <c r="AV123" i="1"/>
  <c r="AF123" i="1"/>
  <c r="P123" i="1"/>
  <c r="BK123" i="1"/>
  <c r="AU123" i="1"/>
  <c r="AE123" i="1"/>
  <c r="O123" i="1"/>
  <c r="DT120" i="1" l="1" a="1"/>
  <c r="DT120" i="1" s="1"/>
  <c r="DL120" i="1" a="1"/>
  <c r="DL120" i="1" s="1"/>
  <c r="DD120" i="1" a="1"/>
  <c r="DD120" i="1" s="1"/>
  <c r="CV120" i="1" a="1"/>
  <c r="CV120" i="1" s="1"/>
  <c r="CM120" i="1" a="1"/>
  <c r="CM120" i="1" s="1"/>
  <c r="CE120" i="1" a="1"/>
  <c r="CE120" i="1" s="1"/>
  <c r="BW120" i="1" a="1"/>
  <c r="BW120" i="1" s="1"/>
  <c r="DS120" i="1" a="1"/>
  <c r="DS120" i="1" s="1"/>
  <c r="DK120" i="1" a="1"/>
  <c r="DK120" i="1" s="1"/>
  <c r="DC120" i="1" a="1"/>
  <c r="DC120" i="1" s="1"/>
  <c r="CU120" i="1" a="1"/>
  <c r="CU120" i="1" s="1"/>
  <c r="CL120" i="1" a="1"/>
  <c r="CL120" i="1" s="1"/>
  <c r="CD120" i="1" a="1"/>
  <c r="CD120" i="1" s="1"/>
  <c r="DR120" i="1" a="1"/>
  <c r="DR120" i="1" s="1"/>
  <c r="DJ120" i="1" a="1"/>
  <c r="DJ120" i="1" s="1"/>
  <c r="DB120" i="1" a="1"/>
  <c r="DB120" i="1" s="1"/>
  <c r="CT120" i="1" a="1"/>
  <c r="CT120" i="1" s="1"/>
  <c r="CK120" i="1" a="1"/>
  <c r="CK120" i="1" s="1"/>
  <c r="CC120" i="1" a="1"/>
  <c r="CC120" i="1" s="1"/>
  <c r="DQ120" i="1" a="1"/>
  <c r="DQ120" i="1" s="1"/>
  <c r="DI120" i="1" a="1"/>
  <c r="DI120" i="1" s="1"/>
  <c r="DA120" i="1" a="1"/>
  <c r="DA120" i="1" s="1"/>
  <c r="CS120" i="1" a="1"/>
  <c r="CS120" i="1" s="1"/>
  <c r="CJ120" i="1" a="1"/>
  <c r="CJ120" i="1" s="1"/>
  <c r="CB120" i="1" a="1"/>
  <c r="CB120" i="1" s="1"/>
  <c r="DP120" i="1" a="1"/>
  <c r="DP120" i="1" s="1"/>
  <c r="DH120" i="1" a="1"/>
  <c r="DH120" i="1" s="1"/>
  <c r="CZ120" i="1" a="1"/>
  <c r="CZ120" i="1" s="1"/>
  <c r="CR120" i="1" a="1"/>
  <c r="CR120" i="1" s="1"/>
  <c r="CI120" i="1" a="1"/>
  <c r="CI120" i="1" s="1"/>
  <c r="CA120" i="1" a="1"/>
  <c r="CA120" i="1" s="1"/>
  <c r="DO120" i="1" a="1"/>
  <c r="DO120" i="1" s="1"/>
  <c r="DG120" i="1" a="1"/>
  <c r="DG120" i="1" s="1"/>
  <c r="CY120" i="1" a="1"/>
  <c r="CY120" i="1" s="1"/>
  <c r="CQ120" i="1" a="1"/>
  <c r="CQ120" i="1" s="1"/>
  <c r="CH120" i="1" a="1"/>
  <c r="CH120" i="1" s="1"/>
  <c r="BZ120" i="1" a="1"/>
  <c r="BZ120" i="1" s="1"/>
  <c r="DV120" i="1" a="1"/>
  <c r="DV120" i="1" s="1"/>
  <c r="DN120" i="1" a="1"/>
  <c r="DN120" i="1" s="1"/>
  <c r="DF120" i="1" a="1"/>
  <c r="DF120" i="1" s="1"/>
  <c r="CX120" i="1" a="1"/>
  <c r="CX120" i="1" s="1"/>
  <c r="CP120" i="1" a="1"/>
  <c r="CP120" i="1" s="1"/>
  <c r="CG120" i="1" a="1"/>
  <c r="CG120" i="1" s="1"/>
  <c r="BY120" i="1" a="1"/>
  <c r="BY120" i="1" s="1"/>
  <c r="DU120" i="1" a="1"/>
  <c r="DU120" i="1" s="1"/>
  <c r="DM120" i="1" a="1"/>
  <c r="DM120" i="1" s="1"/>
  <c r="DE120" i="1" a="1"/>
  <c r="DE120" i="1" s="1"/>
  <c r="CW120" i="1" a="1"/>
  <c r="CW120" i="1" s="1"/>
  <c r="CO120" i="1" a="1"/>
  <c r="CO120" i="1" s="1"/>
  <c r="CF120" i="1" a="1"/>
  <c r="CF120" i="1" s="1"/>
  <c r="BX120" i="1" a="1"/>
  <c r="BX120" i="1" s="1"/>
  <c r="BS123" i="1"/>
  <c r="DS117" i="1" a="1"/>
  <c r="DS117" i="1" s="1"/>
  <c r="DK117" i="1" a="1"/>
  <c r="DK117" i="1" s="1"/>
  <c r="DC117" i="1" a="1"/>
  <c r="DC117" i="1" s="1"/>
  <c r="CU117" i="1" a="1"/>
  <c r="CU117" i="1" s="1"/>
  <c r="CL117" i="1" a="1"/>
  <c r="CL117" i="1" s="1"/>
  <c r="CD117" i="1" a="1"/>
  <c r="CD117" i="1" s="1"/>
  <c r="DR117" i="1" a="1"/>
  <c r="DR117" i="1" s="1"/>
  <c r="DJ117" i="1" a="1"/>
  <c r="DJ117" i="1" s="1"/>
  <c r="DB117" i="1" a="1"/>
  <c r="DB117" i="1" s="1"/>
  <c r="CT117" i="1" a="1"/>
  <c r="CT117" i="1" s="1"/>
  <c r="CK117" i="1" a="1"/>
  <c r="CK117" i="1" s="1"/>
  <c r="CC117" i="1" a="1"/>
  <c r="CC117" i="1" s="1"/>
  <c r="DU117" i="1" a="1"/>
  <c r="DU117" i="1" s="1"/>
  <c r="DI117" i="1" a="1"/>
  <c r="DI117" i="1" s="1"/>
  <c r="CY117" i="1" a="1"/>
  <c r="CY117" i="1" s="1"/>
  <c r="CO117" i="1" a="1"/>
  <c r="CO117" i="1" s="1"/>
  <c r="CB117" i="1" a="1"/>
  <c r="CB117" i="1" s="1"/>
  <c r="DT117" i="1" a="1"/>
  <c r="DT117" i="1" s="1"/>
  <c r="DH117" i="1" a="1"/>
  <c r="DH117" i="1" s="1"/>
  <c r="CX117" i="1" a="1"/>
  <c r="CX117" i="1" s="1"/>
  <c r="CM117" i="1" a="1"/>
  <c r="CM117" i="1" s="1"/>
  <c r="CA117" i="1" a="1"/>
  <c r="CA117" i="1" s="1"/>
  <c r="DQ117" i="1" a="1"/>
  <c r="DQ117" i="1" s="1"/>
  <c r="DG117" i="1" a="1"/>
  <c r="DG117" i="1" s="1"/>
  <c r="CW117" i="1" a="1"/>
  <c r="CW117" i="1" s="1"/>
  <c r="CJ117" i="1" a="1"/>
  <c r="CJ117" i="1" s="1"/>
  <c r="BZ117" i="1" a="1"/>
  <c r="BZ117" i="1" s="1"/>
  <c r="DE117" i="1" a="1"/>
  <c r="DE117" i="1" s="1"/>
  <c r="CP117" i="1" a="1"/>
  <c r="CP117" i="1" s="1"/>
  <c r="BW117" i="1" a="1"/>
  <c r="BW117" i="1" s="1"/>
  <c r="DV117" i="1" a="1"/>
  <c r="DV117" i="1" s="1"/>
  <c r="DD117" i="1" a="1"/>
  <c r="DD117" i="1" s="1"/>
  <c r="CI117" i="1" a="1"/>
  <c r="CI117" i="1" s="1"/>
  <c r="DP117" i="1" a="1"/>
  <c r="DP117" i="1" s="1"/>
  <c r="DA117" i="1" a="1"/>
  <c r="DA117" i="1" s="1"/>
  <c r="CH117" i="1" a="1"/>
  <c r="CH117" i="1" s="1"/>
  <c r="DM117" i="1" a="1"/>
  <c r="DM117" i="1" s="1"/>
  <c r="DL117" i="1" a="1"/>
  <c r="DL117" i="1" s="1"/>
  <c r="CG117" i="1" a="1"/>
  <c r="CG117" i="1" s="1"/>
  <c r="CV117" i="1" a="1"/>
  <c r="CV117" i="1" s="1"/>
  <c r="CS117" i="1" a="1"/>
  <c r="CS117" i="1" s="1"/>
  <c r="CF117" i="1" a="1"/>
  <c r="CF117" i="1" s="1"/>
  <c r="CE117" i="1" a="1"/>
  <c r="CE117" i="1" s="1"/>
  <c r="DO117" i="1" a="1"/>
  <c r="DO117" i="1" s="1"/>
  <c r="DN117" i="1" a="1"/>
  <c r="DN117" i="1" s="1"/>
  <c r="DF117" i="1" a="1"/>
  <c r="DF117" i="1" s="1"/>
  <c r="CZ117" i="1" a="1"/>
  <c r="CZ117" i="1" s="1"/>
  <c r="CR117" i="1" a="1"/>
  <c r="CR117" i="1" s="1"/>
  <c r="CQ117" i="1" a="1"/>
  <c r="CQ117" i="1" s="1"/>
  <c r="BY117" i="1" a="1"/>
  <c r="BY117" i="1" s="1"/>
  <c r="BX117" i="1" a="1"/>
  <c r="BX117" i="1" s="1"/>
  <c r="BU117" i="1"/>
  <c r="DV123" i="1" a="1"/>
  <c r="DV123" i="1" s="1"/>
  <c r="DN123" i="1" a="1"/>
  <c r="DN123" i="1" s="1"/>
  <c r="DF123" i="1" a="1"/>
  <c r="DF123" i="1" s="1"/>
  <c r="CX123" i="1" a="1"/>
  <c r="CX123" i="1" s="1"/>
  <c r="CP123" i="1" a="1"/>
  <c r="CP123" i="1" s="1"/>
  <c r="CG123" i="1" a="1"/>
  <c r="CG123" i="1" s="1"/>
  <c r="BY123" i="1" a="1"/>
  <c r="BY123" i="1" s="1"/>
  <c r="DU123" i="1" a="1"/>
  <c r="DU123" i="1" s="1"/>
  <c r="DM123" i="1" a="1"/>
  <c r="DM123" i="1" s="1"/>
  <c r="DE123" i="1" a="1"/>
  <c r="DE123" i="1" s="1"/>
  <c r="CW123" i="1" a="1"/>
  <c r="CW123" i="1" s="1"/>
  <c r="CO123" i="1" a="1"/>
  <c r="CO123" i="1" s="1"/>
  <c r="CF123" i="1" a="1"/>
  <c r="CF123" i="1" s="1"/>
  <c r="BX123" i="1" a="1"/>
  <c r="BX123" i="1" s="1"/>
  <c r="DT123" i="1" a="1"/>
  <c r="DT123" i="1" s="1"/>
  <c r="DL123" i="1" a="1"/>
  <c r="DL123" i="1" s="1"/>
  <c r="DD123" i="1" a="1"/>
  <c r="DD123" i="1" s="1"/>
  <c r="CV123" i="1" a="1"/>
  <c r="CV123" i="1" s="1"/>
  <c r="CM123" i="1" a="1"/>
  <c r="CM123" i="1" s="1"/>
  <c r="CE123" i="1" a="1"/>
  <c r="CE123" i="1" s="1"/>
  <c r="BW123" i="1" a="1"/>
  <c r="BW123" i="1" s="1"/>
  <c r="DS123" i="1" a="1"/>
  <c r="DS123" i="1" s="1"/>
  <c r="DK123" i="1" a="1"/>
  <c r="DK123" i="1" s="1"/>
  <c r="DC123" i="1" a="1"/>
  <c r="DC123" i="1" s="1"/>
  <c r="CU123" i="1" a="1"/>
  <c r="CU123" i="1" s="1"/>
  <c r="CL123" i="1" a="1"/>
  <c r="CL123" i="1" s="1"/>
  <c r="CD123" i="1" a="1"/>
  <c r="CD123" i="1" s="1"/>
  <c r="DR123" i="1" a="1"/>
  <c r="DR123" i="1" s="1"/>
  <c r="DJ123" i="1" a="1"/>
  <c r="DJ123" i="1" s="1"/>
  <c r="DB123" i="1" a="1"/>
  <c r="DB123" i="1" s="1"/>
  <c r="CT123" i="1" a="1"/>
  <c r="CT123" i="1" s="1"/>
  <c r="CK123" i="1" a="1"/>
  <c r="CK123" i="1" s="1"/>
  <c r="CC123" i="1" a="1"/>
  <c r="CC123" i="1" s="1"/>
  <c r="DQ123" i="1" a="1"/>
  <c r="DQ123" i="1" s="1"/>
  <c r="DI123" i="1" a="1"/>
  <c r="DI123" i="1" s="1"/>
  <c r="DA123" i="1" a="1"/>
  <c r="DA123" i="1" s="1"/>
  <c r="CS123" i="1" a="1"/>
  <c r="CS123" i="1" s="1"/>
  <c r="CJ123" i="1" a="1"/>
  <c r="CJ123" i="1" s="1"/>
  <c r="CB123" i="1" a="1"/>
  <c r="CB123" i="1" s="1"/>
  <c r="DP123" i="1" a="1"/>
  <c r="DP123" i="1" s="1"/>
  <c r="DH123" i="1" a="1"/>
  <c r="DH123" i="1" s="1"/>
  <c r="CZ123" i="1" a="1"/>
  <c r="CZ123" i="1" s="1"/>
  <c r="CR123" i="1" a="1"/>
  <c r="CR123" i="1" s="1"/>
  <c r="CI123" i="1" a="1"/>
  <c r="CI123" i="1" s="1"/>
  <c r="CA123" i="1" a="1"/>
  <c r="CA123" i="1" s="1"/>
  <c r="DO123" i="1" a="1"/>
  <c r="DO123" i="1" s="1"/>
  <c r="DG123" i="1" a="1"/>
  <c r="DG123" i="1" s="1"/>
  <c r="CY123" i="1" a="1"/>
  <c r="CY123" i="1" s="1"/>
  <c r="CQ123" i="1" a="1"/>
  <c r="CQ123" i="1" s="1"/>
  <c r="CH123" i="1" a="1"/>
  <c r="CH123" i="1" s="1"/>
  <c r="BZ123" i="1" a="1"/>
  <c r="BZ123" i="1" s="1"/>
  <c r="BK124" i="1"/>
  <c r="AU124" i="1"/>
  <c r="AE124" i="1"/>
  <c r="O124" i="1"/>
  <c r="BJ124" i="1"/>
  <c r="AT124" i="1"/>
  <c r="AD124" i="1"/>
  <c r="N124" i="1"/>
  <c r="BI124" i="1"/>
  <c r="AS124" i="1"/>
  <c r="AC124" i="1"/>
  <c r="M124" i="1"/>
  <c r="BH124" i="1"/>
  <c r="AR124" i="1"/>
  <c r="AB124" i="1"/>
  <c r="L124" i="1"/>
  <c r="BG124" i="1"/>
  <c r="AQ124" i="1"/>
  <c r="AA124" i="1"/>
  <c r="K124" i="1"/>
  <c r="BF124" i="1"/>
  <c r="AP124" i="1"/>
  <c r="Z124" i="1"/>
  <c r="J124" i="1"/>
  <c r="BE124" i="1"/>
  <c r="AO124" i="1"/>
  <c r="Y124" i="1"/>
  <c r="I124" i="1"/>
  <c r="BD124" i="1"/>
  <c r="AN124" i="1"/>
  <c r="X124" i="1"/>
  <c r="H124" i="1"/>
  <c r="BC124" i="1"/>
  <c r="AM124" i="1"/>
  <c r="W124" i="1"/>
  <c r="G124" i="1"/>
  <c r="BR124" i="1"/>
  <c r="BB124" i="1"/>
  <c r="AL124" i="1"/>
  <c r="V124" i="1"/>
  <c r="F124" i="1"/>
  <c r="BQ124" i="1"/>
  <c r="BA124" i="1"/>
  <c r="AK124" i="1"/>
  <c r="U124" i="1"/>
  <c r="E124" i="1"/>
  <c r="BP124" i="1"/>
  <c r="AZ124" i="1"/>
  <c r="AJ124" i="1"/>
  <c r="T124" i="1"/>
  <c r="D124" i="1"/>
  <c r="BO124" i="1"/>
  <c r="AY124" i="1"/>
  <c r="AI124" i="1"/>
  <c r="S124" i="1"/>
  <c r="C125" i="1"/>
  <c r="BN124" i="1"/>
  <c r="AX124" i="1"/>
  <c r="AH124" i="1"/>
  <c r="R124" i="1"/>
  <c r="A124" i="1"/>
  <c r="BM124" i="1"/>
  <c r="AW124" i="1"/>
  <c r="AG124" i="1"/>
  <c r="Q124" i="1"/>
  <c r="DW124" i="1"/>
  <c r="BL124" i="1"/>
  <c r="AV124" i="1"/>
  <c r="AF124" i="1"/>
  <c r="P124" i="1"/>
  <c r="BT120" i="1"/>
  <c r="BU120" i="1" s="1"/>
  <c r="BT117" i="1"/>
  <c r="BS117" i="1"/>
  <c r="BS120" i="1"/>
  <c r="BT123" i="1"/>
  <c r="BU123" i="1" s="1"/>
  <c r="BH121" i="1"/>
  <c r="AR121" i="1"/>
  <c r="AB121" i="1"/>
  <c r="L121" i="1"/>
  <c r="BG121" i="1"/>
  <c r="AQ121" i="1"/>
  <c r="AA121" i="1"/>
  <c r="K121" i="1"/>
  <c r="BF121" i="1"/>
  <c r="AP121" i="1"/>
  <c r="Z121" i="1"/>
  <c r="J121" i="1"/>
  <c r="BE121" i="1"/>
  <c r="AO121" i="1"/>
  <c r="Y121" i="1"/>
  <c r="I121" i="1"/>
  <c r="BD121" i="1"/>
  <c r="AN121" i="1"/>
  <c r="X121" i="1"/>
  <c r="H121" i="1"/>
  <c r="BC121" i="1"/>
  <c r="AM121" i="1"/>
  <c r="W121" i="1"/>
  <c r="G121" i="1"/>
  <c r="BR121" i="1"/>
  <c r="BB121" i="1"/>
  <c r="AL121" i="1"/>
  <c r="V121" i="1"/>
  <c r="F121" i="1"/>
  <c r="BQ121" i="1"/>
  <c r="BA121" i="1"/>
  <c r="AK121" i="1"/>
  <c r="U121" i="1"/>
  <c r="E121" i="1"/>
  <c r="BP121" i="1"/>
  <c r="AZ121" i="1"/>
  <c r="AJ121" i="1"/>
  <c r="T121" i="1"/>
  <c r="D121" i="1"/>
  <c r="BO121" i="1"/>
  <c r="AY121" i="1"/>
  <c r="AI121" i="1"/>
  <c r="S121" i="1"/>
  <c r="BN121" i="1"/>
  <c r="AX121" i="1"/>
  <c r="AH121" i="1"/>
  <c r="R121" i="1"/>
  <c r="A121" i="1"/>
  <c r="BM121" i="1"/>
  <c r="AW121" i="1"/>
  <c r="AG121" i="1"/>
  <c r="Q121" i="1"/>
  <c r="DW121" i="1"/>
  <c r="BL121" i="1"/>
  <c r="AV121" i="1"/>
  <c r="AF121" i="1"/>
  <c r="P121" i="1"/>
  <c r="BK121" i="1"/>
  <c r="AU121" i="1"/>
  <c r="AE121" i="1"/>
  <c r="O121" i="1"/>
  <c r="BJ121" i="1"/>
  <c r="AT121" i="1"/>
  <c r="AD121" i="1"/>
  <c r="N121" i="1"/>
  <c r="BI121" i="1"/>
  <c r="AS121" i="1"/>
  <c r="AC121" i="1"/>
  <c r="M121" i="1"/>
  <c r="BS121" i="1" l="1"/>
  <c r="BS124" i="1"/>
  <c r="DW125" i="1"/>
  <c r="BL125" i="1"/>
  <c r="AV125" i="1"/>
  <c r="AF125" i="1"/>
  <c r="P125" i="1"/>
  <c r="BK125" i="1"/>
  <c r="AU125" i="1"/>
  <c r="AE125" i="1"/>
  <c r="O125" i="1"/>
  <c r="BJ125" i="1"/>
  <c r="AT125" i="1"/>
  <c r="AD125" i="1"/>
  <c r="N125" i="1"/>
  <c r="BI125" i="1"/>
  <c r="AS125" i="1"/>
  <c r="AC125" i="1"/>
  <c r="M125" i="1"/>
  <c r="BH125" i="1"/>
  <c r="AR125" i="1"/>
  <c r="AB125" i="1"/>
  <c r="L125" i="1"/>
  <c r="BG125" i="1"/>
  <c r="AQ125" i="1"/>
  <c r="AA125" i="1"/>
  <c r="K125" i="1"/>
  <c r="BF125" i="1"/>
  <c r="AP125" i="1"/>
  <c r="Z125" i="1"/>
  <c r="J125" i="1"/>
  <c r="BE125" i="1"/>
  <c r="AO125" i="1"/>
  <c r="Y125" i="1"/>
  <c r="I125" i="1"/>
  <c r="BD125" i="1"/>
  <c r="AN125" i="1"/>
  <c r="X125" i="1"/>
  <c r="H125" i="1"/>
  <c r="BC125" i="1"/>
  <c r="AM125" i="1"/>
  <c r="W125" i="1"/>
  <c r="G125" i="1"/>
  <c r="BR125" i="1"/>
  <c r="BB125" i="1"/>
  <c r="AL125" i="1"/>
  <c r="V125" i="1"/>
  <c r="F125" i="1"/>
  <c r="BQ125" i="1"/>
  <c r="BA125" i="1"/>
  <c r="AK125" i="1"/>
  <c r="U125" i="1"/>
  <c r="E125" i="1"/>
  <c r="BP125" i="1"/>
  <c r="AZ125" i="1"/>
  <c r="AJ125" i="1"/>
  <c r="T125" i="1"/>
  <c r="D125" i="1"/>
  <c r="BO125" i="1"/>
  <c r="AY125" i="1"/>
  <c r="AI125" i="1"/>
  <c r="S125" i="1"/>
  <c r="BN125" i="1"/>
  <c r="AX125" i="1"/>
  <c r="AH125" i="1"/>
  <c r="R125" i="1"/>
  <c r="A125" i="1"/>
  <c r="BM125" i="1"/>
  <c r="AW125" i="1"/>
  <c r="AG125" i="1"/>
  <c r="Q125" i="1"/>
  <c r="DU121" i="1" a="1"/>
  <c r="DU121" i="1" s="1"/>
  <c r="DM121" i="1" a="1"/>
  <c r="DM121" i="1" s="1"/>
  <c r="DE121" i="1" a="1"/>
  <c r="DE121" i="1" s="1"/>
  <c r="CW121" i="1" a="1"/>
  <c r="CW121" i="1" s="1"/>
  <c r="CO121" i="1" a="1"/>
  <c r="CO121" i="1" s="1"/>
  <c r="CF121" i="1" a="1"/>
  <c r="CF121" i="1" s="1"/>
  <c r="BX121" i="1" a="1"/>
  <c r="BX121" i="1" s="1"/>
  <c r="DT121" i="1" a="1"/>
  <c r="DT121" i="1" s="1"/>
  <c r="DL121" i="1" a="1"/>
  <c r="DL121" i="1" s="1"/>
  <c r="DD121" i="1" a="1"/>
  <c r="DD121" i="1" s="1"/>
  <c r="CV121" i="1" a="1"/>
  <c r="CV121" i="1" s="1"/>
  <c r="CM121" i="1" a="1"/>
  <c r="CM121" i="1" s="1"/>
  <c r="CE121" i="1" a="1"/>
  <c r="CE121" i="1" s="1"/>
  <c r="BW121" i="1" a="1"/>
  <c r="BW121" i="1" s="1"/>
  <c r="DS121" i="1" a="1"/>
  <c r="DS121" i="1" s="1"/>
  <c r="DK121" i="1" a="1"/>
  <c r="DK121" i="1" s="1"/>
  <c r="DC121" i="1" a="1"/>
  <c r="DC121" i="1" s="1"/>
  <c r="CU121" i="1" a="1"/>
  <c r="CU121" i="1" s="1"/>
  <c r="CL121" i="1" a="1"/>
  <c r="CL121" i="1" s="1"/>
  <c r="CD121" i="1" a="1"/>
  <c r="CD121" i="1" s="1"/>
  <c r="DR121" i="1" a="1"/>
  <c r="DR121" i="1" s="1"/>
  <c r="DJ121" i="1" a="1"/>
  <c r="DJ121" i="1" s="1"/>
  <c r="DB121" i="1" a="1"/>
  <c r="DB121" i="1" s="1"/>
  <c r="CT121" i="1" a="1"/>
  <c r="CT121" i="1" s="1"/>
  <c r="CK121" i="1" a="1"/>
  <c r="CK121" i="1" s="1"/>
  <c r="CC121" i="1" a="1"/>
  <c r="CC121" i="1" s="1"/>
  <c r="DQ121" i="1" a="1"/>
  <c r="DQ121" i="1" s="1"/>
  <c r="DI121" i="1" a="1"/>
  <c r="DI121" i="1" s="1"/>
  <c r="DA121" i="1" a="1"/>
  <c r="DA121" i="1" s="1"/>
  <c r="CS121" i="1" a="1"/>
  <c r="CS121" i="1" s="1"/>
  <c r="CJ121" i="1" a="1"/>
  <c r="CJ121" i="1" s="1"/>
  <c r="CB121" i="1" a="1"/>
  <c r="CB121" i="1" s="1"/>
  <c r="DP121" i="1" a="1"/>
  <c r="DP121" i="1" s="1"/>
  <c r="DH121" i="1" a="1"/>
  <c r="DH121" i="1" s="1"/>
  <c r="CZ121" i="1" a="1"/>
  <c r="CZ121" i="1" s="1"/>
  <c r="CR121" i="1" a="1"/>
  <c r="CR121" i="1" s="1"/>
  <c r="CI121" i="1" a="1"/>
  <c r="CI121" i="1" s="1"/>
  <c r="CA121" i="1" a="1"/>
  <c r="CA121" i="1" s="1"/>
  <c r="DO121" i="1" a="1"/>
  <c r="DO121" i="1" s="1"/>
  <c r="DG121" i="1" a="1"/>
  <c r="DG121" i="1" s="1"/>
  <c r="CY121" i="1" a="1"/>
  <c r="CY121" i="1" s="1"/>
  <c r="CQ121" i="1" a="1"/>
  <c r="CQ121" i="1" s="1"/>
  <c r="CH121" i="1" a="1"/>
  <c r="CH121" i="1" s="1"/>
  <c r="BZ121" i="1" a="1"/>
  <c r="BZ121" i="1" s="1"/>
  <c r="DV121" i="1" a="1"/>
  <c r="DV121" i="1" s="1"/>
  <c r="DN121" i="1" a="1"/>
  <c r="DN121" i="1" s="1"/>
  <c r="DF121" i="1" a="1"/>
  <c r="DF121" i="1" s="1"/>
  <c r="CX121" i="1" a="1"/>
  <c r="CX121" i="1" s="1"/>
  <c r="CP121" i="1" a="1"/>
  <c r="CP121" i="1" s="1"/>
  <c r="CG121" i="1" a="1"/>
  <c r="CG121" i="1" s="1"/>
  <c r="BY121" i="1" a="1"/>
  <c r="BY121" i="1" s="1"/>
  <c r="DV124" i="1" a="1"/>
  <c r="DV124" i="1" s="1"/>
  <c r="DN124" i="1" a="1"/>
  <c r="DN124" i="1" s="1"/>
  <c r="DF124" i="1" a="1"/>
  <c r="DF124" i="1" s="1"/>
  <c r="CX124" i="1" a="1"/>
  <c r="CX124" i="1" s="1"/>
  <c r="CP124" i="1" a="1"/>
  <c r="CP124" i="1" s="1"/>
  <c r="CG124" i="1" a="1"/>
  <c r="CG124" i="1" s="1"/>
  <c r="BY124" i="1" a="1"/>
  <c r="BY124" i="1" s="1"/>
  <c r="DU124" i="1" a="1"/>
  <c r="DU124" i="1" s="1"/>
  <c r="DM124" i="1" a="1"/>
  <c r="DM124" i="1" s="1"/>
  <c r="DE124" i="1" a="1"/>
  <c r="DE124" i="1" s="1"/>
  <c r="CW124" i="1" a="1"/>
  <c r="CW124" i="1" s="1"/>
  <c r="CO124" i="1" a="1"/>
  <c r="CO124" i="1" s="1"/>
  <c r="CF124" i="1" a="1"/>
  <c r="CF124" i="1" s="1"/>
  <c r="BX124" i="1" a="1"/>
  <c r="BX124" i="1" s="1"/>
  <c r="DT124" i="1" a="1"/>
  <c r="DT124" i="1" s="1"/>
  <c r="DL124" i="1" a="1"/>
  <c r="DL124" i="1" s="1"/>
  <c r="DD124" i="1" a="1"/>
  <c r="DD124" i="1" s="1"/>
  <c r="CV124" i="1" a="1"/>
  <c r="CV124" i="1" s="1"/>
  <c r="CM124" i="1" a="1"/>
  <c r="CM124" i="1" s="1"/>
  <c r="CE124" i="1" a="1"/>
  <c r="CE124" i="1" s="1"/>
  <c r="BW124" i="1" a="1"/>
  <c r="BW124" i="1" s="1"/>
  <c r="DS124" i="1" a="1"/>
  <c r="DS124" i="1" s="1"/>
  <c r="DK124" i="1" a="1"/>
  <c r="DK124" i="1" s="1"/>
  <c r="DC124" i="1" a="1"/>
  <c r="DC124" i="1" s="1"/>
  <c r="CU124" i="1" a="1"/>
  <c r="CU124" i="1" s="1"/>
  <c r="CL124" i="1" a="1"/>
  <c r="CL124" i="1" s="1"/>
  <c r="CD124" i="1" a="1"/>
  <c r="CD124" i="1" s="1"/>
  <c r="DR124" i="1" a="1"/>
  <c r="DR124" i="1" s="1"/>
  <c r="DJ124" i="1" a="1"/>
  <c r="DJ124" i="1" s="1"/>
  <c r="DB124" i="1" a="1"/>
  <c r="DB124" i="1" s="1"/>
  <c r="CT124" i="1" a="1"/>
  <c r="CT124" i="1" s="1"/>
  <c r="CK124" i="1" a="1"/>
  <c r="CK124" i="1" s="1"/>
  <c r="CC124" i="1" a="1"/>
  <c r="CC124" i="1" s="1"/>
  <c r="DQ124" i="1" a="1"/>
  <c r="DQ124" i="1" s="1"/>
  <c r="DI124" i="1" a="1"/>
  <c r="DI124" i="1" s="1"/>
  <c r="DA124" i="1" a="1"/>
  <c r="DA124" i="1" s="1"/>
  <c r="CS124" i="1" a="1"/>
  <c r="CS124" i="1" s="1"/>
  <c r="CJ124" i="1" a="1"/>
  <c r="CJ124" i="1" s="1"/>
  <c r="CB124" i="1" a="1"/>
  <c r="CB124" i="1" s="1"/>
  <c r="DP124" i="1" a="1"/>
  <c r="DP124" i="1" s="1"/>
  <c r="DH124" i="1" a="1"/>
  <c r="DH124" i="1" s="1"/>
  <c r="CZ124" i="1" a="1"/>
  <c r="CZ124" i="1" s="1"/>
  <c r="CR124" i="1" a="1"/>
  <c r="CR124" i="1" s="1"/>
  <c r="CI124" i="1" a="1"/>
  <c r="CI124" i="1" s="1"/>
  <c r="CA124" i="1" a="1"/>
  <c r="CA124" i="1" s="1"/>
  <c r="DO124" i="1" a="1"/>
  <c r="DO124" i="1" s="1"/>
  <c r="DG124" i="1" a="1"/>
  <c r="DG124" i="1" s="1"/>
  <c r="CY124" i="1" a="1"/>
  <c r="CY124" i="1" s="1"/>
  <c r="CQ124" i="1" a="1"/>
  <c r="CQ124" i="1" s="1"/>
  <c r="CH124" i="1" a="1"/>
  <c r="CH124" i="1" s="1"/>
  <c r="BZ124" i="1" a="1"/>
  <c r="BZ124" i="1" s="1"/>
  <c r="BT121" i="1"/>
  <c r="BU121" i="1" s="1"/>
  <c r="BT124" i="1"/>
  <c r="BU124" i="1" s="1"/>
  <c r="DO125" i="1" l="1" a="1"/>
  <c r="DO125" i="1" s="1"/>
  <c r="DG125" i="1" a="1"/>
  <c r="DG125" i="1" s="1"/>
  <c r="CY125" i="1" a="1"/>
  <c r="CY125" i="1" s="1"/>
  <c r="CQ125" i="1" a="1"/>
  <c r="CQ125" i="1" s="1"/>
  <c r="CH125" i="1" a="1"/>
  <c r="CH125" i="1" s="1"/>
  <c r="BZ125" i="1" a="1"/>
  <c r="BZ125" i="1" s="1"/>
  <c r="DV125" i="1" a="1"/>
  <c r="DV125" i="1" s="1"/>
  <c r="DN125" i="1" a="1"/>
  <c r="DN125" i="1" s="1"/>
  <c r="DF125" i="1" a="1"/>
  <c r="DF125" i="1" s="1"/>
  <c r="CX125" i="1" a="1"/>
  <c r="CX125" i="1" s="1"/>
  <c r="CP125" i="1" a="1"/>
  <c r="CP125" i="1" s="1"/>
  <c r="CG125" i="1" a="1"/>
  <c r="CG125" i="1" s="1"/>
  <c r="BY125" i="1" a="1"/>
  <c r="BY125" i="1" s="1"/>
  <c r="DU125" i="1" a="1"/>
  <c r="DU125" i="1" s="1"/>
  <c r="DM125" i="1" a="1"/>
  <c r="DM125" i="1" s="1"/>
  <c r="DE125" i="1" a="1"/>
  <c r="DE125" i="1" s="1"/>
  <c r="CW125" i="1" a="1"/>
  <c r="CW125" i="1" s="1"/>
  <c r="CO125" i="1" a="1"/>
  <c r="CO125" i="1" s="1"/>
  <c r="CF125" i="1" a="1"/>
  <c r="CF125" i="1" s="1"/>
  <c r="BX125" i="1" a="1"/>
  <c r="BX125" i="1" s="1"/>
  <c r="DT125" i="1" a="1"/>
  <c r="DT125" i="1" s="1"/>
  <c r="DL125" i="1" a="1"/>
  <c r="DL125" i="1" s="1"/>
  <c r="DD125" i="1" a="1"/>
  <c r="DD125" i="1" s="1"/>
  <c r="CV125" i="1" a="1"/>
  <c r="CV125" i="1" s="1"/>
  <c r="CM125" i="1" a="1"/>
  <c r="CM125" i="1" s="1"/>
  <c r="CE125" i="1" a="1"/>
  <c r="CE125" i="1" s="1"/>
  <c r="BW125" i="1" a="1"/>
  <c r="BW125" i="1" s="1"/>
  <c r="DS125" i="1" a="1"/>
  <c r="DS125" i="1" s="1"/>
  <c r="DK125" i="1" a="1"/>
  <c r="DK125" i="1" s="1"/>
  <c r="DC125" i="1" a="1"/>
  <c r="DC125" i="1" s="1"/>
  <c r="CU125" i="1" a="1"/>
  <c r="CU125" i="1" s="1"/>
  <c r="CL125" i="1" a="1"/>
  <c r="CL125" i="1" s="1"/>
  <c r="CD125" i="1" a="1"/>
  <c r="CD125" i="1" s="1"/>
  <c r="DR125" i="1" a="1"/>
  <c r="DR125" i="1" s="1"/>
  <c r="DJ125" i="1" a="1"/>
  <c r="DJ125" i="1" s="1"/>
  <c r="DB125" i="1" a="1"/>
  <c r="DB125" i="1" s="1"/>
  <c r="CT125" i="1" a="1"/>
  <c r="CT125" i="1" s="1"/>
  <c r="CK125" i="1" a="1"/>
  <c r="CK125" i="1" s="1"/>
  <c r="CC125" i="1" a="1"/>
  <c r="CC125" i="1" s="1"/>
  <c r="DQ125" i="1" a="1"/>
  <c r="DQ125" i="1" s="1"/>
  <c r="DI125" i="1" a="1"/>
  <c r="DI125" i="1" s="1"/>
  <c r="DA125" i="1" a="1"/>
  <c r="DA125" i="1" s="1"/>
  <c r="CS125" i="1" a="1"/>
  <c r="CS125" i="1" s="1"/>
  <c r="CJ125" i="1" a="1"/>
  <c r="CJ125" i="1" s="1"/>
  <c r="CB125" i="1" a="1"/>
  <c r="CB125" i="1" s="1"/>
  <c r="DP125" i="1" a="1"/>
  <c r="DP125" i="1" s="1"/>
  <c r="DH125" i="1" a="1"/>
  <c r="DH125" i="1" s="1"/>
  <c r="CZ125" i="1" a="1"/>
  <c r="CZ125" i="1" s="1"/>
  <c r="CR125" i="1" a="1"/>
  <c r="CR125" i="1" s="1"/>
  <c r="CI125" i="1" a="1"/>
  <c r="CI125" i="1" s="1"/>
  <c r="CA125" i="1" a="1"/>
  <c r="CA125" i="1" s="1"/>
  <c r="BS125" i="1"/>
  <c r="BT125" i="1" s="1"/>
  <c r="BU1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<sst xmlns="http://schemas.openxmlformats.org/spreadsheetml/2006/main" count="374" uniqueCount="134">
  <si>
    <t>Furnace</t>
  </si>
  <si>
    <t>DATE</t>
  </si>
  <si>
    <t>Incharge</t>
  </si>
  <si>
    <t>Actual Production Qty</t>
  </si>
  <si>
    <t>Cake Production Qty</t>
  </si>
  <si>
    <t>Slag Qty (MT)</t>
  </si>
  <si>
    <t>MnO%</t>
  </si>
  <si>
    <t>SiO2%</t>
  </si>
  <si>
    <t>Cao%</t>
  </si>
  <si>
    <t>Mgo%</t>
  </si>
  <si>
    <t>Al2O3%</t>
  </si>
  <si>
    <t>Basicity</t>
  </si>
  <si>
    <t>Input Qty(Ore PLC)(MT)</t>
  </si>
  <si>
    <t>Input Qty(Coke PLC)(MT)</t>
  </si>
  <si>
    <t>Furnace Power Consumption</t>
  </si>
  <si>
    <t>Specific Power Consumption</t>
  </si>
  <si>
    <t>MN Recovery PLC</t>
  </si>
  <si>
    <t>SI Recovery PLC</t>
  </si>
  <si>
    <t>Ore Cost PLC</t>
  </si>
  <si>
    <t>Coke Cost PLC</t>
  </si>
  <si>
    <t>Power Cost</t>
  </si>
  <si>
    <t>Total Cost PLC</t>
  </si>
  <si>
    <t>Total Breakdown Mins</t>
  </si>
  <si>
    <t>Target cost</t>
  </si>
  <si>
    <t>Week</t>
  </si>
  <si>
    <t>Month</t>
  </si>
  <si>
    <t>F1</t>
  </si>
  <si>
    <t>F2</t>
  </si>
  <si>
    <t>F3</t>
  </si>
  <si>
    <t>F4</t>
  </si>
  <si>
    <t>Shortage</t>
  </si>
  <si>
    <t>Feo%</t>
  </si>
  <si>
    <t>Tappings</t>
  </si>
  <si>
    <t>Number of Batches A Shift</t>
  </si>
  <si>
    <t>Number of Batches B Shift</t>
  </si>
  <si>
    <t>Number of Batches C Shift</t>
  </si>
  <si>
    <t>Total Number of Batches</t>
  </si>
  <si>
    <t>Input Ratio</t>
  </si>
  <si>
    <t>Metal Wt</t>
  </si>
  <si>
    <t>Recovery Liquid Metal</t>
  </si>
  <si>
    <t>GRADE</t>
  </si>
  <si>
    <t xml:space="preserve">Grade MN </t>
  </si>
  <si>
    <t>Grade SI</t>
  </si>
  <si>
    <t>C%</t>
  </si>
  <si>
    <t>MN Feeding</t>
  </si>
  <si>
    <t>MN PLC</t>
  </si>
  <si>
    <t>MN Recovery Feeding</t>
  </si>
  <si>
    <t>FC Feeding</t>
  </si>
  <si>
    <t>FC PLC</t>
  </si>
  <si>
    <t>SI Recovery Feeding</t>
  </si>
  <si>
    <t xml:space="preserve">Breaking Size </t>
  </si>
  <si>
    <t>Under Size Generation</t>
  </si>
  <si>
    <t>Aux power Consumption</t>
  </si>
  <si>
    <t>Avg. Mg.</t>
  </si>
  <si>
    <t>Load Factor</t>
  </si>
  <si>
    <t>Elec. Length Day Avg.</t>
  </si>
  <si>
    <t>Power Factor</t>
  </si>
  <si>
    <t>Elec. Holding Day Avg.</t>
  </si>
  <si>
    <t>Elec. Slipping Day Avg.</t>
  </si>
  <si>
    <t>Ore Cost Feeding</t>
  </si>
  <si>
    <t>Coke Cost Feeding</t>
  </si>
  <si>
    <t>Fluxes Feeding</t>
  </si>
  <si>
    <t>Consumable items</t>
  </si>
  <si>
    <t>Undersize Cost</t>
  </si>
  <si>
    <t>Over head</t>
  </si>
  <si>
    <t>Total Cost Feeding</t>
  </si>
  <si>
    <t>Fluxes PLC</t>
  </si>
  <si>
    <t>Undersize Cost PLC</t>
  </si>
  <si>
    <t>Mechanical B/D Mins</t>
  </si>
  <si>
    <t>Electrical B/D Mins</t>
  </si>
  <si>
    <t>Production B/D Mins</t>
  </si>
  <si>
    <t>Preventive B/D Mins</t>
  </si>
  <si>
    <t>Shutdown Mins</t>
  </si>
  <si>
    <t>Reason</t>
  </si>
  <si>
    <t>Production Dept. Comments</t>
  </si>
  <si>
    <t>Total Cost PLC 4 Items</t>
  </si>
  <si>
    <t>P/L</t>
  </si>
  <si>
    <t>Total P/L</t>
  </si>
  <si>
    <t>CARBONETED 35%</t>
  </si>
  <si>
    <t>CHINA COKE</t>
  </si>
  <si>
    <t>TATA STEEL (CHIPS)30%</t>
  </si>
  <si>
    <t>GABON 35%</t>
  </si>
  <si>
    <t>FEMN SLAG 19%</t>
  </si>
  <si>
    <t>TATA STEEL (LUMPS)30%</t>
  </si>
  <si>
    <t>SANDUR-22</t>
  </si>
  <si>
    <t>PEARL COKE 73%</t>
  </si>
  <si>
    <t xml:space="preserve"> S.R.FERRO </t>
  </si>
  <si>
    <t>LOCAL QUARTZ</t>
  </si>
  <si>
    <t>BARBIL MINING 22%</t>
  </si>
  <si>
    <t>SANDUR-18</t>
  </si>
  <si>
    <t>TATA STEEL (CHIPS)  25%</t>
  </si>
  <si>
    <t>PEARL COKE 65%</t>
  </si>
  <si>
    <t>STEAM COAL</t>
  </si>
  <si>
    <t xml:space="preserve">LAM COKE </t>
  </si>
  <si>
    <t>WMA COMMODITIES</t>
  </si>
  <si>
    <t>SINTER</t>
  </si>
  <si>
    <t>NUT COKE</t>
  </si>
  <si>
    <t xml:space="preserve"> ORE &amp; METAL 44.52%</t>
  </si>
  <si>
    <t>Remelt</t>
  </si>
  <si>
    <t>DOLOMITE</t>
  </si>
  <si>
    <t>CARBONETED 37%</t>
  </si>
  <si>
    <t>SANDUR FINES</t>
  </si>
  <si>
    <t>NEW GABON</t>
  </si>
  <si>
    <t xml:space="preserve"> ORE &amp; METAL 42%</t>
  </si>
  <si>
    <t>Batch-CARBONETED  35%</t>
  </si>
  <si>
    <t>Batch-CHINA COKE</t>
  </si>
  <si>
    <t>Batch-TATA STEEL (CHIPS)30%</t>
  </si>
  <si>
    <t xml:space="preserve">Batch-GABON 35% </t>
  </si>
  <si>
    <t>Batch-FEMN SLAG 19%</t>
  </si>
  <si>
    <t>Batch-TATA STEEL (LUMPS)30%</t>
  </si>
  <si>
    <t>Batch-SANDUR-22</t>
  </si>
  <si>
    <t>Batch-PEARL COKE 73%</t>
  </si>
  <si>
    <t xml:space="preserve">Batch- S.R.FERRO </t>
  </si>
  <si>
    <t xml:space="preserve">Batch-LOCAL QUARTZ </t>
  </si>
  <si>
    <t>Batch-BARBIL MINING 22%</t>
  </si>
  <si>
    <t>Batch- SANDUR-18</t>
  </si>
  <si>
    <t>Batch -TATA STEEL(CHIPS) 26%</t>
  </si>
  <si>
    <t>Batch -PEARL COKE 65%</t>
  </si>
  <si>
    <t>Batch -STEAM COAL</t>
  </si>
  <si>
    <t xml:space="preserve">Batch- LAM COKE </t>
  </si>
  <si>
    <t>Batch - WMA COMMODITIES</t>
  </si>
  <si>
    <t>Batch - SINTER</t>
  </si>
  <si>
    <t>Batch- NUT COKE</t>
  </si>
  <si>
    <t>Batch - ORE &amp; METAL 44.52%</t>
  </si>
  <si>
    <t>Batch - Remelt</t>
  </si>
  <si>
    <t>Batch -DOLOMITE</t>
  </si>
  <si>
    <t>Batch-CARBONETED  37%</t>
  </si>
  <si>
    <t>Batch -SANDUR FINES</t>
  </si>
  <si>
    <t>Batch -NEW GABON</t>
  </si>
  <si>
    <t>Batch - ORE &amp; METAL 42%</t>
  </si>
  <si>
    <t>Week 1</t>
  </si>
  <si>
    <t>Week 2</t>
  </si>
  <si>
    <t>Week 3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</si>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</sst>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4" fontId="3" fillId="0" borderId="2" xfId="0" applyNumberFormat="1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164" fontId="2" fillId="3" borderId="4" xfId="1" applyNumberFormat="1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10" fontId="2" fillId="3" borderId="4" xfId="2" applyNumberFormat="1" applyFont="1" applyFill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4" xfId="1" applyNumberFormat="1" applyFont="1" applyFill="1" applyBorder="1" applyAlignment="1">
      <alignment horizontal="center" vertical="center" wrapText="1"/>
    </xf>
    <xf numFmtId="164" fontId="3" fillId="0" borderId="7" xfId="1" applyNumberFormat="1" applyFont="1" applyFill="1" applyBorder="1" applyAlignment="1">
      <alignment horizontal="center" vertical="center" wrapText="1"/>
    </xf>
    <xf numFmtId="164" fontId="2" fillId="4" borderId="4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Fill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10" fontId="0" fillId="0" borderId="12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7" fillId="0" borderId="1" xfId="2" applyNumberFormat="1" applyFont="1" applyFill="1" applyBorder="1" applyAlignment="1">
      <alignment horizontal="center" vertical="center"/>
    </xf>
    <xf numFmtId="49" fontId="7" fillId="0" borderId="1" xfId="2" quotePrefix="1" applyNumberFormat="1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64" fontId="1" fillId="0" borderId="14" xfId="1" applyNumberFormat="1" applyFont="1" applyFill="1" applyBorder="1" applyAlignment="1">
      <alignment horizontal="center" vertical="center"/>
    </xf>
    <xf numFmtId="164" fontId="1" fillId="0" borderId="15" xfId="1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0" xfId="0" applyNumberFormat="1"/>
    <xf numFmtId="1" fontId="0" fillId="6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dharth%20Tripathy\Downloads\GAJANAN%20REPORT\Gajanan%20Report%20Dec-%202025.xlsx" TargetMode="External"/><Relationship Id="rId1" Type="http://schemas.openxmlformats.org/officeDocument/2006/relationships/externalLinkPath" Target="/Users/Sidharth%20Tripathy/Downloads/GAJANAN%20REPORT/Gajanan%20Report%20Dec-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yan\Desktop\Data%20Analysis\Unit4_OPEX_Working.xlsx" TargetMode="External"/><Relationship Id="rId1" Type="http://schemas.openxmlformats.org/officeDocument/2006/relationships/externalLinkPath" Target="/Users/Aryan/Desktop/Data%20Analysis/Unit4_OPEX_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Day Summary"/>
      <sheetName val="Operation Analysis&amp;Cost Summay"/>
      <sheetName val="Cost Summary "/>
      <sheetName val="MD Report"/>
      <sheetName val="MN , SI, LF ,FC"/>
      <sheetName val="Charge Mix Summary"/>
      <sheetName val="Daily PLC Per Batch"/>
      <sheetName val="Std. Deviation Summary"/>
      <sheetName val="Weekly_Pivot Summary"/>
      <sheetName val="Weekly_PLC Per Batch"/>
      <sheetName val="Ore &amp; Coke Batch Ratio"/>
      <sheetName val="Consumables Budget Vs Actual"/>
      <sheetName val="Pollution Dust Analysis"/>
      <sheetName val="No. of Batch"/>
      <sheetName val="FC1 Prod"/>
      <sheetName val="FC1 TD"/>
      <sheetName val="FC2 Prod"/>
      <sheetName val="FC2 TD"/>
      <sheetName val="FC3 Prod"/>
      <sheetName val="FC3 TD"/>
      <sheetName val="FC4 Prod"/>
      <sheetName val="FC4 TD"/>
      <sheetName val="Consolidated Tapping"/>
      <sheetName val="Grade Fluctuation Report"/>
      <sheetName val="working sheet"/>
      <sheetName val="Tapping Summary "/>
      <sheetName val="C.R.O Performance"/>
      <sheetName val="Shift Inchange Performance"/>
      <sheetName val="Taphole Analysis"/>
      <sheetName val="Grade Analysis"/>
      <sheetName val="METAL"/>
      <sheetName val="Meta Breaking Summary"/>
      <sheetName val="Sand &amp; Remelt "/>
      <sheetName val="Breaking Size"/>
      <sheetName val="Unsize"/>
      <sheetName val="Shortage"/>
      <sheetName val="Budget vs Actual"/>
      <sheetName val="Fur 1"/>
      <sheetName val="Fur 1 PLC"/>
      <sheetName val="Fur 2"/>
      <sheetName val="Fur 2 PLC"/>
      <sheetName val="Fur 3"/>
      <sheetName val="Fur 3 PLC"/>
      <sheetName val="Fur 4"/>
      <sheetName val="Fur 4 PLC"/>
      <sheetName val="Batch "/>
      <sheetName val="Batch Summary"/>
      <sheetName val="SIMN PLC Batch"/>
      <sheetName val="Recovery Feeding Vs.PLC"/>
      <sheetName val="Summary Fur 1 &amp; 2 &amp; 3 &amp; 4 "/>
      <sheetName val="Running Closing Stock"/>
      <sheetName val="Summary Fur 4"/>
      <sheetName val="Carbon Analysis"/>
      <sheetName val="Raw Material Availability Dec"/>
      <sheetName val="Elec. Length"/>
      <sheetName val="Elec. Slipping"/>
      <sheetName val="Paste Level"/>
      <sheetName val="Elec. Holding"/>
      <sheetName val="Tap Hole"/>
      <sheetName val="Comp Slag Analysis"/>
      <sheetName val="Power Analysis Data"/>
      <sheetName val="Power Factor"/>
      <sheetName val="Load Factor"/>
      <sheetName val=" LF &amp; PF for Training "/>
      <sheetName val="Breakdown &amp; LF Summary"/>
      <sheetName val="Breakdowm Summary"/>
      <sheetName val="Prod Loss Due to BD &amp; SD"/>
      <sheetName val="Separation Failed"/>
      <sheetName val="Consolidated"/>
      <sheetName val="Consolidated Table"/>
      <sheetName val="Day Wise Pivot Summary "/>
      <sheetName val="Summary Pivot Cost"/>
      <sheetName val="Summary _Weightage "/>
      <sheetName val="Summary Budget DEC"/>
      <sheetName val="MN Ore Feeding Qty Vs PLC Qty"/>
      <sheetName val="RFC &amp; Metal Volume "/>
      <sheetName val="Paste Analysis"/>
      <sheetName val="Tapping Summary data"/>
      <sheetName val="Electrode Broken Data"/>
      <sheetName val="WATER ANALYSIS"/>
      <sheetName val="Furnace Power"/>
      <sheetName val="TARGET DEC 25"/>
      <sheetName val="BUDGET DEC-25"/>
      <sheetName val="Preventive"/>
      <sheetName val="Length, Slipping, Holding"/>
      <sheetName val="Cost Comparison"/>
      <sheetName val="Recovery 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A6" t="str">
            <v>F145992</v>
          </cell>
          <cell r="B6">
            <v>45992</v>
          </cell>
          <cell r="C6" t="str">
            <v>Raju Singh</v>
          </cell>
          <cell r="D6">
            <v>24.895</v>
          </cell>
          <cell r="E6">
            <v>0</v>
          </cell>
          <cell r="F6">
            <v>24.895</v>
          </cell>
          <cell r="G6">
            <v>17.974999999999998</v>
          </cell>
          <cell r="H6">
            <v>5.87</v>
          </cell>
          <cell r="I6">
            <v>39.21</v>
          </cell>
          <cell r="J6">
            <v>1.38</v>
          </cell>
          <cell r="K6">
            <v>28.58</v>
          </cell>
          <cell r="L6">
            <v>5.12</v>
          </cell>
          <cell r="M6">
            <v>16.72</v>
          </cell>
          <cell r="N6">
            <v>0.86</v>
          </cell>
          <cell r="O6">
            <v>8</v>
          </cell>
          <cell r="P6">
            <v>42.599999999999994</v>
          </cell>
          <cell r="Q6">
            <v>13.702</v>
          </cell>
          <cell r="R6">
            <v>21</v>
          </cell>
          <cell r="S6">
            <v>18</v>
          </cell>
          <cell r="T6">
            <v>15</v>
          </cell>
          <cell r="U6">
            <v>54</v>
          </cell>
          <cell r="V6">
            <v>1.7111869853384212</v>
          </cell>
          <cell r="W6">
            <v>25.664999999999996</v>
          </cell>
          <cell r="X6">
            <v>0.96999805182154697</v>
          </cell>
          <cell r="Y6" t="str">
            <v>40/22</v>
          </cell>
          <cell r="Z6">
            <v>40.221249999999998</v>
          </cell>
          <cell r="AA6">
            <v>20.71</v>
          </cell>
          <cell r="AB6">
            <v>0.49249999999999999</v>
          </cell>
          <cell r="AC6">
            <v>803.34225828479612</v>
          </cell>
          <cell r="AD6">
            <v>443.93085751355699</v>
          </cell>
          <cell r="AE6">
            <v>0.50067389814492991</v>
          </cell>
          <cell r="AF6">
            <v>0.90602510096455047</v>
          </cell>
          <cell r="AG6">
            <v>463.50994175537261</v>
          </cell>
          <cell r="AH6">
            <v>416.9894356296445</v>
          </cell>
          <cell r="AI6">
            <v>1.3370224022338431</v>
          </cell>
          <cell r="AJ6">
            <v>0.60248881660209297</v>
          </cell>
          <cell r="AK6" t="str">
            <v>10/70</v>
          </cell>
          <cell r="AL6">
            <v>0</v>
          </cell>
          <cell r="AM6">
            <v>107.5</v>
          </cell>
          <cell r="AN6">
            <v>4.0970000000000004</v>
          </cell>
          <cell r="AO6">
            <v>4.4827073709580239</v>
          </cell>
          <cell r="AP6">
            <v>22.497015160916032</v>
          </cell>
          <cell r="AQ6">
            <v>1.0179924242424241</v>
          </cell>
          <cell r="AR6">
            <v>2.2679999999999998</v>
          </cell>
          <cell r="AS6">
            <v>0.80746852668623126</v>
          </cell>
          <cell r="AT6">
            <v>333.4849537037037</v>
          </cell>
          <cell r="AU6">
            <v>250</v>
          </cell>
          <cell r="AV6">
            <v>30483.534846354691</v>
          </cell>
          <cell r="AW6">
            <v>14054.067081743322</v>
          </cell>
          <cell r="AX6">
            <v>2066.19803173328</v>
          </cell>
          <cell r="AY6">
            <v>1915.2259489857402</v>
          </cell>
          <cell r="AZ6">
            <v>26223.838120104439</v>
          </cell>
          <cell r="BA6">
            <v>747.42864028921474</v>
          </cell>
          <cell r="BB6">
            <v>8517.1440048202458</v>
          </cell>
          <cell r="BC6">
            <v>84007.436674030934</v>
          </cell>
          <cell r="BD6">
            <v>16769.701345651738</v>
          </cell>
          <cell r="BE6">
            <v>12729.720827475398</v>
          </cell>
          <cell r="BF6">
            <v>1904.7680257079735</v>
          </cell>
          <cell r="BG6">
            <v>595.43254267925283</v>
          </cell>
          <cell r="BH6">
            <v>68655.830815424793</v>
          </cell>
          <cell r="BO6" t="str">
            <v>NIL</v>
          </cell>
          <cell r="BQ6">
            <v>60759</v>
          </cell>
        </row>
        <row r="7">
          <cell r="A7" t="str">
            <v>F145993</v>
          </cell>
          <cell r="B7">
            <v>45993</v>
          </cell>
          <cell r="C7" t="str">
            <v>Raju Singh</v>
          </cell>
          <cell r="D7">
            <v>23.245000000000001</v>
          </cell>
          <cell r="E7">
            <v>0</v>
          </cell>
          <cell r="F7">
            <v>23.245000000000001</v>
          </cell>
          <cell r="G7">
            <v>16.745000000000001</v>
          </cell>
          <cell r="H7">
            <v>5.82</v>
          </cell>
          <cell r="I7">
            <v>39.119999999999997</v>
          </cell>
          <cell r="J7">
            <v>1.32</v>
          </cell>
          <cell r="K7">
            <v>28.32</v>
          </cell>
          <cell r="L7">
            <v>5.25</v>
          </cell>
          <cell r="M7">
            <v>16.579999999999998</v>
          </cell>
          <cell r="N7">
            <v>0.86</v>
          </cell>
          <cell r="O7">
            <v>8</v>
          </cell>
          <cell r="P7">
            <v>42.595999999999997</v>
          </cell>
          <cell r="Q7">
            <v>13.928999999999998</v>
          </cell>
          <cell r="R7">
            <v>22</v>
          </cell>
          <cell r="S7">
            <v>16</v>
          </cell>
          <cell r="T7">
            <v>16</v>
          </cell>
          <cell r="U7">
            <v>54</v>
          </cell>
          <cell r="V7">
            <v>1.83248010324801</v>
          </cell>
          <cell r="W7">
            <v>23.965</v>
          </cell>
          <cell r="X7">
            <v>0.96995618610473611</v>
          </cell>
          <cell r="Y7" t="str">
            <v>40/22</v>
          </cell>
          <cell r="Z7">
            <v>40.177499999999995</v>
          </cell>
          <cell r="AA7">
            <v>21.192499999999999</v>
          </cell>
          <cell r="AB7">
            <v>0.45749999999999996</v>
          </cell>
          <cell r="AC7">
            <v>558.14049460098943</v>
          </cell>
          <cell r="AD7">
            <v>475.45303834372982</v>
          </cell>
          <cell r="AE7">
            <v>0.71984563723014927</v>
          </cell>
          <cell r="AF7">
            <v>0.84503613942526923</v>
          </cell>
          <cell r="AG7">
            <v>499.5999139599914</v>
          </cell>
          <cell r="AH7">
            <v>454.00937836093789</v>
          </cell>
          <cell r="AI7">
            <v>1.3655094163463635</v>
          </cell>
          <cell r="AJ7">
            <v>0.57460122708407013</v>
          </cell>
          <cell r="AK7" t="str">
            <v>10/70</v>
          </cell>
          <cell r="AL7">
            <v>0</v>
          </cell>
          <cell r="AM7">
            <v>104.1</v>
          </cell>
          <cell r="AN7">
            <v>3.976</v>
          </cell>
          <cell r="AO7">
            <v>4.6494299849429979</v>
          </cell>
          <cell r="AP7">
            <v>22.500724533368622</v>
          </cell>
          <cell r="AQ7">
            <v>0.98579545454545436</v>
          </cell>
          <cell r="AR7">
            <v>2.2533333333333334</v>
          </cell>
          <cell r="AS7">
            <v>0.80492855598659896</v>
          </cell>
          <cell r="AT7">
            <v>312.67939814814815</v>
          </cell>
          <cell r="AU7">
            <v>283.33333333333331</v>
          </cell>
          <cell r="AV7">
            <v>20550.064530006453</v>
          </cell>
          <cell r="AW7">
            <v>15015.702301570229</v>
          </cell>
          <cell r="AX7">
            <v>3104.9257904925789</v>
          </cell>
          <cell r="AY7">
            <v>2463.2544633254461</v>
          </cell>
          <cell r="AZ7">
            <v>27199.165411916536</v>
          </cell>
          <cell r="BA7">
            <v>683.33112497311231</v>
          </cell>
          <cell r="BB7">
            <v>8833.9169713916963</v>
          </cell>
          <cell r="BC7">
            <v>77850.360593676029</v>
          </cell>
          <cell r="BD7">
            <v>17960.741449774145</v>
          </cell>
          <cell r="BE7">
            <v>13867.309098730908</v>
          </cell>
          <cell r="BF7">
            <v>2021.2862981286296</v>
          </cell>
          <cell r="BG7">
            <v>635.11756721875656</v>
          </cell>
          <cell r="BH7">
            <v>72980.791260486119</v>
          </cell>
          <cell r="BO7" t="str">
            <v>NIL</v>
          </cell>
          <cell r="BQ7">
            <v>60759</v>
          </cell>
        </row>
        <row r="8">
          <cell r="A8" t="str">
            <v>F145994</v>
          </cell>
          <cell r="B8">
            <v>45994</v>
          </cell>
          <cell r="C8" t="str">
            <v>Raju Singh</v>
          </cell>
          <cell r="D8">
            <v>23.94</v>
          </cell>
          <cell r="E8">
            <v>0</v>
          </cell>
          <cell r="F8">
            <v>23.94</v>
          </cell>
          <cell r="G8">
            <v>17.380000000000003</v>
          </cell>
          <cell r="H8">
            <v>5.62</v>
          </cell>
          <cell r="I8">
            <v>39.42</v>
          </cell>
          <cell r="J8">
            <v>1.28</v>
          </cell>
          <cell r="K8">
            <v>28.32</v>
          </cell>
          <cell r="L8">
            <v>5.12</v>
          </cell>
          <cell r="M8">
            <v>16.28</v>
          </cell>
          <cell r="N8">
            <v>0.85</v>
          </cell>
          <cell r="O8">
            <v>8</v>
          </cell>
          <cell r="P8">
            <v>43.355000000000004</v>
          </cell>
          <cell r="Q8">
            <v>14.483999999999998</v>
          </cell>
          <cell r="R8">
            <v>27</v>
          </cell>
          <cell r="S8">
            <v>13</v>
          </cell>
          <cell r="T8">
            <v>16</v>
          </cell>
          <cell r="U8">
            <v>56</v>
          </cell>
          <cell r="V8">
            <v>1.8109857978279031</v>
          </cell>
          <cell r="W8">
            <v>24.685000000000002</v>
          </cell>
          <cell r="X8">
            <v>0.96981972858010934</v>
          </cell>
          <cell r="Y8" t="str">
            <v>40/22</v>
          </cell>
          <cell r="Z8">
            <v>40.172499999999999</v>
          </cell>
          <cell r="AA8">
            <v>21.307499999999997</v>
          </cell>
          <cell r="AB8">
            <v>0.44624999999999998</v>
          </cell>
          <cell r="AC8">
            <v>500.10125338345864</v>
          </cell>
          <cell r="AD8">
            <v>472.10958286131995</v>
          </cell>
          <cell r="AE8">
            <v>0.80328732888012289</v>
          </cell>
          <cell r="AF8">
            <v>0.8509147337473234</v>
          </cell>
          <cell r="AG8">
            <v>373.96825396825392</v>
          </cell>
          <cell r="AH8">
            <v>458.39799498746862</v>
          </cell>
          <cell r="AI8">
            <v>1.5520576938711139</v>
          </cell>
          <cell r="AJ8">
            <v>0.58283384728399934</v>
          </cell>
          <cell r="AK8" t="str">
            <v>10/70</v>
          </cell>
          <cell r="AL8">
            <v>0</v>
          </cell>
          <cell r="AM8">
            <v>104.5</v>
          </cell>
          <cell r="AN8">
            <v>3.9980000000000002</v>
          </cell>
          <cell r="AO8">
            <v>4.5320802005012535</v>
          </cell>
          <cell r="AP8">
            <v>22.556336267786932</v>
          </cell>
          <cell r="AQ8">
            <v>0.98958333333333326</v>
          </cell>
          <cell r="AR8">
            <v>2.2533333333333334</v>
          </cell>
          <cell r="AS8">
            <v>0.80557713870668868</v>
          </cell>
          <cell r="AT8">
            <v>317.5007610350076</v>
          </cell>
          <cell r="AU8">
            <v>283.33333333333331</v>
          </cell>
          <cell r="AV8">
            <v>18592.343358395989</v>
          </cell>
          <cell r="AW8">
            <v>11809.523809523809</v>
          </cell>
          <cell r="AX8">
            <v>2590.6015037593984</v>
          </cell>
          <cell r="AY8">
            <v>2048.093149540518</v>
          </cell>
          <cell r="AZ8">
            <v>26512.669172932332</v>
          </cell>
          <cell r="BA8">
            <v>615.53230994152057</v>
          </cell>
          <cell r="BB8">
            <v>8610.9523809523816</v>
          </cell>
          <cell r="BC8">
            <v>70779.715685045958</v>
          </cell>
          <cell r="BD8">
            <v>17881.641812865495</v>
          </cell>
          <cell r="BE8">
            <v>14002.740183792814</v>
          </cell>
          <cell r="BF8">
            <v>2012.2431077694234</v>
          </cell>
          <cell r="BG8">
            <v>624.57387426900573</v>
          </cell>
          <cell r="BH8">
            <v>71692.913682121973</v>
          </cell>
          <cell r="BI8">
            <v>15</v>
          </cell>
          <cell r="BN8">
            <v>15</v>
          </cell>
          <cell r="BO8" t="str">
            <v>E2 Hose pipe leakage.</v>
          </cell>
          <cell r="BQ8">
            <v>60759</v>
          </cell>
        </row>
        <row r="9">
          <cell r="A9" t="str">
            <v>F145995</v>
          </cell>
          <cell r="B9">
            <v>45995</v>
          </cell>
          <cell r="C9" t="str">
            <v>Raju Singh</v>
          </cell>
          <cell r="D9">
            <v>23.7</v>
          </cell>
          <cell r="E9">
            <v>0.23000000000000043</v>
          </cell>
          <cell r="F9">
            <v>23.93</v>
          </cell>
          <cell r="G9">
            <v>17.294999999999998</v>
          </cell>
          <cell r="H9">
            <v>5.52</v>
          </cell>
          <cell r="I9">
            <v>39.15</v>
          </cell>
          <cell r="J9">
            <v>1.32</v>
          </cell>
          <cell r="K9">
            <v>28.88</v>
          </cell>
          <cell r="L9">
            <v>4.82</v>
          </cell>
          <cell r="M9">
            <v>17.02</v>
          </cell>
          <cell r="N9">
            <v>0.86</v>
          </cell>
          <cell r="O9">
            <v>8</v>
          </cell>
          <cell r="P9">
            <v>42.584999999999994</v>
          </cell>
          <cell r="Q9">
            <v>13.664999999999999</v>
          </cell>
          <cell r="R9">
            <v>26</v>
          </cell>
          <cell r="S9">
            <v>13</v>
          </cell>
          <cell r="T9">
            <v>15</v>
          </cell>
          <cell r="U9">
            <v>54</v>
          </cell>
          <cell r="V9">
            <v>1.7968354430379745</v>
          </cell>
          <cell r="W9">
            <v>24.669999999999998</v>
          </cell>
          <cell r="X9">
            <v>0.96068098905553312</v>
          </cell>
          <cell r="Y9" t="str">
            <v>40/22</v>
          </cell>
          <cell r="Z9">
            <v>40.182500000000005</v>
          </cell>
          <cell r="AA9">
            <v>21.548750000000005</v>
          </cell>
          <cell r="AB9">
            <v>0.42499999999999999</v>
          </cell>
          <cell r="AC9">
            <v>497.01314016877632</v>
          </cell>
          <cell r="AD9">
            <v>466.18297070886081</v>
          </cell>
          <cell r="AE9">
            <v>0.80847963066640016</v>
          </cell>
          <cell r="AF9">
            <v>0.86194697199899784</v>
          </cell>
          <cell r="AG9">
            <v>634.14514767932485</v>
          </cell>
          <cell r="AH9">
            <v>436.86025316455687</v>
          </cell>
          <cell r="AI9">
            <v>1.4890533004672828</v>
          </cell>
          <cell r="AJ9">
            <v>0.59699192981661198</v>
          </cell>
          <cell r="AK9" t="str">
            <v>10/70</v>
          </cell>
          <cell r="AL9">
            <v>0</v>
          </cell>
          <cell r="AM9">
            <v>105.5</v>
          </cell>
          <cell r="AN9">
            <v>4.0410000000000004</v>
          </cell>
          <cell r="AO9">
            <v>4.6219831223628693</v>
          </cell>
          <cell r="AP9">
            <v>22.508528716538319</v>
          </cell>
          <cell r="AQ9">
            <v>0.99905303030303028</v>
          </cell>
          <cell r="AR9">
            <v>2.1800000000000002</v>
          </cell>
          <cell r="AS9">
            <v>0.79817539488599787</v>
          </cell>
          <cell r="AT9">
            <v>382.74152046783621</v>
          </cell>
          <cell r="AU9">
            <v>175</v>
          </cell>
          <cell r="AV9">
            <v>18388.301687763713</v>
          </cell>
          <cell r="AW9">
            <v>19223.122362869199</v>
          </cell>
          <cell r="AX9">
            <v>1549.1139240506329</v>
          </cell>
          <cell r="AY9">
            <v>3087.4071729957809</v>
          </cell>
          <cell r="AZ9">
            <v>27038.601265822785</v>
          </cell>
          <cell r="BA9">
            <v>692.86546413502106</v>
          </cell>
          <cell r="BB9">
            <v>8781.7679324894525</v>
          </cell>
          <cell r="BC9">
            <v>78761.179810126574</v>
          </cell>
          <cell r="BD9">
            <v>17610.386708860755</v>
          </cell>
          <cell r="BE9">
            <v>13345.805907172995</v>
          </cell>
          <cell r="BF9">
            <v>1975.2405063291142</v>
          </cell>
          <cell r="BG9">
            <v>630.57441561181429</v>
          </cell>
          <cell r="BH9">
            <v>72469.783909282691</v>
          </cell>
          <cell r="BO9" t="str">
            <v>NIL</v>
          </cell>
          <cell r="BQ9">
            <v>60759</v>
          </cell>
        </row>
        <row r="10">
          <cell r="A10" t="str">
            <v>F145996</v>
          </cell>
          <cell r="B10">
            <v>45996</v>
          </cell>
          <cell r="C10" t="str">
            <v>Raju Singh</v>
          </cell>
          <cell r="D10">
            <v>23.425000000000001</v>
          </cell>
          <cell r="E10">
            <v>0</v>
          </cell>
          <cell r="F10">
            <v>23.425000000000001</v>
          </cell>
          <cell r="G10">
            <v>16.12</v>
          </cell>
          <cell r="H10">
            <v>5.42</v>
          </cell>
          <cell r="I10">
            <v>39.32</v>
          </cell>
          <cell r="J10">
            <v>1.37</v>
          </cell>
          <cell r="K10">
            <v>28.8</v>
          </cell>
          <cell r="L10">
            <v>4.6500000000000004</v>
          </cell>
          <cell r="M10">
            <v>17.32</v>
          </cell>
          <cell r="N10">
            <v>0.85</v>
          </cell>
          <cell r="O10">
            <v>8</v>
          </cell>
          <cell r="P10">
            <v>42.567999999999998</v>
          </cell>
          <cell r="Q10">
            <v>13.504000000000001</v>
          </cell>
          <cell r="R10">
            <v>21</v>
          </cell>
          <cell r="S10">
            <v>15</v>
          </cell>
          <cell r="T10">
            <v>18</v>
          </cell>
          <cell r="U10">
            <v>54</v>
          </cell>
          <cell r="V10">
            <v>1.8172038420490928</v>
          </cell>
          <cell r="W10">
            <v>24.15</v>
          </cell>
          <cell r="X10">
            <v>0.96997929606625266</v>
          </cell>
          <cell r="Y10" t="str">
            <v>40/22</v>
          </cell>
          <cell r="Z10">
            <v>40.1875</v>
          </cell>
          <cell r="AA10">
            <v>21.574999999999999</v>
          </cell>
          <cell r="AB10">
            <v>0.42499999999999999</v>
          </cell>
          <cell r="AC10">
            <v>337.20157630736389</v>
          </cell>
          <cell r="AD10">
            <v>471.50599606403421</v>
          </cell>
          <cell r="AE10">
            <v>1.1917945473472087</v>
          </cell>
          <cell r="AF10">
            <v>0.85232214087352176</v>
          </cell>
          <cell r="AG10">
            <v>401.5607257203842</v>
          </cell>
          <cell r="AH10">
            <v>436.82219850586972</v>
          </cell>
          <cell r="AI10">
            <v>4.8688401735697759</v>
          </cell>
          <cell r="AJ10">
            <v>0.59112277672300295</v>
          </cell>
          <cell r="AK10" t="str">
            <v>10/70</v>
          </cell>
          <cell r="AL10">
            <v>0</v>
          </cell>
          <cell r="AM10">
            <v>105.2</v>
          </cell>
          <cell r="AN10">
            <v>4.0549999999999997</v>
          </cell>
          <cell r="AO10">
            <v>4.6640341515474919</v>
          </cell>
          <cell r="AP10">
            <v>22.466596065660475</v>
          </cell>
          <cell r="AQ10">
            <v>0.9962121212121211</v>
          </cell>
          <cell r="AR10">
            <v>2.2366666666666668</v>
          </cell>
          <cell r="AS10">
            <v>0.79119537262250883</v>
          </cell>
          <cell r="AT10">
            <v>415.15277777777783</v>
          </cell>
          <cell r="AU10">
            <v>266.66666666666669</v>
          </cell>
          <cell r="AV10">
            <v>13042.473852721452</v>
          </cell>
          <cell r="AW10">
            <v>11887.812166488793</v>
          </cell>
          <cell r="AX10">
            <v>1494.8132337246532</v>
          </cell>
          <cell r="AY10">
            <v>1769.4834578441835</v>
          </cell>
          <cell r="AZ10">
            <v>27284.599786552826</v>
          </cell>
          <cell r="BA10">
            <v>554.79182497331908</v>
          </cell>
          <cell r="BB10">
            <v>8861.6648879402346</v>
          </cell>
          <cell r="BC10">
            <v>64895.639210245463</v>
          </cell>
          <cell r="BD10">
            <v>17811.676414087513</v>
          </cell>
          <cell r="BE10">
            <v>13358.377801494129</v>
          </cell>
          <cell r="BF10">
            <v>1995.9316969050158</v>
          </cell>
          <cell r="BG10">
            <v>622.20069156883665</v>
          </cell>
          <cell r="BH10">
            <v>71703.934736392737</v>
          </cell>
          <cell r="BO10" t="str">
            <v>NIL</v>
          </cell>
          <cell r="BQ10">
            <v>60759</v>
          </cell>
        </row>
        <row r="11">
          <cell r="A11" t="str">
            <v>F145997</v>
          </cell>
          <cell r="B11">
            <v>45997</v>
          </cell>
          <cell r="C11" t="str">
            <v>Raju Singh</v>
          </cell>
          <cell r="D11">
            <v>23.41</v>
          </cell>
          <cell r="E11">
            <v>0</v>
          </cell>
          <cell r="F11">
            <v>23.41</v>
          </cell>
          <cell r="G11">
            <v>16.419999999999998</v>
          </cell>
          <cell r="H11">
            <v>5.39</v>
          </cell>
          <cell r="I11">
            <v>39.479999999999997</v>
          </cell>
          <cell r="J11">
            <v>1.32</v>
          </cell>
          <cell r="K11">
            <v>28.76</v>
          </cell>
          <cell r="L11">
            <v>4.8499999999999996</v>
          </cell>
          <cell r="M11">
            <v>17.12</v>
          </cell>
          <cell r="N11">
            <v>0.85</v>
          </cell>
          <cell r="O11">
            <v>8</v>
          </cell>
          <cell r="P11">
            <v>42.591000000000001</v>
          </cell>
          <cell r="Q11">
            <v>13.69</v>
          </cell>
          <cell r="R11">
            <v>18</v>
          </cell>
          <cell r="S11">
            <v>18</v>
          </cell>
          <cell r="T11">
            <v>18</v>
          </cell>
          <cell r="U11">
            <v>54</v>
          </cell>
          <cell r="V11">
            <v>1.819350704826997</v>
          </cell>
          <cell r="W11">
            <v>24.134999999999998</v>
          </cell>
          <cell r="X11">
            <v>0.9699606380774809</v>
          </cell>
          <cell r="Y11" t="str">
            <v>40/22</v>
          </cell>
          <cell r="Z11">
            <v>40.186250000000001</v>
          </cell>
          <cell r="AA11">
            <v>21.197500000000002</v>
          </cell>
          <cell r="AB11">
            <v>0.46499999999999997</v>
          </cell>
          <cell r="AC11">
            <v>226.55507454079455</v>
          </cell>
          <cell r="AD11">
            <v>471.97932262708241</v>
          </cell>
          <cell r="AE11">
            <v>1.7737960662083463</v>
          </cell>
          <cell r="AF11">
            <v>0.85144090161237274</v>
          </cell>
          <cell r="AG11">
            <v>363.92994446817596</v>
          </cell>
          <cell r="AH11">
            <v>443.1400256300725</v>
          </cell>
          <cell r="AI11">
            <v>3.0554526647164297</v>
          </cell>
          <cell r="AJ11">
            <v>0.57516946411519076</v>
          </cell>
          <cell r="AK11" t="str">
            <v>10/70</v>
          </cell>
          <cell r="AL11">
            <v>0</v>
          </cell>
          <cell r="AM11">
            <v>105</v>
          </cell>
          <cell r="AN11">
            <v>3.9969999999999999</v>
          </cell>
          <cell r="AO11">
            <v>4.656001708671508</v>
          </cell>
          <cell r="AP11">
            <v>22.614126246341513</v>
          </cell>
          <cell r="AQ11">
            <v>0.99431818181818177</v>
          </cell>
          <cell r="AR11">
            <v>2.0666666666666664</v>
          </cell>
          <cell r="AS11">
            <v>0.80013793753334406</v>
          </cell>
          <cell r="AT11">
            <v>417.41898148148147</v>
          </cell>
          <cell r="AU11">
            <v>175</v>
          </cell>
          <cell r="AV11">
            <v>8419.1969243912863</v>
          </cell>
          <cell r="AW11">
            <v>11492.524562152927</v>
          </cell>
          <cell r="AX11">
            <v>1237.5480563861597</v>
          </cell>
          <cell r="AY11">
            <v>2645.9354976505765</v>
          </cell>
          <cell r="AZ11">
            <v>27237.609995728322</v>
          </cell>
          <cell r="BA11">
            <v>510.32815036309273</v>
          </cell>
          <cell r="BB11">
            <v>8846.4032464758657</v>
          </cell>
          <cell r="BC11">
            <v>60389.546433148229</v>
          </cell>
          <cell r="BD11">
            <v>17828.661683041435</v>
          </cell>
          <cell r="BE11">
            <v>13557.436992738145</v>
          </cell>
          <cell r="BF11">
            <v>2002.9645450662108</v>
          </cell>
          <cell r="BG11">
            <v>632.72608714224691</v>
          </cell>
          <cell r="BH11">
            <v>72751.738047842809</v>
          </cell>
          <cell r="BO11" t="str">
            <v>NIL</v>
          </cell>
          <cell r="BQ11">
            <v>60759</v>
          </cell>
        </row>
        <row r="12">
          <cell r="A12" t="str">
            <v>F145998</v>
          </cell>
          <cell r="B12">
            <v>45998</v>
          </cell>
          <cell r="C12" t="str">
            <v>Raju Singh</v>
          </cell>
          <cell r="D12">
            <v>22.885000000000002</v>
          </cell>
          <cell r="E12">
            <v>0</v>
          </cell>
          <cell r="F12">
            <v>22.885000000000002</v>
          </cell>
          <cell r="G12">
            <v>15.465</v>
          </cell>
          <cell r="H12">
            <v>5.68</v>
          </cell>
          <cell r="I12">
            <v>39.520000000000003</v>
          </cell>
          <cell r="J12">
            <v>1.3</v>
          </cell>
          <cell r="K12">
            <v>28.12</v>
          </cell>
          <cell r="L12">
            <v>4.88</v>
          </cell>
          <cell r="M12">
            <v>17.32</v>
          </cell>
          <cell r="N12">
            <v>0.84</v>
          </cell>
          <cell r="O12">
            <v>8</v>
          </cell>
          <cell r="P12">
            <v>42.664999999999999</v>
          </cell>
          <cell r="Q12">
            <v>14.38</v>
          </cell>
          <cell r="R12">
            <v>23</v>
          </cell>
          <cell r="S12">
            <v>16</v>
          </cell>
          <cell r="T12">
            <v>15</v>
          </cell>
          <cell r="U12">
            <v>54</v>
          </cell>
          <cell r="V12">
            <v>1.8643216080402008</v>
          </cell>
          <cell r="W12">
            <v>23.594999999999999</v>
          </cell>
          <cell r="X12">
            <v>0.96990887899978817</v>
          </cell>
          <cell r="Y12" t="str">
            <v>40/22</v>
          </cell>
          <cell r="Z12">
            <v>40.155000000000001</v>
          </cell>
          <cell r="AA12">
            <v>20.013749999999998</v>
          </cell>
          <cell r="AB12">
            <v>0.5625</v>
          </cell>
          <cell r="AC12">
            <v>467.44918885733011</v>
          </cell>
          <cell r="AD12">
            <v>483.63878157745233</v>
          </cell>
          <cell r="AE12">
            <v>0.85902384595335524</v>
          </cell>
          <cell r="AF12">
            <v>0.83026840546221536</v>
          </cell>
          <cell r="AG12">
            <v>539.77190299322706</v>
          </cell>
          <cell r="AH12">
            <v>476.21061830893598</v>
          </cell>
          <cell r="AI12">
            <v>2.4331396615182275</v>
          </cell>
          <cell r="AJ12">
            <v>0.52098341096615997</v>
          </cell>
          <cell r="AK12" t="str">
            <v>10/70</v>
          </cell>
          <cell r="AL12">
            <v>0</v>
          </cell>
          <cell r="AM12">
            <v>104.4</v>
          </cell>
          <cell r="AN12">
            <v>3.8</v>
          </cell>
          <cell r="AO12">
            <v>4.7279877649115143</v>
          </cell>
          <cell r="AP12">
            <v>22.740124746055219</v>
          </cell>
          <cell r="AQ12">
            <v>0.98863636363636365</v>
          </cell>
          <cell r="AR12">
            <v>2.0340000000000003</v>
          </cell>
          <cell r="AS12">
            <v>0.80092311905412161</v>
          </cell>
          <cell r="AT12">
            <v>375.07986111111109</v>
          </cell>
          <cell r="AU12">
            <v>175</v>
          </cell>
          <cell r="AV12">
            <v>17927.815162770374</v>
          </cell>
          <cell r="AW12">
            <v>16305.702425169324</v>
          </cell>
          <cell r="AX12">
            <v>3213.4149005899058</v>
          </cell>
          <cell r="AY12">
            <v>1418.1581822154249</v>
          </cell>
          <cell r="AZ12">
            <v>27658.728424732359</v>
          </cell>
          <cell r="BA12">
            <v>665.23819095477393</v>
          </cell>
          <cell r="BB12">
            <v>8983.176753331878</v>
          </cell>
          <cell r="BC12">
            <v>76172.234039764036</v>
          </cell>
          <cell r="BD12">
            <v>18268.775617216517</v>
          </cell>
          <cell r="BE12">
            <v>14588.420362682979</v>
          </cell>
          <cell r="BF12">
            <v>2069.0233777583567</v>
          </cell>
          <cell r="BG12">
            <v>640.03105964605641</v>
          </cell>
          <cell r="BH12">
            <v>73626.313777583564</v>
          </cell>
          <cell r="BK12">
            <v>15</v>
          </cell>
          <cell r="BN12">
            <v>15</v>
          </cell>
          <cell r="BO12" t="str">
            <v>Electrode Lengths Measurment and over current trip.</v>
          </cell>
          <cell r="BQ12">
            <v>60759</v>
          </cell>
        </row>
        <row r="13">
          <cell r="A13" t="str">
            <v>F145999</v>
          </cell>
          <cell r="B13">
            <v>45999</v>
          </cell>
          <cell r="C13" t="str">
            <v>Raju Singh</v>
          </cell>
          <cell r="D13">
            <v>23.36</v>
          </cell>
          <cell r="E13">
            <v>0</v>
          </cell>
          <cell r="F13">
            <v>23.36</v>
          </cell>
          <cell r="G13">
            <v>16.71</v>
          </cell>
          <cell r="H13">
            <v>5.92</v>
          </cell>
          <cell r="I13">
            <v>39.21</v>
          </cell>
          <cell r="J13">
            <v>1.34</v>
          </cell>
          <cell r="K13">
            <v>27.72</v>
          </cell>
          <cell r="L13">
            <v>4.6500000000000004</v>
          </cell>
          <cell r="M13">
            <v>17.579999999999998</v>
          </cell>
          <cell r="N13">
            <v>0.83</v>
          </cell>
          <cell r="O13">
            <v>8</v>
          </cell>
          <cell r="P13">
            <v>42.581000000000003</v>
          </cell>
          <cell r="Q13">
            <v>13.692</v>
          </cell>
          <cell r="R13">
            <v>21</v>
          </cell>
          <cell r="S13">
            <v>16</v>
          </cell>
          <cell r="T13">
            <v>17</v>
          </cell>
          <cell r="U13">
            <v>54</v>
          </cell>
          <cell r="V13">
            <v>1.822816780821918</v>
          </cell>
          <cell r="W13">
            <v>24.085000000000001</v>
          </cell>
          <cell r="X13">
            <v>0.96989827693585218</v>
          </cell>
          <cell r="Y13" t="str">
            <v>40/22</v>
          </cell>
          <cell r="Z13">
            <v>40.157500000000006</v>
          </cell>
          <cell r="AA13">
            <v>21.291249999999998</v>
          </cell>
          <cell r="AB13">
            <v>0.44374999999999998</v>
          </cell>
          <cell r="AC13">
            <v>634.28292975171235</v>
          </cell>
          <cell r="AD13">
            <v>472.92878110873289</v>
          </cell>
          <cell r="AE13">
            <v>0.63311651813993342</v>
          </cell>
          <cell r="AF13">
            <v>0.84912362292383392</v>
          </cell>
          <cell r="AG13">
            <v>288.57876712328761</v>
          </cell>
          <cell r="AH13">
            <v>444.15154109589037</v>
          </cell>
          <cell r="AI13">
            <v>1.6274989262240758</v>
          </cell>
          <cell r="AJ13">
            <v>0.58095430265684966</v>
          </cell>
          <cell r="AK13" t="str">
            <v>10/70</v>
          </cell>
          <cell r="AL13">
            <v>0</v>
          </cell>
          <cell r="AM13">
            <v>105.2</v>
          </cell>
          <cell r="AN13">
            <v>3.9119999999999999</v>
          </cell>
          <cell r="AO13">
            <v>4.6708904109589042</v>
          </cell>
          <cell r="AP13">
            <v>22.755600170343364</v>
          </cell>
          <cell r="AQ13">
            <v>0.9962121212121211</v>
          </cell>
          <cell r="AR13">
            <v>2.0833333333333335</v>
          </cell>
          <cell r="AS13">
            <v>0.79141344678858749</v>
          </cell>
          <cell r="AT13">
            <v>422.5219907407407</v>
          </cell>
          <cell r="AU13">
            <v>191.66666666666666</v>
          </cell>
          <cell r="AV13">
            <v>23940.233304794521</v>
          </cell>
          <cell r="AW13">
            <v>9113.0136986301368</v>
          </cell>
          <cell r="AX13">
            <v>2108.0907534246576</v>
          </cell>
          <cell r="AY13">
            <v>3419.0806934931511</v>
          </cell>
          <cell r="AZ13">
            <v>27324.70890410959</v>
          </cell>
          <cell r="BA13">
            <v>659.05127354452065</v>
          </cell>
          <cell r="BB13">
            <v>8874.6917808219187</v>
          </cell>
          <cell r="BC13">
            <v>75438.870408818504</v>
          </cell>
          <cell r="BD13">
            <v>17865.361087328765</v>
          </cell>
          <cell r="BE13">
            <v>13587.756849315068</v>
          </cell>
          <cell r="BF13">
            <v>2007.7140410958903</v>
          </cell>
          <cell r="BG13">
            <v>642.04621575342469</v>
          </cell>
          <cell r="BH13">
            <v>73721.359571917812</v>
          </cell>
          <cell r="BK13">
            <v>5</v>
          </cell>
          <cell r="BN13">
            <v>5</v>
          </cell>
          <cell r="BO13" t="str">
            <v>Over current trip.</v>
          </cell>
          <cell r="BQ13">
            <v>60759</v>
          </cell>
        </row>
        <row r="14">
          <cell r="A14" t="str">
            <v>F146000</v>
          </cell>
          <cell r="B14">
            <v>46000</v>
          </cell>
          <cell r="C14" t="str">
            <v>Raju Singh</v>
          </cell>
          <cell r="D14">
            <v>23.44</v>
          </cell>
          <cell r="E14">
            <v>0</v>
          </cell>
          <cell r="F14">
            <v>23.44</v>
          </cell>
          <cell r="G14">
            <v>16.940000000000001</v>
          </cell>
          <cell r="H14">
            <v>5.41</v>
          </cell>
          <cell r="I14">
            <v>39.21</v>
          </cell>
          <cell r="J14">
            <v>1.28</v>
          </cell>
          <cell r="K14">
            <v>27.38</v>
          </cell>
          <cell r="L14">
            <v>5.22</v>
          </cell>
          <cell r="M14">
            <v>17.88</v>
          </cell>
          <cell r="N14">
            <v>0.83</v>
          </cell>
          <cell r="O14">
            <v>8</v>
          </cell>
          <cell r="P14">
            <v>42.582000000000001</v>
          </cell>
          <cell r="Q14">
            <v>13.527999999999999</v>
          </cell>
          <cell r="R14">
            <v>24</v>
          </cell>
          <cell r="S14">
            <v>15</v>
          </cell>
          <cell r="T14">
            <v>15</v>
          </cell>
          <cell r="U14">
            <v>54</v>
          </cell>
          <cell r="V14">
            <v>1.8166382252559727</v>
          </cell>
          <cell r="W14">
            <v>24.164999999999999</v>
          </cell>
          <cell r="X14">
            <v>0.96999793089178576</v>
          </cell>
          <cell r="Y14" t="str">
            <v>40/22</v>
          </cell>
          <cell r="Z14">
            <v>40.184999999999995</v>
          </cell>
          <cell r="AA14">
            <v>20.987499999999997</v>
          </cell>
          <cell r="AB14">
            <v>0.47250000000000003</v>
          </cell>
          <cell r="AC14">
            <v>566.26043818259382</v>
          </cell>
          <cell r="AD14">
            <v>471.35740614761096</v>
          </cell>
          <cell r="AE14">
            <v>0.70965579246491728</v>
          </cell>
          <cell r="AF14">
            <v>0.8525377871630514</v>
          </cell>
          <cell r="AG14">
            <v>504.03071672354946</v>
          </cell>
          <cell r="AH14">
            <v>437.33720136518758</v>
          </cell>
          <cell r="AI14">
            <v>1.6484618886158622</v>
          </cell>
          <cell r="AJ14">
            <v>0.57062999790251212</v>
          </cell>
          <cell r="AK14" t="str">
            <v>10/70</v>
          </cell>
          <cell r="AL14">
            <v>2.3464163822525599E-2</v>
          </cell>
          <cell r="AM14">
            <v>102.1</v>
          </cell>
          <cell r="AN14">
            <v>3.8660000000000001</v>
          </cell>
          <cell r="AO14">
            <v>4.520733788395904</v>
          </cell>
          <cell r="AP14">
            <v>22.75860011967784</v>
          </cell>
          <cell r="AQ14">
            <v>0.96685606060606044</v>
          </cell>
          <cell r="AR14">
            <v>2.06</v>
          </cell>
          <cell r="AS14">
            <v>0.78860455576429356</v>
          </cell>
          <cell r="AT14">
            <v>459.14420803782508</v>
          </cell>
          <cell r="AU14">
            <v>183.33333333333334</v>
          </cell>
          <cell r="AV14">
            <v>21312.819965870305</v>
          </cell>
          <cell r="AW14">
            <v>15323.208191126279</v>
          </cell>
          <cell r="AX14">
            <v>2759.8976109215014</v>
          </cell>
          <cell r="AY14">
            <v>1621.5507679180887</v>
          </cell>
          <cell r="AZ14">
            <v>26446.292662116037</v>
          </cell>
          <cell r="BA14">
            <v>674.63769197952206</v>
          </cell>
          <cell r="BB14">
            <v>8589.3941979522169</v>
          </cell>
          <cell r="BC14">
            <v>76727.801087883956</v>
          </cell>
          <cell r="BD14">
            <v>17806.090870307165</v>
          </cell>
          <cell r="BE14">
            <v>13380.409556313993</v>
          </cell>
          <cell r="BF14">
            <v>2012.1245733788396</v>
          </cell>
          <cell r="BG14">
            <v>612.66468430034126</v>
          </cell>
          <cell r="BH14">
            <v>70468.527312286678</v>
          </cell>
          <cell r="BO14" t="str">
            <v>NIL</v>
          </cell>
          <cell r="BQ14">
            <v>60759</v>
          </cell>
        </row>
        <row r="15">
          <cell r="A15" t="str">
            <v>F146001</v>
          </cell>
          <cell r="B15">
            <v>46001</v>
          </cell>
          <cell r="C15" t="str">
            <v>Raju Singh</v>
          </cell>
          <cell r="D15">
            <v>24.82</v>
          </cell>
          <cell r="E15">
            <v>0.23000000000000043</v>
          </cell>
          <cell r="F15">
            <v>25.05</v>
          </cell>
          <cell r="G15">
            <v>17.829999999999998</v>
          </cell>
          <cell r="H15">
            <v>5.9</v>
          </cell>
          <cell r="I15">
            <v>39.479999999999997</v>
          </cell>
          <cell r="J15">
            <v>1.32</v>
          </cell>
          <cell r="K15">
            <v>27.58</v>
          </cell>
          <cell r="L15">
            <v>5.0199999999999996</v>
          </cell>
          <cell r="M15">
            <v>17.52</v>
          </cell>
          <cell r="N15">
            <v>0.83</v>
          </cell>
          <cell r="O15">
            <v>8</v>
          </cell>
          <cell r="P15">
            <v>43.353999999999999</v>
          </cell>
          <cell r="Q15">
            <v>13.708</v>
          </cell>
          <cell r="R15">
            <v>23</v>
          </cell>
          <cell r="S15">
            <v>16</v>
          </cell>
          <cell r="T15">
            <v>16</v>
          </cell>
          <cell r="U15">
            <v>55</v>
          </cell>
          <cell r="V15">
            <v>1.7467365028203061</v>
          </cell>
          <cell r="W15">
            <v>25.830000000000002</v>
          </cell>
          <cell r="X15">
            <v>0.96089818041037545</v>
          </cell>
          <cell r="Y15" t="str">
            <v>40/22</v>
          </cell>
          <cell r="Z15">
            <v>40.138750000000002</v>
          </cell>
          <cell r="AA15">
            <v>21.24</v>
          </cell>
          <cell r="AB15">
            <v>0.45250000000000001</v>
          </cell>
          <cell r="AC15">
            <v>398.16764335213543</v>
          </cell>
          <cell r="AD15">
            <v>453.23018194198232</v>
          </cell>
          <cell r="AE15">
            <v>1.0080866858511077</v>
          </cell>
          <cell r="AF15">
            <v>0.88561511565745932</v>
          </cell>
          <cell r="AG15">
            <v>351.829170024174</v>
          </cell>
          <cell r="AH15">
            <v>418.49121676067688</v>
          </cell>
          <cell r="AI15">
            <v>2.1220276290961677</v>
          </cell>
          <cell r="AJ15">
            <v>0.60571417081245971</v>
          </cell>
          <cell r="AK15" t="str">
            <v>10/70</v>
          </cell>
          <cell r="AL15">
            <v>2.6188557614826753E-2</v>
          </cell>
          <cell r="AM15">
            <v>105.9</v>
          </cell>
          <cell r="AN15">
            <v>3.8180000000000001</v>
          </cell>
          <cell r="AO15">
            <v>4.4205479452054792</v>
          </cell>
          <cell r="AP15">
            <v>22.762850555049678</v>
          </cell>
          <cell r="AQ15">
            <v>1.0028409090909092</v>
          </cell>
          <cell r="AR15">
            <v>2.0666666666666669</v>
          </cell>
          <cell r="AS15">
            <v>0.79705593106007011</v>
          </cell>
          <cell r="AT15">
            <v>407.25830258302585</v>
          </cell>
          <cell r="AU15">
            <v>158.33333333333334</v>
          </cell>
          <cell r="AV15">
            <v>15010.973005640612</v>
          </cell>
          <cell r="AW15">
            <v>11110.394842868654</v>
          </cell>
          <cell r="AX15">
            <v>1679.9758259468167</v>
          </cell>
          <cell r="AY15">
            <v>1345.7836422240127</v>
          </cell>
          <cell r="AZ15">
            <v>25860.205479452052</v>
          </cell>
          <cell r="BA15">
            <v>550.07332796132152</v>
          </cell>
          <cell r="BB15">
            <v>8399.0410958904104</v>
          </cell>
          <cell r="BC15">
            <v>63956.447219983878</v>
          </cell>
          <cell r="BD15">
            <v>17121.54210314263</v>
          </cell>
          <cell r="BE15">
            <v>12795.261885576148</v>
          </cell>
          <cell r="BF15">
            <v>1918.1869460112812</v>
          </cell>
          <cell r="BG15">
            <v>590.40980056406124</v>
          </cell>
          <cell r="BH15">
            <v>68030.430952860595</v>
          </cell>
          <cell r="BO15" t="str">
            <v>NIL</v>
          </cell>
          <cell r="BQ15">
            <v>60759</v>
          </cell>
        </row>
        <row r="16">
          <cell r="A16" t="str">
            <v>F146002</v>
          </cell>
          <cell r="B16">
            <v>46002</v>
          </cell>
          <cell r="C16" t="str">
            <v>Raju Singh</v>
          </cell>
          <cell r="D16">
            <v>23.16</v>
          </cell>
          <cell r="E16">
            <v>0</v>
          </cell>
          <cell r="F16">
            <v>23.16</v>
          </cell>
          <cell r="G16">
            <v>18</v>
          </cell>
          <cell r="H16">
            <v>5.72</v>
          </cell>
          <cell r="I16">
            <v>39.520000000000003</v>
          </cell>
          <cell r="J16">
            <v>1.33</v>
          </cell>
          <cell r="K16">
            <v>28.88</v>
          </cell>
          <cell r="L16">
            <v>4.88</v>
          </cell>
          <cell r="M16">
            <v>16.559999999999999</v>
          </cell>
          <cell r="N16">
            <v>0.85</v>
          </cell>
          <cell r="O16">
            <v>8</v>
          </cell>
          <cell r="P16">
            <v>42.63</v>
          </cell>
          <cell r="Q16">
            <v>14.504</v>
          </cell>
          <cell r="R16">
            <v>22</v>
          </cell>
          <cell r="S16">
            <v>14</v>
          </cell>
          <cell r="T16">
            <v>18</v>
          </cell>
          <cell r="U16">
            <v>54</v>
          </cell>
          <cell r="V16">
            <v>1.8406735751295338</v>
          </cell>
          <cell r="W16">
            <v>23.88</v>
          </cell>
          <cell r="X16">
            <v>0.96984924623115587</v>
          </cell>
          <cell r="Y16" t="str">
            <v>40/22</v>
          </cell>
          <cell r="Z16">
            <v>39.928750000000001</v>
          </cell>
          <cell r="AA16">
            <v>20.64</v>
          </cell>
          <cell r="AB16">
            <v>0.51</v>
          </cell>
          <cell r="AC16">
            <v>540.28361515544043</v>
          </cell>
          <cell r="AD16">
            <v>477.51629738773744</v>
          </cell>
          <cell r="AE16">
            <v>0.73903314629507011</v>
          </cell>
          <cell r="AF16">
            <v>0.83617564925911503</v>
          </cell>
          <cell r="AG16">
            <v>519.13126079447318</v>
          </cell>
          <cell r="AH16">
            <v>474.59101899827294</v>
          </cell>
          <cell r="AI16">
            <v>1.5730891374204272</v>
          </cell>
          <cell r="AJ16">
            <v>0.54830392080025059</v>
          </cell>
          <cell r="AK16" t="str">
            <v>10/70</v>
          </cell>
          <cell r="AL16">
            <v>2.3747841105354061E-2</v>
          </cell>
          <cell r="AM16">
            <v>104</v>
          </cell>
          <cell r="AN16">
            <v>3.7519999999999998</v>
          </cell>
          <cell r="AO16">
            <v>4.6525043177892913</v>
          </cell>
          <cell r="AP16">
            <v>22.746354272932948</v>
          </cell>
          <cell r="AQ16">
            <v>0.98484848484848475</v>
          </cell>
          <cell r="AR16">
            <v>2.13</v>
          </cell>
          <cell r="AS16">
            <v>0.80638161570661593</v>
          </cell>
          <cell r="AT16">
            <v>352.38552188552194</v>
          </cell>
          <cell r="AU16">
            <v>275</v>
          </cell>
          <cell r="AV16">
            <v>20240.295768566495</v>
          </cell>
          <cell r="AW16">
            <v>15732.124352331606</v>
          </cell>
          <cell r="AX16">
            <v>1907.5129533678755</v>
          </cell>
          <cell r="AY16">
            <v>1618.719775474957</v>
          </cell>
          <cell r="AZ16">
            <v>27217.150259067355</v>
          </cell>
          <cell r="BA16">
            <v>667.15803108808291</v>
          </cell>
          <cell r="BB16">
            <v>8839.7582037996526</v>
          </cell>
          <cell r="BC16">
            <v>76222.719343696022</v>
          </cell>
          <cell r="BD16">
            <v>18038.367659758202</v>
          </cell>
          <cell r="BE16">
            <v>14531.157167530224</v>
          </cell>
          <cell r="BF16">
            <v>2052.9404145077719</v>
          </cell>
          <cell r="BG16">
            <v>634.58335276338516</v>
          </cell>
          <cell r="BH16">
            <v>72932.676832901547</v>
          </cell>
          <cell r="BO16" t="str">
            <v>NIL</v>
          </cell>
          <cell r="BQ16">
            <v>60759</v>
          </cell>
        </row>
        <row r="17">
          <cell r="A17" t="str">
            <v>F146003</v>
          </cell>
          <cell r="B17">
            <v>46003</v>
          </cell>
          <cell r="C17" t="str">
            <v>Raju Singh</v>
          </cell>
          <cell r="D17">
            <v>21.479999999999997</v>
          </cell>
          <cell r="E17">
            <v>0.22000000000000242</v>
          </cell>
          <cell r="F17">
            <v>21.7</v>
          </cell>
          <cell r="G17">
            <v>15.514999999999999</v>
          </cell>
          <cell r="H17">
            <v>6.12</v>
          </cell>
          <cell r="I17">
            <v>39.880000000000003</v>
          </cell>
          <cell r="J17">
            <v>1.28</v>
          </cell>
          <cell r="K17">
            <v>28.6</v>
          </cell>
          <cell r="L17">
            <v>4.88</v>
          </cell>
          <cell r="M17">
            <v>16.34</v>
          </cell>
          <cell r="N17">
            <v>0.84</v>
          </cell>
          <cell r="O17">
            <v>8</v>
          </cell>
          <cell r="P17">
            <v>41.945</v>
          </cell>
          <cell r="Q17">
            <v>14.904</v>
          </cell>
          <cell r="R17">
            <v>39</v>
          </cell>
          <cell r="S17">
            <v>32</v>
          </cell>
          <cell r="T17">
            <v>23</v>
          </cell>
          <cell r="U17">
            <v>94</v>
          </cell>
          <cell r="V17">
            <v>1.9527467411545627</v>
          </cell>
          <cell r="W17">
            <v>22.369999999999997</v>
          </cell>
          <cell r="X17">
            <v>0.96021457308895841</v>
          </cell>
          <cell r="Y17" t="str">
            <v>40/22</v>
          </cell>
          <cell r="Z17">
            <v>39.592500000000001</v>
          </cell>
          <cell r="AA17">
            <v>20.28125</v>
          </cell>
          <cell r="AB17">
            <v>0.56000000000000005</v>
          </cell>
          <cell r="AC17">
            <v>526.81186610800739</v>
          </cell>
          <cell r="AD17">
            <v>506.761873999069</v>
          </cell>
          <cell r="AE17">
            <v>0.75154913066978479</v>
          </cell>
          <cell r="AF17">
            <v>0.78128411057365255</v>
          </cell>
          <cell r="AG17">
            <v>522.77281191806344</v>
          </cell>
          <cell r="AH17">
            <v>525.57765363128499</v>
          </cell>
          <cell r="AI17">
            <v>1.8623287775024557</v>
          </cell>
          <cell r="AJ17">
            <v>0.50924560534947494</v>
          </cell>
          <cell r="AK17" t="str">
            <v>10/70</v>
          </cell>
          <cell r="AL17">
            <v>2.7001862197392926E-2</v>
          </cell>
          <cell r="AM17">
            <v>101.3</v>
          </cell>
          <cell r="AN17">
            <v>3.6240000000000001</v>
          </cell>
          <cell r="AO17">
            <v>4.8847299813780261</v>
          </cell>
          <cell r="AP17">
            <v>23.026834179852766</v>
          </cell>
          <cell r="AQ17">
            <v>0.95928030303030287</v>
          </cell>
          <cell r="AR17">
            <v>2.1333333333333333</v>
          </cell>
          <cell r="AS17">
            <v>0.80082963848752631</v>
          </cell>
          <cell r="AT17">
            <v>351.77655677655679</v>
          </cell>
          <cell r="AU17">
            <v>316.66666666666669</v>
          </cell>
          <cell r="AV17">
            <v>20054.601955307266</v>
          </cell>
          <cell r="AW17">
            <v>15859.031657355683</v>
          </cell>
          <cell r="AX17">
            <v>2992.3184357541904</v>
          </cell>
          <cell r="AY17">
            <v>2515.7146182495349</v>
          </cell>
          <cell r="AZ17">
            <v>28575.670391061452</v>
          </cell>
          <cell r="BA17">
            <v>699.97337057728123</v>
          </cell>
          <cell r="BB17">
            <v>9280.9869646182487</v>
          </cell>
          <cell r="BC17">
            <v>79978.297392923647</v>
          </cell>
          <cell r="BD17">
            <v>19143.75954376164</v>
          </cell>
          <cell r="BE17">
            <v>16010.130353817505</v>
          </cell>
          <cell r="BF17">
            <v>2224.1201117318437</v>
          </cell>
          <cell r="BG17">
            <v>684.69395018621969</v>
          </cell>
          <cell r="BH17">
            <v>78435.075933426444</v>
          </cell>
          <cell r="BM17">
            <v>25</v>
          </cell>
          <cell r="BN17">
            <v>25</v>
          </cell>
          <cell r="BO17" t="str">
            <v>Power grids supply failure.</v>
          </cell>
          <cell r="BQ17">
            <v>60759</v>
          </cell>
        </row>
        <row r="18">
          <cell r="A18" t="str">
            <v>F146004</v>
          </cell>
          <cell r="B18">
            <v>46004</v>
          </cell>
          <cell r="C18" t="str">
            <v>Raju Singh</v>
          </cell>
          <cell r="D18">
            <v>20.024999999999999</v>
          </cell>
          <cell r="E18">
            <v>0</v>
          </cell>
          <cell r="F18">
            <v>20.024999999999999</v>
          </cell>
          <cell r="G18">
            <v>15.065999999999999</v>
          </cell>
          <cell r="H18">
            <v>6.3</v>
          </cell>
          <cell r="I18">
            <v>40.119999999999997</v>
          </cell>
          <cell r="J18">
            <v>1.32</v>
          </cell>
          <cell r="K18">
            <v>28.21</v>
          </cell>
          <cell r="L18">
            <v>5.0199999999999996</v>
          </cell>
          <cell r="M18">
            <v>16.12</v>
          </cell>
          <cell r="N18">
            <v>0.83</v>
          </cell>
          <cell r="O18">
            <v>8</v>
          </cell>
          <cell r="P18">
            <v>47.19100000000001</v>
          </cell>
          <cell r="Q18">
            <v>17.134999999999998</v>
          </cell>
          <cell r="R18">
            <v>46</v>
          </cell>
          <cell r="S18">
            <v>7</v>
          </cell>
          <cell r="T18">
            <v>17</v>
          </cell>
          <cell r="U18">
            <v>70</v>
          </cell>
          <cell r="V18">
            <v>2.3566042446941329</v>
          </cell>
          <cell r="W18">
            <v>20.644999999999996</v>
          </cell>
          <cell r="X18">
            <v>0.96996851537902651</v>
          </cell>
          <cell r="Y18" t="str">
            <v>40/22</v>
          </cell>
          <cell r="Z18">
            <v>39.866250000000008</v>
          </cell>
          <cell r="AA18">
            <v>20.473750000000003</v>
          </cell>
          <cell r="AB18">
            <v>0.51750000000000007</v>
          </cell>
          <cell r="AC18">
            <v>562.2986935830213</v>
          </cell>
          <cell r="AD18">
            <v>669.55669380274662</v>
          </cell>
          <cell r="AE18">
            <v>0.70898706425882707</v>
          </cell>
          <cell r="AF18">
            <v>0.59541261209083995</v>
          </cell>
          <cell r="AG18">
            <v>624.59780873907619</v>
          </cell>
          <cell r="AH18">
            <v>641.1572809987515</v>
          </cell>
          <cell r="AI18">
            <v>1.4120188413826227</v>
          </cell>
          <cell r="AJ18">
            <v>0.41162020665265642</v>
          </cell>
          <cell r="AK18" t="str">
            <v>10/70</v>
          </cell>
          <cell r="AL18">
            <v>2.4968789013732836E-2</v>
          </cell>
          <cell r="AM18">
            <v>95</v>
          </cell>
          <cell r="AN18">
            <v>3.5409999999999999</v>
          </cell>
          <cell r="AO18">
            <v>4.920898876404495</v>
          </cell>
          <cell r="AP18">
            <v>25.265457136880983</v>
          </cell>
          <cell r="AQ18">
            <v>0.89962121212121204</v>
          </cell>
          <cell r="AR18">
            <v>2.1350000000000002</v>
          </cell>
          <cell r="AS18">
            <v>0.79327134988218406</v>
          </cell>
          <cell r="AT18">
            <v>391.97569444444451</v>
          </cell>
          <cell r="AU18">
            <v>191.66666666666666</v>
          </cell>
          <cell r="AV18">
            <v>21984.878901373282</v>
          </cell>
          <cell r="AW18">
            <v>18919.750312109863</v>
          </cell>
          <cell r="AX18">
            <v>1585.61797752809</v>
          </cell>
          <cell r="AY18">
            <v>3434.7840199750317</v>
          </cell>
          <cell r="AZ18">
            <v>28787.258426966295</v>
          </cell>
          <cell r="BA18">
            <v>747.12289637952563</v>
          </cell>
          <cell r="BB18">
            <v>9349.7078651685406</v>
          </cell>
          <cell r="BC18">
            <v>84809.120399500636</v>
          </cell>
          <cell r="BD18">
            <v>25854.419675405748</v>
          </cell>
          <cell r="BE18">
            <v>19565.54307116105</v>
          </cell>
          <cell r="BF18">
            <v>2490.8164794007489</v>
          </cell>
          <cell r="BG18">
            <v>801.32821672908881</v>
          </cell>
          <cell r="BH18">
            <v>90283.857754806508</v>
          </cell>
          <cell r="BM18">
            <v>75</v>
          </cell>
          <cell r="BN18">
            <v>75</v>
          </cell>
          <cell r="BO18" t="str">
            <v>Power grids supply failure.</v>
          </cell>
          <cell r="BQ18">
            <v>60759</v>
          </cell>
        </row>
        <row r="19">
          <cell r="A19" t="str">
            <v>F146005</v>
          </cell>
          <cell r="B19">
            <v>46005</v>
          </cell>
          <cell r="C19" t="str">
            <v>Raju Singh</v>
          </cell>
          <cell r="D19">
            <v>15.135</v>
          </cell>
          <cell r="E19">
            <v>0</v>
          </cell>
          <cell r="F19">
            <v>15.135</v>
          </cell>
          <cell r="G19">
            <v>11.280000000000001</v>
          </cell>
          <cell r="H19">
            <v>6.42</v>
          </cell>
          <cell r="I19">
            <v>40.200000000000003</v>
          </cell>
          <cell r="J19">
            <v>1.3</v>
          </cell>
          <cell r="K19">
            <v>28.38</v>
          </cell>
          <cell r="L19">
            <v>4.82</v>
          </cell>
          <cell r="M19">
            <v>16.21</v>
          </cell>
          <cell r="N19">
            <v>0.83</v>
          </cell>
          <cell r="O19">
            <v>6</v>
          </cell>
          <cell r="P19">
            <v>34.238</v>
          </cell>
          <cell r="Q19">
            <v>11.212</v>
          </cell>
          <cell r="R19">
            <v>10</v>
          </cell>
          <cell r="S19">
            <v>15</v>
          </cell>
          <cell r="T19">
            <v>14</v>
          </cell>
          <cell r="U19">
            <v>39</v>
          </cell>
          <cell r="V19">
            <v>2.2621737694086552</v>
          </cell>
          <cell r="W19">
            <v>15.605</v>
          </cell>
          <cell r="X19">
            <v>0.96988144825376477</v>
          </cell>
          <cell r="Y19" t="str">
            <v>55/22</v>
          </cell>
          <cell r="Z19">
            <v>52.648333333333333</v>
          </cell>
          <cell r="AA19">
            <v>20.930000000000003</v>
          </cell>
          <cell r="AB19">
            <v>0.47833333333333328</v>
          </cell>
          <cell r="AC19">
            <v>980.5806271555997</v>
          </cell>
          <cell r="AD19">
            <v>719.12397611496533</v>
          </cell>
          <cell r="AE19">
            <v>0.53690978462476835</v>
          </cell>
          <cell r="AF19">
            <v>0.7321176192422838</v>
          </cell>
          <cell r="AG19">
            <v>1017.9218130161877</v>
          </cell>
          <cell r="AH19">
            <v>545.07110670630993</v>
          </cell>
          <cell r="AI19">
            <v>1.0560517861968295</v>
          </cell>
          <cell r="AJ19">
            <v>0.40703409968037407</v>
          </cell>
          <cell r="AK19" t="str">
            <v>10/70</v>
          </cell>
          <cell r="AL19">
            <v>2.3785926660059464E-2</v>
          </cell>
          <cell r="AM19">
            <v>81.5</v>
          </cell>
          <cell r="AN19">
            <v>2.6659999999999999</v>
          </cell>
          <cell r="AO19">
            <v>5.5610175090849028</v>
          </cell>
          <cell r="AP19">
            <v>29.255547613095718</v>
          </cell>
          <cell r="AQ19">
            <v>0.77178030303030298</v>
          </cell>
          <cell r="AR19">
            <v>2.0699999999999998</v>
          </cell>
          <cell r="AS19">
            <v>0.78229222715309155</v>
          </cell>
          <cell r="AT19">
            <v>373.1180555555556</v>
          </cell>
          <cell r="AU19">
            <v>83.333333333333329</v>
          </cell>
          <cell r="AV19">
            <v>39455.287743640569</v>
          </cell>
          <cell r="AW19">
            <v>31072.084572183681</v>
          </cell>
          <cell r="AX19">
            <v>1942.7155599603568</v>
          </cell>
          <cell r="AY19">
            <v>2704.350842418236</v>
          </cell>
          <cell r="AZ19">
            <v>32531.95242814668</v>
          </cell>
          <cell r="BA19">
            <v>1077.0639114634953</v>
          </cell>
          <cell r="BB19">
            <v>10565.933267261315</v>
          </cell>
          <cell r="BC19">
            <v>119349.38832507432</v>
          </cell>
          <cell r="BD19">
            <v>28395.649884373965</v>
          </cell>
          <cell r="BE19">
            <v>16700.891972249752</v>
          </cell>
          <cell r="BF19">
            <v>2196.0951437066406</v>
          </cell>
          <cell r="BG19">
            <v>825.28940270895282</v>
          </cell>
          <cell r="BH19">
            <v>93920.162940865528</v>
          </cell>
          <cell r="BM19">
            <v>220</v>
          </cell>
          <cell r="BN19">
            <v>220</v>
          </cell>
          <cell r="BO19" t="str">
            <v>Power grids supply failure.</v>
          </cell>
          <cell r="BQ19">
            <v>69902</v>
          </cell>
        </row>
        <row r="20">
          <cell r="A20" t="str">
            <v>F146006</v>
          </cell>
          <cell r="B20">
            <v>46006</v>
          </cell>
          <cell r="C20" t="str">
            <v>Raju Singh</v>
          </cell>
          <cell r="D20">
            <v>20.77</v>
          </cell>
          <cell r="E20">
            <v>0</v>
          </cell>
          <cell r="F20">
            <v>20.77</v>
          </cell>
          <cell r="G20">
            <v>15</v>
          </cell>
          <cell r="H20">
            <v>6.05</v>
          </cell>
          <cell r="I20">
            <v>39.44</v>
          </cell>
          <cell r="J20">
            <v>1.33</v>
          </cell>
          <cell r="K20">
            <v>28.4</v>
          </cell>
          <cell r="L20">
            <v>5.01</v>
          </cell>
          <cell r="M20">
            <v>16.579999999999998</v>
          </cell>
          <cell r="N20">
            <v>0.85</v>
          </cell>
          <cell r="O20">
            <v>8</v>
          </cell>
          <cell r="P20">
            <v>43.537999999999997</v>
          </cell>
          <cell r="Q20">
            <v>13.758000000000001</v>
          </cell>
          <cell r="R20">
            <v>17</v>
          </cell>
          <cell r="S20">
            <v>14</v>
          </cell>
          <cell r="T20">
            <v>18</v>
          </cell>
          <cell r="U20">
            <v>49</v>
          </cell>
          <cell r="V20">
            <v>2.0961964371689938</v>
          </cell>
          <cell r="W20">
            <v>21.419999999999998</v>
          </cell>
          <cell r="X20">
            <v>0.969654528478058</v>
          </cell>
          <cell r="Y20" t="str">
            <v>55/22</v>
          </cell>
          <cell r="Z20">
            <v>55.092500000000001</v>
          </cell>
          <cell r="AA20">
            <v>21.501249999999999</v>
          </cell>
          <cell r="AB20">
            <v>0.4425</v>
          </cell>
          <cell r="AC20">
            <v>683.68640876263851</v>
          </cell>
          <cell r="AD20">
            <v>665.36134340394801</v>
          </cell>
          <cell r="AE20">
            <v>0.80581534595237148</v>
          </cell>
          <cell r="AF20">
            <v>0.82800872858272978</v>
          </cell>
          <cell r="AG20">
            <v>208.20414058738569</v>
          </cell>
          <cell r="AH20">
            <v>487.38397496389024</v>
          </cell>
          <cell r="AI20">
            <v>1.576682776903152</v>
          </cell>
          <cell r="AJ20">
            <v>0.46349013111801979</v>
          </cell>
          <cell r="AK20" t="str">
            <v>10/70</v>
          </cell>
          <cell r="AL20">
            <v>2.4073182474723159E-2</v>
          </cell>
          <cell r="AM20">
            <v>102.8</v>
          </cell>
          <cell r="AN20">
            <v>3.58</v>
          </cell>
          <cell r="AO20">
            <v>5.121810303322099</v>
          </cell>
          <cell r="AP20">
            <v>29.414573884679236</v>
          </cell>
          <cell r="AQ20">
            <v>0.9734848484848484</v>
          </cell>
          <cell r="AR20">
            <v>2.0533333333333332</v>
          </cell>
          <cell r="AS20">
            <v>0.79002904686833464</v>
          </cell>
          <cell r="AT20">
            <v>377.54513888888891</v>
          </cell>
          <cell r="AU20">
            <v>175</v>
          </cell>
          <cell r="AV20">
            <v>27295.108329321134</v>
          </cell>
          <cell r="AW20">
            <v>6574.867597496389</v>
          </cell>
          <cell r="AX20">
            <v>1345.4501685122773</v>
          </cell>
          <cell r="AY20">
            <v>1685.0433317284544</v>
          </cell>
          <cell r="AZ20">
            <v>29962.590274434278</v>
          </cell>
          <cell r="BA20">
            <v>668.63059701492534</v>
          </cell>
          <cell r="BB20">
            <v>9731.4395763119883</v>
          </cell>
          <cell r="BC20">
            <v>77263.129874819439</v>
          </cell>
          <cell r="BD20">
            <v>26262.57140105922</v>
          </cell>
          <cell r="BE20">
            <v>14933.365430909967</v>
          </cell>
          <cell r="BF20">
            <v>1855.4212806933076</v>
          </cell>
          <cell r="BG20">
            <v>746.98991718825232</v>
          </cell>
          <cell r="BH20">
            <v>85177.421212325455</v>
          </cell>
          <cell r="BK20">
            <v>5</v>
          </cell>
          <cell r="BN20">
            <v>5</v>
          </cell>
          <cell r="BO20" t="str">
            <v>Over current trip.</v>
          </cell>
          <cell r="BQ20">
            <v>69902</v>
          </cell>
        </row>
        <row r="21">
          <cell r="A21" t="str">
            <v>F146007</v>
          </cell>
          <cell r="B21">
            <v>46007</v>
          </cell>
          <cell r="C21" t="str">
            <v>Raju Singh</v>
          </cell>
          <cell r="D21">
            <v>20.13</v>
          </cell>
          <cell r="E21">
            <v>0</v>
          </cell>
          <cell r="F21">
            <v>20.13</v>
          </cell>
          <cell r="G21">
            <v>14.490000000000002</v>
          </cell>
          <cell r="H21">
            <v>6.82</v>
          </cell>
          <cell r="I21">
            <v>39.82</v>
          </cell>
          <cell r="J21">
            <v>1.36</v>
          </cell>
          <cell r="K21">
            <v>28.52</v>
          </cell>
          <cell r="L21">
            <v>4.8499999999999996</v>
          </cell>
          <cell r="M21">
            <v>15.88</v>
          </cell>
          <cell r="N21">
            <v>0.84</v>
          </cell>
          <cell r="O21">
            <v>8</v>
          </cell>
          <cell r="P21">
            <v>39.406999999999996</v>
          </cell>
          <cell r="Q21">
            <v>12.193</v>
          </cell>
          <cell r="R21">
            <v>16</v>
          </cell>
          <cell r="S21">
            <v>12</v>
          </cell>
          <cell r="T21">
            <v>16</v>
          </cell>
          <cell r="U21">
            <v>44</v>
          </cell>
          <cell r="V21">
            <v>1.9576254346746149</v>
          </cell>
          <cell r="W21">
            <v>20.755000000000003</v>
          </cell>
          <cell r="X21">
            <v>0.9698867742712598</v>
          </cell>
          <cell r="Y21" t="str">
            <v>55/22</v>
          </cell>
          <cell r="Z21">
            <v>54.888750000000009</v>
          </cell>
          <cell r="AA21">
            <v>21.653750000000002</v>
          </cell>
          <cell r="AB21">
            <v>0.42499999999999999</v>
          </cell>
          <cell r="AC21">
            <v>912.87217461500245</v>
          </cell>
          <cell r="AD21">
            <v>621.0462396820667</v>
          </cell>
          <cell r="AE21">
            <v>0.6012753102387961</v>
          </cell>
          <cell r="AF21">
            <v>0.88381100299551463</v>
          </cell>
          <cell r="AG21">
            <v>460.50852657724801</v>
          </cell>
          <cell r="AH21">
            <v>445.45122702434173</v>
          </cell>
          <cell r="AI21">
            <v>1.180268442789713</v>
          </cell>
          <cell r="AJ21">
            <v>0.50356946825317206</v>
          </cell>
          <cell r="AK21" t="str">
            <v>10/70</v>
          </cell>
          <cell r="AL21">
            <v>2.4838549428713365E-2</v>
          </cell>
          <cell r="AM21">
            <v>101.4</v>
          </cell>
          <cell r="AN21">
            <v>3.5</v>
          </cell>
          <cell r="AO21">
            <v>5.2111276701440641</v>
          </cell>
          <cell r="AP21">
            <v>29.40529414277314</v>
          </cell>
          <cell r="AQ21">
            <v>0.96022727272727271</v>
          </cell>
          <cell r="AR21">
            <v>2.0666666666666669</v>
          </cell>
          <cell r="AS21">
            <v>0.79405992400867176</v>
          </cell>
          <cell r="AT21">
            <v>407.5092592592593</v>
          </cell>
          <cell r="AU21">
            <v>200</v>
          </cell>
          <cell r="AV21">
            <v>36233.150521609547</v>
          </cell>
          <cell r="AW21">
            <v>13936.214605067065</v>
          </cell>
          <cell r="AX21">
            <v>3082.265275707899</v>
          </cell>
          <cell r="AY21">
            <v>1453.0129160457032</v>
          </cell>
          <cell r="AZ21">
            <v>30485.096870342775</v>
          </cell>
          <cell r="BA21">
            <v>851.89740188772976</v>
          </cell>
          <cell r="BB21">
            <v>9901.1425732737225</v>
          </cell>
          <cell r="BC21">
            <v>95942.78016393444</v>
          </cell>
          <cell r="BD21">
            <v>24508.871435668156</v>
          </cell>
          <cell r="BE21">
            <v>13641.927471435669</v>
          </cell>
          <cell r="BF21">
            <v>1725.633383010432</v>
          </cell>
          <cell r="BG21">
            <v>718.14542076502744</v>
          </cell>
          <cell r="BH21">
            <v>82433.830070541488</v>
          </cell>
          <cell r="BM21">
            <v>25</v>
          </cell>
          <cell r="BN21">
            <v>25</v>
          </cell>
          <cell r="BO21" t="str">
            <v>Power grids supply failure.</v>
          </cell>
          <cell r="BQ21">
            <v>69902</v>
          </cell>
        </row>
        <row r="22">
          <cell r="A22" t="str">
            <v>F146008</v>
          </cell>
          <cell r="B22">
            <v>46008</v>
          </cell>
          <cell r="C22" t="str">
            <v>Raju Singh</v>
          </cell>
          <cell r="D22">
            <v>20.09</v>
          </cell>
          <cell r="E22">
            <v>0</v>
          </cell>
          <cell r="F22">
            <v>20.09</v>
          </cell>
          <cell r="G22">
            <v>20.6</v>
          </cell>
          <cell r="H22">
            <v>0</v>
          </cell>
          <cell r="I22">
            <v>39.56</v>
          </cell>
          <cell r="J22">
            <v>1.28</v>
          </cell>
          <cell r="K22">
            <v>28.32</v>
          </cell>
          <cell r="L22">
            <v>5.0199999999999996</v>
          </cell>
          <cell r="M22">
            <v>15.86</v>
          </cell>
          <cell r="N22">
            <v>0.84</v>
          </cell>
          <cell r="O22">
            <v>8</v>
          </cell>
          <cell r="P22">
            <v>39.443000000000005</v>
          </cell>
          <cell r="Q22">
            <v>11.826000000000001</v>
          </cell>
          <cell r="R22">
            <v>17</v>
          </cell>
          <cell r="S22">
            <v>16</v>
          </cell>
          <cell r="T22">
            <v>12</v>
          </cell>
          <cell r="U22">
            <v>45</v>
          </cell>
          <cell r="V22">
            <v>1.9633150821304135</v>
          </cell>
          <cell r="W22">
            <v>20.715</v>
          </cell>
          <cell r="X22">
            <v>0.96982862659908275</v>
          </cell>
          <cell r="Y22" t="str">
            <v>55/22</v>
          </cell>
          <cell r="Z22">
            <v>54.931250000000006</v>
          </cell>
          <cell r="AA22">
            <v>21.391249999999999</v>
          </cell>
          <cell r="AB22">
            <v>0.44374999999999998</v>
          </cell>
          <cell r="AC22">
            <v>686.75807332005991</v>
          </cell>
          <cell r="AD22">
            <v>624.52621837730226</v>
          </cell>
          <cell r="AE22">
            <v>0.79986318521805844</v>
          </cell>
          <cell r="AF22">
            <v>0.87956675610396484</v>
          </cell>
          <cell r="AG22">
            <v>582.34340268790436</v>
          </cell>
          <cell r="AH22">
            <v>432.82058138377295</v>
          </cell>
          <cell r="AI22">
            <v>1.1627205752309333</v>
          </cell>
          <cell r="AJ22">
            <v>0.4981232421274272</v>
          </cell>
          <cell r="AK22" t="str">
            <v>10/70</v>
          </cell>
          <cell r="AL22">
            <v>2.4888003982080638E-2</v>
          </cell>
          <cell r="AM22">
            <v>102.4</v>
          </cell>
          <cell r="AN22">
            <v>3.55</v>
          </cell>
          <cell r="AO22">
            <v>5.2737680438028871</v>
          </cell>
          <cell r="AP22">
            <v>29.494656026704906</v>
          </cell>
          <cell r="AQ22">
            <v>0.96969696969696972</v>
          </cell>
          <cell r="AR22">
            <v>2.0966666666666667</v>
          </cell>
          <cell r="AS22">
            <v>0.78259469694148664</v>
          </cell>
          <cell r="AT22">
            <v>450.92592592592592</v>
          </cell>
          <cell r="AU22">
            <v>175</v>
          </cell>
          <cell r="AV22">
            <v>26387.039820806371</v>
          </cell>
          <cell r="AW22">
            <v>17800.099552015927</v>
          </cell>
          <cell r="AX22">
            <v>1505.2264808362368</v>
          </cell>
          <cell r="AY22">
            <v>1885.990542558487</v>
          </cell>
          <cell r="AZ22">
            <v>30851.54305624689</v>
          </cell>
          <cell r="BA22">
            <v>784.29899452463917</v>
          </cell>
          <cell r="BB22">
            <v>10020.159283225485</v>
          </cell>
          <cell r="BC22">
            <v>89234.357730214033</v>
          </cell>
          <cell r="BD22">
            <v>24660.499402687903</v>
          </cell>
          <cell r="BE22">
            <v>13252.663016426082</v>
          </cell>
          <cell r="BF22">
            <v>1774.0915878546541</v>
          </cell>
          <cell r="BG22">
            <v>724.24787605774009</v>
          </cell>
          <cell r="BH22">
            <v>83169.19476505724</v>
          </cell>
          <cell r="BO22" t="str">
            <v>NIL</v>
          </cell>
          <cell r="BQ22">
            <v>69902</v>
          </cell>
        </row>
        <row r="23">
          <cell r="A23" t="str">
            <v>F146009</v>
          </cell>
          <cell r="B23">
            <v>46009</v>
          </cell>
          <cell r="C23" t="str">
            <v>Raju Singh</v>
          </cell>
          <cell r="D23">
            <v>20.74</v>
          </cell>
          <cell r="E23">
            <v>0</v>
          </cell>
          <cell r="F23">
            <v>20.74</v>
          </cell>
          <cell r="G23">
            <v>15.43</v>
          </cell>
          <cell r="H23">
            <v>6.43</v>
          </cell>
          <cell r="I23">
            <v>39.755000000000003</v>
          </cell>
          <cell r="J23">
            <v>1.3175000000000001</v>
          </cell>
          <cell r="K23">
            <v>28.405000000000001</v>
          </cell>
          <cell r="L23">
            <v>4.9249999999999998</v>
          </cell>
          <cell r="M23">
            <v>16.1325</v>
          </cell>
          <cell r="N23">
            <v>0.84</v>
          </cell>
          <cell r="O23">
            <v>8</v>
          </cell>
          <cell r="P23">
            <v>41.034999999999997</v>
          </cell>
          <cell r="Q23">
            <v>12.335999999999999</v>
          </cell>
          <cell r="R23">
            <v>18</v>
          </cell>
          <cell r="S23">
            <v>16</v>
          </cell>
          <cell r="T23">
            <v>12</v>
          </cell>
          <cell r="U23">
            <v>46</v>
          </cell>
          <cell r="V23">
            <v>1.9785438765670202</v>
          </cell>
          <cell r="W23">
            <v>21.38</v>
          </cell>
          <cell r="X23">
            <v>0.97006548175865293</v>
          </cell>
          <cell r="Y23" t="str">
            <v>55/22</v>
          </cell>
          <cell r="Z23">
            <v>55.007499999999993</v>
          </cell>
          <cell r="AA23">
            <v>20.934999999999999</v>
          </cell>
          <cell r="AB23">
            <v>0.49</v>
          </cell>
          <cell r="AC23">
            <v>740.731619141755</v>
          </cell>
          <cell r="AD23">
            <v>632.1656769575701</v>
          </cell>
          <cell r="AE23">
            <v>0.74261039462220013</v>
          </cell>
          <cell r="AF23">
            <v>0.87014372980094601</v>
          </cell>
          <cell r="AG23">
            <v>626.42610896817746</v>
          </cell>
          <cell r="AH23">
            <v>438.173393635487</v>
          </cell>
          <cell r="AI23">
            <v>1.2128856891205815</v>
          </cell>
          <cell r="AJ23">
            <v>0.47823029274259388</v>
          </cell>
          <cell r="AL23">
            <v>0</v>
          </cell>
          <cell r="AM23">
            <v>103.3</v>
          </cell>
          <cell r="AN23">
            <v>3.5939999999999999</v>
          </cell>
          <cell r="AO23">
            <v>5.1540019286403087</v>
          </cell>
          <cell r="AP23">
            <v>29.597535193688216</v>
          </cell>
          <cell r="AQ23">
            <v>0.97821969696969691</v>
          </cell>
          <cell r="AR23">
            <v>2.1233333333333331</v>
          </cell>
          <cell r="AS23">
            <v>0</v>
          </cell>
          <cell r="AT23">
            <v>425.47453703703701</v>
          </cell>
          <cell r="AU23">
            <v>216.66666666666666</v>
          </cell>
          <cell r="AV23">
            <v>29636.40067502411</v>
          </cell>
          <cell r="AW23">
            <v>17046.766634522664</v>
          </cell>
          <cell r="AX23">
            <v>1481.4850530376088</v>
          </cell>
          <cell r="AY23">
            <v>2977.1239151398267</v>
          </cell>
          <cell r="AZ23">
            <v>30150.911282545807</v>
          </cell>
          <cell r="BA23">
            <v>812.92687560270019</v>
          </cell>
          <cell r="BB23">
            <v>9792.603664416587</v>
          </cell>
          <cell r="BC23">
            <v>91898.218100289305</v>
          </cell>
          <cell r="BD23">
            <v>24988.978929604633</v>
          </cell>
          <cell r="BE23">
            <v>13441.253616200578</v>
          </cell>
          <cell r="BF23">
            <v>1808.8379942140793</v>
          </cell>
          <cell r="BG23">
            <v>733.67105737704935</v>
          </cell>
          <cell r="BH23">
            <v>83893.380459498556</v>
          </cell>
          <cell r="BO23" t="str">
            <v>NIL</v>
          </cell>
          <cell r="BQ23">
            <v>69902</v>
          </cell>
        </row>
        <row r="24">
          <cell r="A24" t="str">
            <v>F146010</v>
          </cell>
          <cell r="B24">
            <v>46010</v>
          </cell>
          <cell r="C24" t="str">
            <v>Raju Singh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</v>
          </cell>
          <cell r="P24">
            <v>0</v>
          </cell>
          <cell r="Q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Q24">
            <v>69902</v>
          </cell>
        </row>
        <row r="25">
          <cell r="A25" t="str">
            <v>F146011</v>
          </cell>
          <cell r="B25">
            <v>46011</v>
          </cell>
          <cell r="C25" t="str">
            <v>Raju Singh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</v>
          </cell>
          <cell r="P25">
            <v>0</v>
          </cell>
          <cell r="Q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Q25">
            <v>69902</v>
          </cell>
        </row>
        <row r="26">
          <cell r="A26" t="str">
            <v>F146012</v>
          </cell>
          <cell r="B26">
            <v>46012</v>
          </cell>
          <cell r="C26" t="str">
            <v>Raju Singh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</v>
          </cell>
          <cell r="P26">
            <v>0</v>
          </cell>
          <cell r="Q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Q26">
            <v>69902</v>
          </cell>
        </row>
        <row r="27">
          <cell r="A27" t="str">
            <v>F146013</v>
          </cell>
          <cell r="B27">
            <v>46013</v>
          </cell>
          <cell r="C27" t="str">
            <v>Raju Singh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</v>
          </cell>
          <cell r="P27">
            <v>0</v>
          </cell>
          <cell r="Q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Q27">
            <v>69902</v>
          </cell>
        </row>
        <row r="28">
          <cell r="A28" t="str">
            <v>F146014</v>
          </cell>
          <cell r="B28">
            <v>46014</v>
          </cell>
          <cell r="C28" t="str">
            <v>Raju Singh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8</v>
          </cell>
          <cell r="P28">
            <v>0</v>
          </cell>
          <cell r="Q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Q28">
            <v>69902</v>
          </cell>
        </row>
        <row r="29">
          <cell r="A29" t="str">
            <v>F146015</v>
          </cell>
          <cell r="B29">
            <v>46015</v>
          </cell>
          <cell r="C29" t="str">
            <v>Raju Singh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8</v>
          </cell>
          <cell r="P29">
            <v>0</v>
          </cell>
          <cell r="Q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Q29">
            <v>69902</v>
          </cell>
        </row>
        <row r="30">
          <cell r="A30" t="str">
            <v>F146016</v>
          </cell>
          <cell r="B30">
            <v>46016</v>
          </cell>
          <cell r="C30" t="str">
            <v>Raju Singh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</v>
          </cell>
          <cell r="P30">
            <v>0</v>
          </cell>
          <cell r="Q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Q30">
            <v>69902</v>
          </cell>
        </row>
        <row r="31">
          <cell r="A31" t="str">
            <v>F146017</v>
          </cell>
          <cell r="B31">
            <v>46017</v>
          </cell>
          <cell r="C31" t="str">
            <v>Raju Singh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</v>
          </cell>
          <cell r="P31">
            <v>0</v>
          </cell>
          <cell r="Q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Q31">
            <v>69902</v>
          </cell>
        </row>
        <row r="32">
          <cell r="A32" t="str">
            <v>F146018</v>
          </cell>
          <cell r="B32">
            <v>46018</v>
          </cell>
          <cell r="C32" t="str">
            <v>Raju Singh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8</v>
          </cell>
          <cell r="P32">
            <v>0</v>
          </cell>
          <cell r="Q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Q32">
            <v>69902</v>
          </cell>
        </row>
        <row r="33">
          <cell r="A33" t="str">
            <v>F146019</v>
          </cell>
          <cell r="B33">
            <v>46019</v>
          </cell>
          <cell r="C33" t="str">
            <v>Raju Singh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8</v>
          </cell>
          <cell r="P33">
            <v>0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Q33">
            <v>69902</v>
          </cell>
        </row>
        <row r="34">
          <cell r="A34" t="str">
            <v>F146020</v>
          </cell>
          <cell r="B34">
            <v>46020</v>
          </cell>
          <cell r="C34" t="str">
            <v>Raju Singh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8</v>
          </cell>
          <cell r="P34">
            <v>0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Q34">
            <v>69902</v>
          </cell>
        </row>
        <row r="35">
          <cell r="A35" t="str">
            <v>F146021</v>
          </cell>
          <cell r="B35">
            <v>46021</v>
          </cell>
          <cell r="C35" t="str">
            <v>Raju Singh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</v>
          </cell>
          <cell r="P35">
            <v>0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Q35">
            <v>69902</v>
          </cell>
        </row>
        <row r="36">
          <cell r="A36" t="str">
            <v>F146022</v>
          </cell>
          <cell r="B36">
            <v>46022</v>
          </cell>
          <cell r="C36" t="str">
            <v>Raju Singh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9</v>
          </cell>
          <cell r="P36">
            <v>0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Q36">
            <v>69902</v>
          </cell>
        </row>
      </sheetData>
      <sheetData sheetId="15" refreshError="1"/>
      <sheetData sheetId="16" refreshError="1">
        <row r="6">
          <cell r="A6" t="str">
            <v>F245992</v>
          </cell>
          <cell r="B6">
            <v>45992</v>
          </cell>
          <cell r="C6" t="str">
            <v>Mr. Girish Malik</v>
          </cell>
          <cell r="D6">
            <v>30.720000000000002</v>
          </cell>
          <cell r="E6">
            <v>0</v>
          </cell>
          <cell r="F6">
            <v>30.72</v>
          </cell>
          <cell r="G6">
            <v>22.503999999999998</v>
          </cell>
          <cell r="H6">
            <v>6.46</v>
          </cell>
          <cell r="I6">
            <v>40.47</v>
          </cell>
          <cell r="J6">
            <v>1.46</v>
          </cell>
          <cell r="K6">
            <v>28.45</v>
          </cell>
          <cell r="L6">
            <v>5.23</v>
          </cell>
          <cell r="M6">
            <v>14.61</v>
          </cell>
          <cell r="N6">
            <v>0.86</v>
          </cell>
          <cell r="O6">
            <v>9</v>
          </cell>
          <cell r="P6">
            <v>59.706999999999994</v>
          </cell>
          <cell r="Q6">
            <v>19.251999999999999</v>
          </cell>
          <cell r="R6">
            <v>30</v>
          </cell>
          <cell r="S6">
            <v>20</v>
          </cell>
          <cell r="T6">
            <v>18</v>
          </cell>
          <cell r="U6">
            <v>68</v>
          </cell>
          <cell r="V6">
            <v>1.9435872395833331</v>
          </cell>
          <cell r="W6">
            <v>31.669999999999995</v>
          </cell>
          <cell r="X6">
            <v>0.970003157562362</v>
          </cell>
          <cell r="Y6" t="str">
            <v>55/22</v>
          </cell>
          <cell r="Z6">
            <v>55.174444444444447</v>
          </cell>
          <cell r="AA6">
            <v>21.621111111111112</v>
          </cell>
          <cell r="AB6">
            <v>0.45777777777777778</v>
          </cell>
          <cell r="AC6">
            <v>923.80277633463538</v>
          </cell>
          <cell r="AD6">
            <v>617.26389989908864</v>
          </cell>
          <cell r="AE6">
            <v>0.59725350321374471</v>
          </cell>
          <cell r="AF6">
            <v>0.89385503434534985</v>
          </cell>
          <cell r="AG6">
            <v>483.17379166666672</v>
          </cell>
          <cell r="AH6">
            <v>461.07230520833326</v>
          </cell>
          <cell r="AI6">
            <v>0.45060711772078293</v>
          </cell>
          <cell r="AJ6">
            <v>0.51123812065361829</v>
          </cell>
          <cell r="AK6" t="str">
            <v>10/70</v>
          </cell>
          <cell r="AL6">
            <v>2.5390625E-2</v>
          </cell>
          <cell r="AM6">
            <v>146.5</v>
          </cell>
          <cell r="AN6">
            <v>6.6680000000000001</v>
          </cell>
          <cell r="AO6">
            <v>4.9859375000000004</v>
          </cell>
          <cell r="AP6">
            <v>28.068248031173216</v>
          </cell>
          <cell r="AQ6">
            <v>1.0006830601092898</v>
          </cell>
          <cell r="AR6">
            <v>2.1366666666666667</v>
          </cell>
          <cell r="AS6">
            <v>0.78897456964886947</v>
          </cell>
          <cell r="AT6">
            <v>460.8506944444444</v>
          </cell>
          <cell r="AU6">
            <v>208.33333333333334</v>
          </cell>
          <cell r="AV6">
            <v>36350.875651041664</v>
          </cell>
          <cell r="AW6">
            <v>14863.020833333332</v>
          </cell>
          <cell r="AX6">
            <v>1792.08984375</v>
          </cell>
          <cell r="AY6">
            <v>1643.3772786458335</v>
          </cell>
          <cell r="AZ6">
            <v>29167.734375000004</v>
          </cell>
          <cell r="BA6">
            <v>838.17097981770848</v>
          </cell>
          <cell r="BB6">
            <v>9473.28125</v>
          </cell>
          <cell r="BC6">
            <v>94128.550211588547</v>
          </cell>
          <cell r="BD6">
            <v>24411.478613281248</v>
          </cell>
          <cell r="BE6">
            <v>14125.989583333334</v>
          </cell>
          <cell r="BF6">
            <v>1664.736328125</v>
          </cell>
          <cell r="BG6">
            <v>710.13316178385412</v>
          </cell>
          <cell r="BH6">
            <v>81196.730590169274</v>
          </cell>
          <cell r="BK6">
            <v>10</v>
          </cell>
          <cell r="BN6">
            <v>10</v>
          </cell>
          <cell r="BO6" t="str">
            <v>Electrode Lengths Measurment.</v>
          </cell>
          <cell r="BQ6">
            <v>69902</v>
          </cell>
        </row>
        <row r="7">
          <cell r="A7" t="str">
            <v>F245993</v>
          </cell>
          <cell r="B7">
            <v>45993</v>
          </cell>
          <cell r="C7" t="str">
            <v>Mr. Girish Malik</v>
          </cell>
          <cell r="D7">
            <v>29.63</v>
          </cell>
          <cell r="E7">
            <v>0.28000000000000114</v>
          </cell>
          <cell r="F7">
            <v>29.91</v>
          </cell>
          <cell r="G7">
            <v>21.58</v>
          </cell>
          <cell r="H7">
            <v>5.76</v>
          </cell>
          <cell r="I7">
            <v>40.21</v>
          </cell>
          <cell r="J7">
            <v>1.38</v>
          </cell>
          <cell r="K7">
            <v>28.28</v>
          </cell>
          <cell r="L7">
            <v>5.0199999999999996</v>
          </cell>
          <cell r="M7">
            <v>15.62</v>
          </cell>
          <cell r="N7">
            <v>0.83</v>
          </cell>
          <cell r="O7">
            <v>9</v>
          </cell>
          <cell r="P7">
            <v>59.881</v>
          </cell>
          <cell r="Q7">
            <v>19.170000000000002</v>
          </cell>
          <cell r="R7">
            <v>30</v>
          </cell>
          <cell r="S7">
            <v>20</v>
          </cell>
          <cell r="T7">
            <v>18</v>
          </cell>
          <cell r="U7">
            <v>68</v>
          </cell>
          <cell r="V7">
            <v>2.0209584880188998</v>
          </cell>
          <cell r="W7">
            <v>30.84</v>
          </cell>
          <cell r="X7">
            <v>0.96076523994811924</v>
          </cell>
          <cell r="Y7" t="str">
            <v>55/22</v>
          </cell>
          <cell r="Z7">
            <v>55.143333333333331</v>
          </cell>
          <cell r="AA7">
            <v>21.798888888888886</v>
          </cell>
          <cell r="AB7">
            <v>0.4466666666666666</v>
          </cell>
          <cell r="AC7">
            <v>646.91752095848813</v>
          </cell>
          <cell r="AD7">
            <v>641.90677177860277</v>
          </cell>
          <cell r="AE7">
            <v>0.85240129609771098</v>
          </cell>
          <cell r="AF7">
            <v>0.85905517370601248</v>
          </cell>
          <cell r="AG7">
            <v>575.82172392845098</v>
          </cell>
          <cell r="AH7">
            <v>475.83126236922044</v>
          </cell>
          <cell r="AI7">
            <v>0.43276498007007835</v>
          </cell>
          <cell r="AJ7">
            <v>0.4913458271851206</v>
          </cell>
          <cell r="AK7" t="str">
            <v>10/70</v>
          </cell>
          <cell r="AL7">
            <v>2.6999662504218699E-2</v>
          </cell>
          <cell r="AM7">
            <v>141.5</v>
          </cell>
          <cell r="AN7">
            <v>6.4710000000000001</v>
          </cell>
          <cell r="AO7">
            <v>4.9939588255146816</v>
          </cell>
          <cell r="AP7">
            <v>28.024131264347492</v>
          </cell>
          <cell r="AQ7">
            <v>0.9665300546448089</v>
          </cell>
          <cell r="AR7">
            <v>2.1733333333333333</v>
          </cell>
          <cell r="AS7">
            <v>0.79344788531343113</v>
          </cell>
          <cell r="AT7">
            <v>485.6631944444444</v>
          </cell>
          <cell r="AU7">
            <v>266.66666666666669</v>
          </cell>
          <cell r="AV7">
            <v>25574.946675666553</v>
          </cell>
          <cell r="AW7">
            <v>17627.134660816744</v>
          </cell>
          <cell r="AX7">
            <v>1990.1451231859603</v>
          </cell>
          <cell r="AY7">
            <v>1558.9385757678028</v>
          </cell>
          <cell r="AZ7">
            <v>29214.659129260886</v>
          </cell>
          <cell r="BA7">
            <v>759.6582416469796</v>
          </cell>
          <cell r="BB7">
            <v>9488.5217684778945</v>
          </cell>
          <cell r="BC7">
            <v>86214.004174822825</v>
          </cell>
          <cell r="BD7">
            <v>25358.279311508606</v>
          </cell>
          <cell r="BE7">
            <v>14573.25683428957</v>
          </cell>
          <cell r="BF7">
            <v>1756.7769152885589</v>
          </cell>
          <cell r="BG7">
            <v>724.61910766115432</v>
          </cell>
          <cell r="BH7">
            <v>82675.051642254475</v>
          </cell>
          <cell r="BO7" t="str">
            <v>NIL</v>
          </cell>
          <cell r="BQ7">
            <v>69902</v>
          </cell>
        </row>
        <row r="8">
          <cell r="A8" t="str">
            <v>F245994</v>
          </cell>
          <cell r="B8">
            <v>45994</v>
          </cell>
          <cell r="C8" t="str">
            <v>Mr. Girish Malik</v>
          </cell>
          <cell r="D8">
            <v>31.57</v>
          </cell>
          <cell r="E8">
            <v>0</v>
          </cell>
          <cell r="F8">
            <v>31.57</v>
          </cell>
          <cell r="G8">
            <v>22.765000000000001</v>
          </cell>
          <cell r="H8">
            <v>4.8899999999999997</v>
          </cell>
          <cell r="I8">
            <v>39.6</v>
          </cell>
          <cell r="J8">
            <v>1.35</v>
          </cell>
          <cell r="K8">
            <v>28.62</v>
          </cell>
          <cell r="L8">
            <v>5.24</v>
          </cell>
          <cell r="M8">
            <v>16.510000000000002</v>
          </cell>
          <cell r="N8">
            <v>0.86</v>
          </cell>
          <cell r="O8">
            <v>9</v>
          </cell>
          <cell r="P8">
            <v>61.813000000000002</v>
          </cell>
          <cell r="Q8">
            <v>20.189</v>
          </cell>
          <cell r="R8">
            <v>30</v>
          </cell>
          <cell r="S8">
            <v>20</v>
          </cell>
          <cell r="T8">
            <v>20</v>
          </cell>
          <cell r="U8">
            <v>70</v>
          </cell>
          <cell r="V8">
            <v>1.9579664238200825</v>
          </cell>
          <cell r="W8">
            <v>32.549999999999997</v>
          </cell>
          <cell r="X8">
            <v>0.96989247311827964</v>
          </cell>
          <cell r="Y8" t="str">
            <v>55/22</v>
          </cell>
          <cell r="Z8">
            <v>55.106666666666669</v>
          </cell>
          <cell r="AA8">
            <v>21.76</v>
          </cell>
          <cell r="AB8">
            <v>0.44333333333333336</v>
          </cell>
          <cell r="AC8">
            <v>624.09790566993991</v>
          </cell>
          <cell r="AD8">
            <v>622.02310621792844</v>
          </cell>
          <cell r="AE8">
            <v>0.88298111828323211</v>
          </cell>
          <cell r="AF8">
            <v>0.88592636054519514</v>
          </cell>
          <cell r="AG8">
            <v>476.29971238517584</v>
          </cell>
          <cell r="AH8">
            <v>469.71746594868546</v>
          </cell>
          <cell r="AI8">
            <v>0.46486445060816067</v>
          </cell>
          <cell r="AJ8">
            <v>0.50224512139985888</v>
          </cell>
          <cell r="AK8" t="str">
            <v>10/70</v>
          </cell>
          <cell r="AL8">
            <v>2.5340513145391194E-2</v>
          </cell>
          <cell r="AM8">
            <v>147.1</v>
          </cell>
          <cell r="AN8">
            <v>6.5069999999999997</v>
          </cell>
          <cell r="AO8">
            <v>4.8656002534051312</v>
          </cell>
          <cell r="AP8">
            <v>28.248154355481404</v>
          </cell>
          <cell r="AQ8">
            <v>1.0047814207650274</v>
          </cell>
          <cell r="AR8">
            <v>2.3199999999999998</v>
          </cell>
          <cell r="AS8">
            <v>0.78624412159601331</v>
          </cell>
          <cell r="AT8">
            <v>426.93607305936075</v>
          </cell>
          <cell r="AU8">
            <v>366.66666666666669</v>
          </cell>
          <cell r="AV8">
            <v>23984.413367120687</v>
          </cell>
          <cell r="AW8">
            <v>14495.026924295216</v>
          </cell>
          <cell r="AX8">
            <v>1758.378207158695</v>
          </cell>
          <cell r="AY8">
            <v>2461.2203040861577</v>
          </cell>
          <cell r="AZ8">
            <v>28463.761482420017</v>
          </cell>
          <cell r="BA8">
            <v>711.62800285080766</v>
          </cell>
          <cell r="BB8">
            <v>9244.6404814697489</v>
          </cell>
          <cell r="BC8">
            <v>81119.068769401318</v>
          </cell>
          <cell r="BD8">
            <v>24551.764745011085</v>
          </cell>
          <cell r="BE8">
            <v>14367.94425087108</v>
          </cell>
          <cell r="BF8">
            <v>1719.0370605004753</v>
          </cell>
          <cell r="BG8">
            <v>715.63727842888807</v>
          </cell>
          <cell r="BH8">
            <v>81524.005602787453</v>
          </cell>
          <cell r="BO8" t="str">
            <v>NIL</v>
          </cell>
          <cell r="BQ8">
            <v>69902</v>
          </cell>
        </row>
        <row r="9">
          <cell r="A9" t="str">
            <v>F245995</v>
          </cell>
          <cell r="B9">
            <v>45995</v>
          </cell>
          <cell r="C9" t="str">
            <v>Mr. Girish Malik</v>
          </cell>
          <cell r="D9">
            <v>31.380000000000003</v>
          </cell>
          <cell r="E9">
            <v>0</v>
          </cell>
          <cell r="F9">
            <v>31.38</v>
          </cell>
          <cell r="G9">
            <v>21.79</v>
          </cell>
          <cell r="H9">
            <v>5.66</v>
          </cell>
          <cell r="I9">
            <v>39.880000000000003</v>
          </cell>
          <cell r="J9">
            <v>1.38</v>
          </cell>
          <cell r="K9">
            <v>28.76</v>
          </cell>
          <cell r="L9">
            <v>5.0199999999999996</v>
          </cell>
          <cell r="M9">
            <v>16.21</v>
          </cell>
          <cell r="N9">
            <v>0.85</v>
          </cell>
          <cell r="O9">
            <v>9</v>
          </cell>
          <cell r="P9">
            <v>59.672000000000004</v>
          </cell>
          <cell r="Q9">
            <v>19.815000000000001</v>
          </cell>
          <cell r="R9">
            <v>38</v>
          </cell>
          <cell r="S9">
            <v>12</v>
          </cell>
          <cell r="T9">
            <v>19</v>
          </cell>
          <cell r="U9">
            <v>69</v>
          </cell>
          <cell r="V9">
            <v>1.9015933715742512</v>
          </cell>
          <cell r="W9">
            <v>32.36</v>
          </cell>
          <cell r="X9">
            <v>0.96971569839307781</v>
          </cell>
          <cell r="Y9" t="str">
            <v>55/22</v>
          </cell>
          <cell r="Z9">
            <v>54.712222222222216</v>
          </cell>
          <cell r="AA9">
            <v>21.47111111111111</v>
          </cell>
          <cell r="AB9">
            <v>0.46555555555555561</v>
          </cell>
          <cell r="AC9">
            <v>679.51645035054185</v>
          </cell>
          <cell r="AD9">
            <v>604.65090014977704</v>
          </cell>
          <cell r="AE9">
            <v>0.80516405738224361</v>
          </cell>
          <cell r="AF9">
            <v>0.90485637594634438</v>
          </cell>
          <cell r="AG9">
            <v>500.14265391969411</v>
          </cell>
          <cell r="AH9">
            <v>464.16315793499052</v>
          </cell>
          <cell r="AI9">
            <v>0.52943782452078736</v>
          </cell>
          <cell r="AJ9">
            <v>0.50267565873876885</v>
          </cell>
          <cell r="AK9" t="str">
            <v>10/70</v>
          </cell>
          <cell r="AL9">
            <v>2.4856596558317397E-2</v>
          </cell>
          <cell r="AM9">
            <v>145.6</v>
          </cell>
          <cell r="AN9">
            <v>6.5759999999999996</v>
          </cell>
          <cell r="AO9">
            <v>4.8494582536647544</v>
          </cell>
          <cell r="AP9">
            <v>28.338354486894179</v>
          </cell>
          <cell r="AQ9">
            <v>0.99453551912568317</v>
          </cell>
          <cell r="AR9">
            <v>2.2233333333333332</v>
          </cell>
          <cell r="AS9">
            <v>0.78167554947496853</v>
          </cell>
          <cell r="AT9">
            <v>483.45847953216372</v>
          </cell>
          <cell r="AU9">
            <v>191.66666666666666</v>
          </cell>
          <cell r="AV9">
            <v>27115.135117909496</v>
          </cell>
          <cell r="AW9">
            <v>15386.61567877629</v>
          </cell>
          <cell r="AX9">
            <v>1624.4741873804971</v>
          </cell>
          <cell r="AY9">
            <v>2230.0685149776928</v>
          </cell>
          <cell r="AZ9">
            <v>28369.330783938814</v>
          </cell>
          <cell r="BA9">
            <v>747.25624282982778</v>
          </cell>
          <cell r="BB9">
            <v>9213.9706819630337</v>
          </cell>
          <cell r="BC9">
            <v>84686.851207775646</v>
          </cell>
          <cell r="BD9">
            <v>23875.666411727212</v>
          </cell>
          <cell r="BE9">
            <v>14208.553218610581</v>
          </cell>
          <cell r="BF9">
            <v>1699.9139579349905</v>
          </cell>
          <cell r="BG9">
            <v>703.83532887189301</v>
          </cell>
          <cell r="BH9">
            <v>80301.338898024216</v>
          </cell>
          <cell r="BO9" t="str">
            <v>NIL</v>
          </cell>
          <cell r="BQ9">
            <v>69902</v>
          </cell>
        </row>
        <row r="10">
          <cell r="A10" t="str">
            <v>F245996</v>
          </cell>
          <cell r="B10">
            <v>45996</v>
          </cell>
          <cell r="C10" t="str">
            <v>Mr. Girish Malik</v>
          </cell>
          <cell r="D10">
            <v>31</v>
          </cell>
          <cell r="E10">
            <v>0</v>
          </cell>
          <cell r="F10">
            <v>31</v>
          </cell>
          <cell r="G10">
            <v>22.01</v>
          </cell>
          <cell r="H10">
            <v>6.02</v>
          </cell>
          <cell r="I10">
            <v>39.28</v>
          </cell>
          <cell r="J10">
            <v>1.41</v>
          </cell>
          <cell r="K10">
            <v>28.42</v>
          </cell>
          <cell r="L10">
            <v>5.21</v>
          </cell>
          <cell r="M10">
            <v>16.52</v>
          </cell>
          <cell r="N10">
            <v>0.86</v>
          </cell>
          <cell r="O10">
            <v>9</v>
          </cell>
          <cell r="P10">
            <v>61.005000000000003</v>
          </cell>
          <cell r="Q10">
            <v>20.012</v>
          </cell>
          <cell r="R10">
            <v>30</v>
          </cell>
          <cell r="S10">
            <v>20</v>
          </cell>
          <cell r="T10">
            <v>20</v>
          </cell>
          <cell r="U10">
            <v>70</v>
          </cell>
          <cell r="V10">
            <v>1.9679032258064517</v>
          </cell>
          <cell r="W10">
            <v>31.960000000000008</v>
          </cell>
          <cell r="X10">
            <v>0.96996245306633266</v>
          </cell>
          <cell r="Y10" t="str">
            <v>55/22</v>
          </cell>
          <cell r="Z10">
            <v>55.142222222222216</v>
          </cell>
          <cell r="AA10">
            <v>21.425555555555562</v>
          </cell>
          <cell r="AB10">
            <v>0.46888888888888897</v>
          </cell>
          <cell r="AC10">
            <v>650.41429648387111</v>
          </cell>
          <cell r="AD10">
            <v>624.97497706774186</v>
          </cell>
          <cell r="AE10">
            <v>0.84780150928908171</v>
          </cell>
          <cell r="AF10">
            <v>0.88231088036417937</v>
          </cell>
          <cell r="AG10">
            <v>532.67456000000016</v>
          </cell>
          <cell r="AH10">
            <v>474.50013858064523</v>
          </cell>
          <cell r="AI10">
            <v>0.48684469662988095</v>
          </cell>
          <cell r="AJ10">
            <v>0.47959771596656886</v>
          </cell>
          <cell r="AK10" t="str">
            <v>10/70</v>
          </cell>
          <cell r="AL10">
            <v>2.5161290322580646E-2</v>
          </cell>
          <cell r="AM10">
            <v>146.1</v>
          </cell>
          <cell r="AN10">
            <v>6.5990000000000002</v>
          </cell>
          <cell r="AO10">
            <v>4.9257741935483867</v>
          </cell>
          <cell r="AP10">
            <v>28.358471712261601</v>
          </cell>
          <cell r="AQ10">
            <v>0.99795081967213128</v>
          </cell>
          <cell r="AR10">
            <v>2.2399999999999998</v>
          </cell>
          <cell r="AS10">
            <v>0.78163767483101998</v>
          </cell>
          <cell r="AT10">
            <v>470.82638888888891</v>
          </cell>
          <cell r="AU10">
            <v>316.66666666666669</v>
          </cell>
          <cell r="AV10">
            <v>25736.643225806449</v>
          </cell>
          <cell r="AW10">
            <v>16329.806451612903</v>
          </cell>
          <cell r="AX10">
            <v>1728.8709677419358</v>
          </cell>
          <cell r="AY10">
            <v>2437.9080645161289</v>
          </cell>
          <cell r="AZ10">
            <v>28815.779032258062</v>
          </cell>
          <cell r="BA10">
            <v>750.49007741935498</v>
          </cell>
          <cell r="BB10">
            <v>9358.9709677419341</v>
          </cell>
          <cell r="BC10">
            <v>85158.468787096775</v>
          </cell>
          <cell r="BD10">
            <v>24672.18090322581</v>
          </cell>
          <cell r="BE10">
            <v>14524.270967741937</v>
          </cell>
          <cell r="BF10">
            <v>1798.8193548387096</v>
          </cell>
          <cell r="BG10">
            <v>722.48958322580643</v>
          </cell>
          <cell r="BH10">
            <v>82330.418873548377</v>
          </cell>
          <cell r="BO10" t="str">
            <v>NIL</v>
          </cell>
          <cell r="BQ10">
            <v>69902</v>
          </cell>
        </row>
        <row r="11">
          <cell r="A11" t="str">
            <v>F245997</v>
          </cell>
          <cell r="B11">
            <v>45997</v>
          </cell>
          <cell r="C11" t="str">
            <v>Mr. Girish Malik</v>
          </cell>
          <cell r="D11">
            <v>30.12</v>
          </cell>
          <cell r="E11">
            <v>0.27999999999999758</v>
          </cell>
          <cell r="F11">
            <v>30.4</v>
          </cell>
          <cell r="G11">
            <v>21.26</v>
          </cell>
          <cell r="H11">
            <v>6.08</v>
          </cell>
          <cell r="I11">
            <v>39.520000000000003</v>
          </cell>
          <cell r="J11">
            <v>1.44</v>
          </cell>
          <cell r="K11">
            <v>28.32</v>
          </cell>
          <cell r="L11">
            <v>5.12</v>
          </cell>
          <cell r="M11">
            <v>16.32</v>
          </cell>
          <cell r="N11">
            <v>0.85</v>
          </cell>
          <cell r="O11">
            <v>9</v>
          </cell>
          <cell r="P11">
            <v>60.241</v>
          </cell>
          <cell r="Q11">
            <v>20.503999999999998</v>
          </cell>
          <cell r="R11">
            <v>30</v>
          </cell>
          <cell r="S11">
            <v>20</v>
          </cell>
          <cell r="T11">
            <v>19</v>
          </cell>
          <cell r="U11">
            <v>69</v>
          </cell>
          <cell r="V11">
            <v>2.0000332005312083</v>
          </cell>
          <cell r="W11">
            <v>31.335000000000004</v>
          </cell>
          <cell r="X11">
            <v>0.96122546673049292</v>
          </cell>
          <cell r="Y11" t="str">
            <v>55/22</v>
          </cell>
          <cell r="Z11">
            <v>55.118888888888897</v>
          </cell>
          <cell r="AA11">
            <v>21.554444444444442</v>
          </cell>
          <cell r="AB11">
            <v>0.45555555555555549</v>
          </cell>
          <cell r="AC11">
            <v>630.89880899734396</v>
          </cell>
          <cell r="AD11">
            <v>634.66029968459497</v>
          </cell>
          <cell r="AE11">
            <v>0.87365656905402311</v>
          </cell>
          <cell r="AF11">
            <v>0.86847860054081127</v>
          </cell>
          <cell r="AG11">
            <v>503.93050730411687</v>
          </cell>
          <cell r="AH11">
            <v>501.24712138114199</v>
          </cell>
          <cell r="AI11">
            <v>0.48772280714440613</v>
          </cell>
          <cell r="AJ11">
            <v>0.47438438727895094</v>
          </cell>
          <cell r="AK11" t="str">
            <v>10/70</v>
          </cell>
          <cell r="AL11">
            <v>0</v>
          </cell>
          <cell r="AM11">
            <v>146</v>
          </cell>
          <cell r="AN11">
            <v>6.5039999999999996</v>
          </cell>
          <cell r="AO11">
            <v>5.0632138114209821</v>
          </cell>
          <cell r="AP11">
            <v>28.467562511541328</v>
          </cell>
          <cell r="AQ11">
            <v>0.99726775956284164</v>
          </cell>
          <cell r="AR11">
            <v>2.1633333333333331</v>
          </cell>
          <cell r="AS11">
            <v>0.78280120196157876</v>
          </cell>
          <cell r="AT11">
            <v>478.1331018518519</v>
          </cell>
          <cell r="AU11">
            <v>158.33333333333334</v>
          </cell>
          <cell r="AV11">
            <v>25065.877158034527</v>
          </cell>
          <cell r="AW11">
            <v>15403.452855245683</v>
          </cell>
          <cell r="AX11">
            <v>1819.7211155378486</v>
          </cell>
          <cell r="AY11">
            <v>2317.939907038513</v>
          </cell>
          <cell r="AZ11">
            <v>29619.800796812746</v>
          </cell>
          <cell r="BA11">
            <v>742.26791832669323</v>
          </cell>
          <cell r="BB11">
            <v>9620.1062416998666</v>
          </cell>
          <cell r="BC11">
            <v>84589.165992695867</v>
          </cell>
          <cell r="BD11">
            <v>25042.231573705179</v>
          </cell>
          <cell r="BE11">
            <v>15368.871181938912</v>
          </cell>
          <cell r="BF11">
            <v>1820.6175298804781</v>
          </cell>
          <cell r="BG11">
            <v>741.6946098937583</v>
          </cell>
          <cell r="BH11">
            <v>84531.261840969441</v>
          </cell>
          <cell r="BO11" t="str">
            <v>NIL</v>
          </cell>
          <cell r="BQ11">
            <v>69902</v>
          </cell>
        </row>
        <row r="12">
          <cell r="A12" t="str">
            <v>F245998</v>
          </cell>
          <cell r="B12">
            <v>45998</v>
          </cell>
          <cell r="C12" t="str">
            <v>Mr. Girish Malik</v>
          </cell>
          <cell r="D12">
            <v>30</v>
          </cell>
          <cell r="E12">
            <v>0</v>
          </cell>
          <cell r="F12">
            <v>30</v>
          </cell>
          <cell r="G12">
            <v>20.96</v>
          </cell>
          <cell r="H12">
            <v>6.03</v>
          </cell>
          <cell r="I12">
            <v>40.159999999999997</v>
          </cell>
          <cell r="J12">
            <v>1.28</v>
          </cell>
          <cell r="K12">
            <v>27.72</v>
          </cell>
          <cell r="L12">
            <v>5.04</v>
          </cell>
          <cell r="M12">
            <v>16.579999999999998</v>
          </cell>
          <cell r="N12">
            <v>0.82</v>
          </cell>
          <cell r="O12">
            <v>9</v>
          </cell>
          <cell r="P12">
            <v>61.102000000000004</v>
          </cell>
          <cell r="Q12">
            <v>21.263999999999999</v>
          </cell>
          <cell r="R12">
            <v>30</v>
          </cell>
          <cell r="S12">
            <v>20</v>
          </cell>
          <cell r="T12">
            <v>20</v>
          </cell>
          <cell r="U12">
            <v>70</v>
          </cell>
          <cell r="V12">
            <v>2.0367333333333333</v>
          </cell>
          <cell r="W12">
            <v>30.925000000000004</v>
          </cell>
          <cell r="X12">
            <v>0.97008892481810816</v>
          </cell>
          <cell r="Y12" t="str">
            <v>55/22</v>
          </cell>
          <cell r="Z12">
            <v>55.142222222222223</v>
          </cell>
          <cell r="AA12">
            <v>21.534444444444446</v>
          </cell>
          <cell r="AB12">
            <v>0.4555555555555556</v>
          </cell>
          <cell r="AC12">
            <v>638.84331019999991</v>
          </cell>
          <cell r="AD12">
            <v>646.31876604000001</v>
          </cell>
          <cell r="AE12">
            <v>0.86315723029108793</v>
          </cell>
          <cell r="AF12">
            <v>0.85317377615505485</v>
          </cell>
          <cell r="AG12">
            <v>474.0707920000001</v>
          </cell>
          <cell r="AH12">
            <v>521.66841439999996</v>
          </cell>
          <cell r="AI12">
            <v>0.45302140322420908</v>
          </cell>
          <cell r="AJ12">
            <v>0.45965185203413367</v>
          </cell>
          <cell r="AK12" t="str">
            <v>10/70</v>
          </cell>
          <cell r="AL12">
            <v>0</v>
          </cell>
          <cell r="AM12">
            <v>145.1</v>
          </cell>
          <cell r="AN12">
            <v>6.1840000000000002</v>
          </cell>
          <cell r="AO12">
            <v>5.0427999999999997</v>
          </cell>
          <cell r="AP12">
            <v>28.700617219574298</v>
          </cell>
          <cell r="AQ12">
            <v>0.99112021857923505</v>
          </cell>
          <cell r="AR12">
            <v>2.186666666666667</v>
          </cell>
          <cell r="AS12">
            <v>0.78551553551390862</v>
          </cell>
          <cell r="AT12">
            <v>470.5405092592593</v>
          </cell>
          <cell r="AU12">
            <v>291.66666666666669</v>
          </cell>
          <cell r="AV12">
            <v>25182.270666666667</v>
          </cell>
          <cell r="AW12">
            <v>14618.8</v>
          </cell>
          <cell r="AX12">
            <v>1854.9</v>
          </cell>
          <cell r="AY12">
            <v>2669.6516666666666</v>
          </cell>
          <cell r="AZ12">
            <v>29500.379999999997</v>
          </cell>
          <cell r="BA12">
            <v>738.26002333333338</v>
          </cell>
          <cell r="BB12">
            <v>9581.32</v>
          </cell>
          <cell r="BC12">
            <v>84145.58235666668</v>
          </cell>
          <cell r="BD12">
            <v>25502.536733333331</v>
          </cell>
          <cell r="BE12">
            <v>15988.026666666667</v>
          </cell>
          <cell r="BF12">
            <v>1866.51</v>
          </cell>
          <cell r="BG12">
            <v>755.27105066666672</v>
          </cell>
          <cell r="BH12">
            <v>85863.69611733334</v>
          </cell>
          <cell r="BK12">
            <v>5</v>
          </cell>
          <cell r="BN12">
            <v>5</v>
          </cell>
          <cell r="BO12" t="str">
            <v>Over current trip.</v>
          </cell>
          <cell r="BQ12">
            <v>69902</v>
          </cell>
        </row>
        <row r="13">
          <cell r="A13" t="str">
            <v>F245999</v>
          </cell>
          <cell r="B13">
            <v>45999</v>
          </cell>
          <cell r="C13" t="str">
            <v>Mr. Girish Malik</v>
          </cell>
          <cell r="D13">
            <v>30.19</v>
          </cell>
          <cell r="E13">
            <v>0.27999999999999758</v>
          </cell>
          <cell r="F13">
            <v>30.47</v>
          </cell>
          <cell r="G13">
            <v>21.634999999999998</v>
          </cell>
          <cell r="H13">
            <v>6.26</v>
          </cell>
          <cell r="I13">
            <v>40.42</v>
          </cell>
          <cell r="J13">
            <v>1.32</v>
          </cell>
          <cell r="K13">
            <v>27.42</v>
          </cell>
          <cell r="L13">
            <v>5.0199999999999996</v>
          </cell>
          <cell r="M13">
            <v>16.32</v>
          </cell>
          <cell r="N13">
            <v>0.8</v>
          </cell>
          <cell r="O13">
            <v>9</v>
          </cell>
          <cell r="P13">
            <v>60.738999999999997</v>
          </cell>
          <cell r="Q13">
            <v>20.622</v>
          </cell>
          <cell r="R13">
            <v>29</v>
          </cell>
          <cell r="S13">
            <v>21</v>
          </cell>
          <cell r="T13">
            <v>20</v>
          </cell>
          <cell r="U13">
            <v>70</v>
          </cell>
          <cell r="V13">
            <v>2.0118913547532293</v>
          </cell>
          <cell r="W13">
            <v>31.410000000000004</v>
          </cell>
          <cell r="X13">
            <v>0.96115886660299266</v>
          </cell>
          <cell r="Y13" t="str">
            <v>55/22</v>
          </cell>
          <cell r="Z13">
            <v>54.822222222222223</v>
          </cell>
          <cell r="AA13">
            <v>21.499999999999996</v>
          </cell>
          <cell r="AB13">
            <v>0.45555555555555549</v>
          </cell>
          <cell r="AC13">
            <v>663.41427598542566</v>
          </cell>
          <cell r="AD13">
            <v>638.06567124875778</v>
          </cell>
          <cell r="AE13">
            <v>0.82636482521860288</v>
          </cell>
          <cell r="AF13">
            <v>0.85919404055901805</v>
          </cell>
          <cell r="AG13">
            <v>555.5640887711163</v>
          </cell>
          <cell r="AH13">
            <v>502.32857131500498</v>
          </cell>
          <cell r="AI13">
            <v>0.46922749026944188</v>
          </cell>
          <cell r="AJ13">
            <v>0.46776159201979706</v>
          </cell>
          <cell r="AK13" t="str">
            <v>10/70</v>
          </cell>
          <cell r="AL13">
            <v>2.2192779065915866E-2</v>
          </cell>
          <cell r="AM13">
            <v>146.30000000000001</v>
          </cell>
          <cell r="AN13">
            <v>6.3659999999999997</v>
          </cell>
          <cell r="AO13">
            <v>5.0568400132494205</v>
          </cell>
          <cell r="AP13">
            <v>29.065125558271472</v>
          </cell>
          <cell r="AQ13">
            <v>0.99931693989071058</v>
          </cell>
          <cell r="AR13">
            <v>2.1433333333333331</v>
          </cell>
          <cell r="AS13">
            <v>0.78374242934789518</v>
          </cell>
          <cell r="AT13">
            <v>477.82523148148147</v>
          </cell>
          <cell r="AU13">
            <v>191.66666666666666</v>
          </cell>
          <cell r="AV13">
            <v>26088.495197085129</v>
          </cell>
          <cell r="AW13">
            <v>16990.261676051672</v>
          </cell>
          <cell r="AX13">
            <v>1709.9701888042398</v>
          </cell>
          <cell r="AY13">
            <v>2521.0574693607155</v>
          </cell>
          <cell r="AZ13">
            <v>29582.514077509109</v>
          </cell>
          <cell r="BA13">
            <v>768.92298608810859</v>
          </cell>
          <cell r="BB13">
            <v>9607.9960251738994</v>
          </cell>
          <cell r="BC13">
            <v>87269.217620072857</v>
          </cell>
          <cell r="BD13">
            <v>25171.164590924149</v>
          </cell>
          <cell r="BE13">
            <v>15383.345478635309</v>
          </cell>
          <cell r="BF13">
            <v>1833.3885392514076</v>
          </cell>
          <cell r="BG13">
            <v>744.91470155680679</v>
          </cell>
          <cell r="BH13">
            <v>84844.380882411395</v>
          </cell>
          <cell r="BO13" t="str">
            <v>NIL</v>
          </cell>
          <cell r="BQ13">
            <v>69902</v>
          </cell>
        </row>
        <row r="14">
          <cell r="A14" t="str">
            <v>F246000</v>
          </cell>
          <cell r="B14">
            <v>46000</v>
          </cell>
          <cell r="C14" t="str">
            <v>Mr. Girish Malik</v>
          </cell>
          <cell r="D14">
            <v>29.87</v>
          </cell>
          <cell r="E14">
            <v>0.25499999999999901</v>
          </cell>
          <cell r="F14">
            <v>30.125</v>
          </cell>
          <cell r="G14">
            <v>21.68</v>
          </cell>
          <cell r="H14">
            <v>6.76</v>
          </cell>
          <cell r="I14">
            <v>40.520000000000003</v>
          </cell>
          <cell r="J14">
            <v>1.38</v>
          </cell>
          <cell r="K14">
            <v>28.21</v>
          </cell>
          <cell r="L14">
            <v>5.0199999999999996</v>
          </cell>
          <cell r="M14">
            <v>15.08</v>
          </cell>
          <cell r="N14">
            <v>0.82</v>
          </cell>
          <cell r="O14">
            <v>9</v>
          </cell>
          <cell r="P14">
            <v>59.497</v>
          </cell>
          <cell r="Q14">
            <v>19.791999999999998</v>
          </cell>
          <cell r="R14">
            <v>28</v>
          </cell>
          <cell r="S14">
            <v>21</v>
          </cell>
          <cell r="T14">
            <v>18</v>
          </cell>
          <cell r="U14">
            <v>67</v>
          </cell>
          <cell r="V14">
            <v>1.9918647472380313</v>
          </cell>
          <cell r="W14">
            <v>31.06</v>
          </cell>
          <cell r="X14">
            <v>0.9616870573084354</v>
          </cell>
          <cell r="Y14" t="str">
            <v>55/22</v>
          </cell>
          <cell r="Z14">
            <v>55.131111111111103</v>
          </cell>
          <cell r="AA14">
            <v>21.053333333333331</v>
          </cell>
          <cell r="AB14">
            <v>0.49555555555555564</v>
          </cell>
          <cell r="AC14">
            <v>642.70545902243055</v>
          </cell>
          <cell r="AD14">
            <v>631.4211003682625</v>
          </cell>
          <cell r="AE14">
            <v>0.85779746129691758</v>
          </cell>
          <cell r="AF14">
            <v>0.87312747513437694</v>
          </cell>
          <cell r="AG14">
            <v>527.66747639772348</v>
          </cell>
          <cell r="AH14">
            <v>488.6897762303314</v>
          </cell>
          <cell r="AI14">
            <v>0.47430916339580159</v>
          </cell>
          <cell r="AJ14">
            <v>0.4598835027652235</v>
          </cell>
          <cell r="AK14" t="str">
            <v>10/70</v>
          </cell>
          <cell r="AL14">
            <v>2.6782725142283227E-2</v>
          </cell>
          <cell r="AM14">
            <v>143.19999999999999</v>
          </cell>
          <cell r="AN14">
            <v>6.2910000000000004</v>
          </cell>
          <cell r="AO14">
            <v>5.0047204553063267</v>
          </cell>
          <cell r="AP14">
            <v>29.059146228275619</v>
          </cell>
          <cell r="AQ14">
            <v>0.97814207650273233</v>
          </cell>
          <cell r="AR14">
            <v>2.1393333333333335</v>
          </cell>
          <cell r="AS14">
            <v>0.78183423883244385</v>
          </cell>
          <cell r="AT14">
            <v>490.33806146572101</v>
          </cell>
          <cell r="AU14">
            <v>225</v>
          </cell>
          <cell r="AV14">
            <v>25648.008369601608</v>
          </cell>
          <cell r="AW14">
            <v>16226.581854703716</v>
          </cell>
          <cell r="AX14">
            <v>1813.25744894543</v>
          </cell>
          <cell r="AY14">
            <v>2553.2022095748239</v>
          </cell>
          <cell r="AZ14">
            <v>29277.614663542012</v>
          </cell>
          <cell r="BA14">
            <v>755.18664546367597</v>
          </cell>
          <cell r="BB14">
            <v>9508.9688650820208</v>
          </cell>
          <cell r="BC14">
            <v>85782.82005691329</v>
          </cell>
          <cell r="BD14">
            <v>24903.774188148644</v>
          </cell>
          <cell r="BE14">
            <v>15007.3786407767</v>
          </cell>
          <cell r="BF14">
            <v>1841.3692668228991</v>
          </cell>
          <cell r="BG14">
            <v>735.83338968865075</v>
          </cell>
          <cell r="BH14">
            <v>83828.141223635757</v>
          </cell>
          <cell r="BO14" t="str">
            <v>NIL</v>
          </cell>
          <cell r="BQ14">
            <v>69902</v>
          </cell>
        </row>
        <row r="15">
          <cell r="A15" t="str">
            <v>F246001</v>
          </cell>
          <cell r="B15">
            <v>46001</v>
          </cell>
          <cell r="C15" t="str">
            <v>Mr. Girish Malik</v>
          </cell>
          <cell r="D15">
            <v>31.380000000000003</v>
          </cell>
          <cell r="E15">
            <v>0.27999999999999758</v>
          </cell>
          <cell r="F15">
            <v>31.66</v>
          </cell>
          <cell r="G15">
            <v>24.019999999999996</v>
          </cell>
          <cell r="H15">
            <v>6.27</v>
          </cell>
          <cell r="I15">
            <v>40.880000000000003</v>
          </cell>
          <cell r="J15">
            <v>1.42</v>
          </cell>
          <cell r="K15">
            <v>28.02</v>
          </cell>
          <cell r="L15">
            <v>4.8499999999999996</v>
          </cell>
          <cell r="M15">
            <v>15.21</v>
          </cell>
          <cell r="N15">
            <v>0.8</v>
          </cell>
          <cell r="O15">
            <v>9</v>
          </cell>
          <cell r="P15">
            <v>62.161000000000001</v>
          </cell>
          <cell r="Q15">
            <v>19.558</v>
          </cell>
          <cell r="R15">
            <v>28</v>
          </cell>
          <cell r="S15">
            <v>22</v>
          </cell>
          <cell r="T15">
            <v>20</v>
          </cell>
          <cell r="U15">
            <v>70</v>
          </cell>
          <cell r="V15">
            <v>1.9809114085404715</v>
          </cell>
          <cell r="W15">
            <v>32.64</v>
          </cell>
          <cell r="X15">
            <v>0.96139705882352944</v>
          </cell>
          <cell r="Y15" t="str">
            <v>55/22</v>
          </cell>
          <cell r="Z15">
            <v>55.097777777777793</v>
          </cell>
          <cell r="AA15">
            <v>21.523333333333326</v>
          </cell>
          <cell r="AB15">
            <v>0.45444444444444443</v>
          </cell>
          <cell r="AC15">
            <v>725.02049069471002</v>
          </cell>
          <cell r="AD15">
            <v>627.84182134799232</v>
          </cell>
          <cell r="AE15">
            <v>0.75994787023168753</v>
          </cell>
          <cell r="AF15">
            <v>0.87757418993659053</v>
          </cell>
          <cell r="AG15">
            <v>546.94567750159331</v>
          </cell>
          <cell r="AH15">
            <v>459.26890452517529</v>
          </cell>
          <cell r="AI15">
            <v>0.45012306191436507</v>
          </cell>
          <cell r="AJ15">
            <v>0.47482338754562731</v>
          </cell>
          <cell r="AK15" t="str">
            <v>10/70</v>
          </cell>
          <cell r="AL15">
            <v>2.708731676226896E-2</v>
          </cell>
          <cell r="AM15">
            <v>146.1</v>
          </cell>
          <cell r="AN15">
            <v>6.2140000000000004</v>
          </cell>
          <cell r="AO15">
            <v>4.853855959209687</v>
          </cell>
          <cell r="AP15">
            <v>29.06194883452325</v>
          </cell>
          <cell r="AQ15">
            <v>0.99795081967213128</v>
          </cell>
          <cell r="AR15">
            <v>2.1700000000000004</v>
          </cell>
          <cell r="AS15">
            <v>0.780035178275157</v>
          </cell>
          <cell r="AT15">
            <v>505.18327183271839</v>
          </cell>
          <cell r="AU15">
            <v>291.66666666666669</v>
          </cell>
          <cell r="AV15">
            <v>28622.474506054808</v>
          </cell>
          <cell r="AW15">
            <v>16734.990439770554</v>
          </cell>
          <cell r="AX15">
            <v>1890.344168260038</v>
          </cell>
          <cell r="AY15">
            <v>1399.0551306564689</v>
          </cell>
          <cell r="AZ15">
            <v>28395.057361376668</v>
          </cell>
          <cell r="BA15">
            <v>770.41921606118535</v>
          </cell>
          <cell r="BB15">
            <v>9222.3263224984057</v>
          </cell>
          <cell r="BC15">
            <v>87034.667144678126</v>
          </cell>
          <cell r="BD15">
            <v>24761.660803059269</v>
          </cell>
          <cell r="BE15">
            <v>14091.956660293179</v>
          </cell>
          <cell r="BF15">
            <v>1828.3938814531548</v>
          </cell>
          <cell r="BG15">
            <v>704.76123836838747</v>
          </cell>
          <cell r="BH15">
            <v>80403.211397705541</v>
          </cell>
          <cell r="BO15" t="str">
            <v>NIL</v>
          </cell>
          <cell r="BQ15">
            <v>69902</v>
          </cell>
        </row>
        <row r="16">
          <cell r="A16" t="str">
            <v>F246002</v>
          </cell>
          <cell r="B16">
            <v>46002</v>
          </cell>
          <cell r="C16" t="str">
            <v>Mr. Girish Malik</v>
          </cell>
          <cell r="D16">
            <v>29.39</v>
          </cell>
          <cell r="E16">
            <v>0.25499999999999901</v>
          </cell>
          <cell r="F16">
            <v>29.645</v>
          </cell>
          <cell r="G16">
            <v>21.07</v>
          </cell>
          <cell r="H16">
            <v>6.08</v>
          </cell>
          <cell r="I16">
            <v>40.21</v>
          </cell>
          <cell r="J16">
            <v>1.34</v>
          </cell>
          <cell r="K16">
            <v>28.32</v>
          </cell>
          <cell r="L16">
            <v>4.6500000000000004</v>
          </cell>
          <cell r="M16">
            <v>15.52</v>
          </cell>
          <cell r="N16">
            <v>0.82</v>
          </cell>
          <cell r="O16">
            <v>9</v>
          </cell>
          <cell r="P16">
            <v>60.383000000000003</v>
          </cell>
          <cell r="Q16">
            <v>18.567</v>
          </cell>
          <cell r="R16">
            <v>24</v>
          </cell>
          <cell r="S16">
            <v>22</v>
          </cell>
          <cell r="T16">
            <v>22</v>
          </cell>
          <cell r="U16">
            <v>68</v>
          </cell>
          <cell r="V16">
            <v>2.054542361347397</v>
          </cell>
          <cell r="W16">
            <v>30.559999999999995</v>
          </cell>
          <cell r="X16">
            <v>0.961714659685864</v>
          </cell>
          <cell r="Y16" t="str">
            <v>55/22</v>
          </cell>
          <cell r="Z16">
            <v>54.818888888888893</v>
          </cell>
          <cell r="AA16">
            <v>22.125555555555554</v>
          </cell>
          <cell r="AB16">
            <v>0.40999999999999992</v>
          </cell>
          <cell r="AC16">
            <v>563.29892249064312</v>
          </cell>
          <cell r="AD16">
            <v>651.24343544062617</v>
          </cell>
          <cell r="AE16">
            <v>0.97317581660738006</v>
          </cell>
          <cell r="AF16">
            <v>0.84175725858639738</v>
          </cell>
          <cell r="AG16">
            <v>506.81678666212991</v>
          </cell>
          <cell r="AH16">
            <v>465.20148567539979</v>
          </cell>
          <cell r="AI16">
            <v>0.41934991827976387</v>
          </cell>
          <cell r="AJ16">
            <v>0.47734261996814126</v>
          </cell>
          <cell r="AK16" t="str">
            <v>10/70</v>
          </cell>
          <cell r="AL16">
            <v>2.7220142905750255E-2</v>
          </cell>
          <cell r="AM16">
            <v>143.19999999999999</v>
          </cell>
          <cell r="AN16">
            <v>6.1059999999999999</v>
          </cell>
          <cell r="AO16">
            <v>5.0801633208574337</v>
          </cell>
          <cell r="AP16">
            <v>29.075840930303215</v>
          </cell>
          <cell r="AQ16">
            <v>0.97814207650273233</v>
          </cell>
          <cell r="AR16">
            <v>2.1533333333333329</v>
          </cell>
          <cell r="AS16">
            <v>0.78210985974122949</v>
          </cell>
          <cell r="AT16">
            <v>496.95791245791247</v>
          </cell>
          <cell r="AU16">
            <v>216.66666666666666</v>
          </cell>
          <cell r="AV16">
            <v>21460.234773732562</v>
          </cell>
          <cell r="AW16">
            <v>15568.696835658387</v>
          </cell>
          <cell r="AX16">
            <v>2043.1439265056138</v>
          </cell>
          <cell r="AY16">
            <v>2079.4334807757741</v>
          </cell>
          <cell r="AZ16">
            <v>29718.955427015986</v>
          </cell>
          <cell r="BA16">
            <v>708.70464443688331</v>
          </cell>
          <cell r="BB16">
            <v>9652.3103096291234</v>
          </cell>
          <cell r="BC16">
            <v>81231.47939775433</v>
          </cell>
          <cell r="BD16">
            <v>25684.96437563797</v>
          </cell>
          <cell r="BE16">
            <v>14264.634229329702</v>
          </cell>
          <cell r="BF16">
            <v>1861.2453215379383</v>
          </cell>
          <cell r="BG16">
            <v>736.09232834297381</v>
          </cell>
          <cell r="BH16">
            <v>83997.635472269467</v>
          </cell>
          <cell r="BO16" t="str">
            <v>NIL</v>
          </cell>
          <cell r="BQ16">
            <v>69902</v>
          </cell>
        </row>
        <row r="17">
          <cell r="A17" t="str">
            <v>F246003</v>
          </cell>
          <cell r="B17">
            <v>46003</v>
          </cell>
          <cell r="C17" t="str">
            <v>Mr. Girish Malik</v>
          </cell>
          <cell r="D17">
            <v>31.290000000000003</v>
          </cell>
          <cell r="E17">
            <v>0</v>
          </cell>
          <cell r="F17">
            <v>31.29</v>
          </cell>
          <cell r="G17">
            <v>22.645</v>
          </cell>
          <cell r="H17">
            <v>6.37</v>
          </cell>
          <cell r="I17">
            <v>40.380000000000003</v>
          </cell>
          <cell r="J17">
            <v>1.3</v>
          </cell>
          <cell r="K17">
            <v>28.4</v>
          </cell>
          <cell r="L17">
            <v>4.78</v>
          </cell>
          <cell r="M17">
            <v>15.78</v>
          </cell>
          <cell r="N17">
            <v>0.82</v>
          </cell>
          <cell r="O17">
            <v>9</v>
          </cell>
          <cell r="P17">
            <v>62.161999999999992</v>
          </cell>
          <cell r="Q17">
            <v>18.691000000000003</v>
          </cell>
          <cell r="R17">
            <v>30</v>
          </cell>
          <cell r="S17">
            <v>20</v>
          </cell>
          <cell r="T17">
            <v>20</v>
          </cell>
          <cell r="U17">
            <v>70</v>
          </cell>
          <cell r="V17">
            <v>1.986641099392777</v>
          </cell>
          <cell r="W17">
            <v>32.26</v>
          </cell>
          <cell r="X17">
            <v>0.9699318040917545</v>
          </cell>
          <cell r="Y17" t="str">
            <v>55/22</v>
          </cell>
          <cell r="Z17">
            <v>54.656666666666666</v>
          </cell>
          <cell r="AA17">
            <v>22.065555555555555</v>
          </cell>
          <cell r="AB17">
            <v>0.40777777777777779</v>
          </cell>
          <cell r="AC17">
            <v>697.7457605624802</v>
          </cell>
          <cell r="AD17">
            <v>630.55944272930651</v>
          </cell>
          <cell r="AE17">
            <v>0.78333212118129936</v>
          </cell>
          <cell r="AF17">
            <v>0.86679641859126477</v>
          </cell>
          <cell r="AG17">
            <v>386.71051198465966</v>
          </cell>
          <cell r="AH17">
            <v>439.5603426014701</v>
          </cell>
          <cell r="AI17">
            <v>0.50283843324865574</v>
          </cell>
          <cell r="AJ17">
            <v>0.50287678605630004</v>
          </cell>
          <cell r="AK17" t="str">
            <v>10/70</v>
          </cell>
          <cell r="AL17">
            <v>2.7804410354745922E-2</v>
          </cell>
          <cell r="AM17">
            <v>142.5</v>
          </cell>
          <cell r="AN17">
            <v>5.899</v>
          </cell>
          <cell r="AO17">
            <v>4.7426973473953344</v>
          </cell>
          <cell r="AP17">
            <v>29.116916506301472</v>
          </cell>
          <cell r="AQ17">
            <v>0.97336065573770503</v>
          </cell>
          <cell r="AR17">
            <v>2.2086666666666668</v>
          </cell>
          <cell r="AS17">
            <v>0.78840031741011851</v>
          </cell>
          <cell r="AT17">
            <v>502.98901098901098</v>
          </cell>
          <cell r="AU17">
            <v>283.33333333333331</v>
          </cell>
          <cell r="AV17">
            <v>27855.36561201662</v>
          </cell>
          <cell r="AW17">
            <v>11789.964844998402</v>
          </cell>
          <cell r="AX17">
            <v>1819.8465963566634</v>
          </cell>
          <cell r="AY17">
            <v>1822.7404921700224</v>
          </cell>
          <cell r="AZ17">
            <v>27744.779482262707</v>
          </cell>
          <cell r="BA17">
            <v>710.3269702780442</v>
          </cell>
          <cell r="BB17">
            <v>9011.1249600511346</v>
          </cell>
          <cell r="BC17">
            <v>80754.148958133592</v>
          </cell>
          <cell r="BD17">
            <v>24883.735410674337</v>
          </cell>
          <cell r="BE17">
            <v>13469.223394055609</v>
          </cell>
          <cell r="BF17">
            <v>1751.850431447747</v>
          </cell>
          <cell r="BG17">
            <v>696.72329210610417</v>
          </cell>
          <cell r="BH17">
            <v>79380.177462767664</v>
          </cell>
          <cell r="BK17">
            <v>5</v>
          </cell>
          <cell r="BM17">
            <v>25</v>
          </cell>
          <cell r="BN17">
            <v>30</v>
          </cell>
          <cell r="BO17" t="str">
            <v>Power Grids supply failure and over current trip.</v>
          </cell>
          <cell r="BQ17">
            <v>69902</v>
          </cell>
        </row>
        <row r="18">
          <cell r="A18" t="str">
            <v>F246004</v>
          </cell>
          <cell r="B18">
            <v>46004</v>
          </cell>
          <cell r="C18" t="str">
            <v>Mr. Girish Malik</v>
          </cell>
          <cell r="D18">
            <v>28</v>
          </cell>
          <cell r="E18">
            <v>0</v>
          </cell>
          <cell r="F18">
            <v>28</v>
          </cell>
          <cell r="G18">
            <v>19.630000000000003</v>
          </cell>
          <cell r="H18">
            <v>5.32</v>
          </cell>
          <cell r="I18">
            <v>40.21</v>
          </cell>
          <cell r="J18">
            <v>1.28</v>
          </cell>
          <cell r="K18">
            <v>28.92</v>
          </cell>
          <cell r="L18">
            <v>4.88</v>
          </cell>
          <cell r="M18">
            <v>15.88</v>
          </cell>
          <cell r="N18">
            <v>0.84</v>
          </cell>
          <cell r="O18">
            <v>9</v>
          </cell>
          <cell r="P18">
            <v>60.370999999999995</v>
          </cell>
          <cell r="Q18">
            <v>19.365000000000002</v>
          </cell>
          <cell r="R18">
            <v>28</v>
          </cell>
          <cell r="S18">
            <v>21</v>
          </cell>
          <cell r="T18">
            <v>19</v>
          </cell>
          <cell r="U18">
            <v>68</v>
          </cell>
          <cell r="V18">
            <v>2.1561071428571426</v>
          </cell>
          <cell r="W18">
            <v>28.844999999999999</v>
          </cell>
          <cell r="X18">
            <v>0.97070549488646218</v>
          </cell>
          <cell r="Y18" t="str">
            <v>55/22</v>
          </cell>
          <cell r="Z18">
            <v>54.72</v>
          </cell>
          <cell r="AA18">
            <v>22.367777777777778</v>
          </cell>
          <cell r="AB18">
            <v>0.39777777777777773</v>
          </cell>
          <cell r="AC18">
            <v>492.65986132142859</v>
          </cell>
          <cell r="AD18">
            <v>684.72144946071444</v>
          </cell>
          <cell r="AE18">
            <v>1.1107054642776906</v>
          </cell>
          <cell r="AF18">
            <v>0.79915708852260126</v>
          </cell>
          <cell r="AG18">
            <v>560.02821428571428</v>
          </cell>
          <cell r="AH18">
            <v>505.31291071428575</v>
          </cell>
          <cell r="AI18">
            <v>0.42932082612793437</v>
          </cell>
          <cell r="AJ18">
            <v>0.46691556650681748</v>
          </cell>
          <cell r="AK18" t="str">
            <v>10/70</v>
          </cell>
          <cell r="AL18">
            <v>2.6785714285714284E-2</v>
          </cell>
          <cell r="AM18">
            <v>136.19999999999999</v>
          </cell>
          <cell r="AN18">
            <v>5.7629999999999999</v>
          </cell>
          <cell r="AO18">
            <v>5.0701071428571423</v>
          </cell>
          <cell r="AP18">
            <v>29.134426321156131</v>
          </cell>
          <cell r="AQ18">
            <v>0.93032786885245911</v>
          </cell>
          <cell r="AR18">
            <v>2.2250000000000001</v>
          </cell>
          <cell r="AS18">
            <v>0.78275286169607294</v>
          </cell>
          <cell r="AT18">
            <v>499.34837962962962</v>
          </cell>
          <cell r="AU18">
            <v>233.33333333333334</v>
          </cell>
          <cell r="AV18">
            <v>19549.753928571427</v>
          </cell>
          <cell r="AW18">
            <v>15507.497142857143</v>
          </cell>
          <cell r="AX18">
            <v>2259.3214285714284</v>
          </cell>
          <cell r="AY18">
            <v>2154.9839285714288</v>
          </cell>
          <cell r="AZ18">
            <v>29660.126785714281</v>
          </cell>
          <cell r="BA18">
            <v>691.31683214285704</v>
          </cell>
          <cell r="BB18">
            <v>9633.2035714285703</v>
          </cell>
          <cell r="BC18">
            <v>79456.203617857129</v>
          </cell>
          <cell r="BD18">
            <v>27032.380642857144</v>
          </cell>
          <cell r="BE18">
            <v>15341.262071428571</v>
          </cell>
          <cell r="BF18">
            <v>1901.4750000000001</v>
          </cell>
          <cell r="BG18">
            <v>760.90228428571425</v>
          </cell>
          <cell r="BH18">
            <v>86484.334284285709</v>
          </cell>
          <cell r="BM18">
            <v>75</v>
          </cell>
          <cell r="BN18">
            <v>75</v>
          </cell>
          <cell r="BO18" t="str">
            <v>Power grids supply failure.</v>
          </cell>
          <cell r="BQ18">
            <v>69902</v>
          </cell>
        </row>
        <row r="19">
          <cell r="A19" t="str">
            <v>F246005</v>
          </cell>
          <cell r="B19">
            <v>46005</v>
          </cell>
          <cell r="C19" t="str">
            <v>Mr. Girish Malik</v>
          </cell>
          <cell r="D19">
            <v>24.150000000000002</v>
          </cell>
          <cell r="E19">
            <v>0</v>
          </cell>
          <cell r="F19">
            <v>24.15</v>
          </cell>
          <cell r="G19">
            <v>17.510000000000002</v>
          </cell>
          <cell r="H19">
            <v>5.42</v>
          </cell>
          <cell r="I19">
            <v>40.76</v>
          </cell>
          <cell r="J19">
            <v>1.36</v>
          </cell>
          <cell r="K19">
            <v>28.32</v>
          </cell>
          <cell r="L19">
            <v>4.8499999999999996</v>
          </cell>
          <cell r="M19">
            <v>15.92</v>
          </cell>
          <cell r="N19">
            <v>0.81</v>
          </cell>
          <cell r="O19">
            <v>7</v>
          </cell>
          <cell r="P19">
            <v>51.510999999999996</v>
          </cell>
          <cell r="Q19">
            <v>16.038999999999998</v>
          </cell>
          <cell r="R19">
            <v>18</v>
          </cell>
          <cell r="S19">
            <v>15</v>
          </cell>
          <cell r="T19">
            <v>25</v>
          </cell>
          <cell r="U19">
            <v>58</v>
          </cell>
          <cell r="V19">
            <v>2.1329606625258797</v>
          </cell>
          <cell r="W19">
            <v>24.9</v>
          </cell>
          <cell r="X19">
            <v>0.96987951807228912</v>
          </cell>
          <cell r="Y19" t="str">
            <v xml:space="preserve">55/22 </v>
          </cell>
          <cell r="Z19">
            <v>54.961428571428577</v>
          </cell>
          <cell r="AA19">
            <v>22.24</v>
          </cell>
          <cell r="AB19">
            <v>0.40142857142857141</v>
          </cell>
          <cell r="AC19">
            <v>727.78737031055914</v>
          </cell>
          <cell r="AD19">
            <v>676.98308064596279</v>
          </cell>
          <cell r="AE19">
            <v>0.75518524796570197</v>
          </cell>
          <cell r="AF19">
            <v>0.81185823017889247</v>
          </cell>
          <cell r="AG19">
            <v>522.59534161490694</v>
          </cell>
          <cell r="AH19">
            <v>475.49334368530026</v>
          </cell>
          <cell r="AI19">
            <v>0.5657558063640038</v>
          </cell>
          <cell r="AJ19">
            <v>0.46934020903951573</v>
          </cell>
          <cell r="AK19" t="str">
            <v>10/70</v>
          </cell>
          <cell r="AL19">
            <v>2.5672877846790888E-2</v>
          </cell>
          <cell r="AM19">
            <v>116.7</v>
          </cell>
          <cell r="AN19">
            <v>4.3380000000000001</v>
          </cell>
          <cell r="AO19">
            <v>5.0119254658385097</v>
          </cell>
          <cell r="AP19">
            <v>29.114311098922624</v>
          </cell>
          <cell r="AQ19">
            <v>0.7971311475409838</v>
          </cell>
          <cell r="AR19">
            <v>2.165</v>
          </cell>
          <cell r="AS19">
            <v>0.77713812723128528</v>
          </cell>
          <cell r="AT19">
            <v>536.44097222222217</v>
          </cell>
          <cell r="AU19">
            <v>125</v>
          </cell>
          <cell r="AV19">
            <v>28677.378881987577</v>
          </cell>
          <cell r="AW19">
            <v>14809.53540372671</v>
          </cell>
          <cell r="AX19">
            <v>1344.9689440993789</v>
          </cell>
          <cell r="AY19">
            <v>1694.8385093167701</v>
          </cell>
          <cell r="AZ19">
            <v>29319.763975155282</v>
          </cell>
          <cell r="BA19">
            <v>758.46485714285723</v>
          </cell>
          <cell r="BB19">
            <v>9522.6583850931693</v>
          </cell>
          <cell r="BC19">
            <v>86127.608956521741</v>
          </cell>
          <cell r="BD19">
            <v>26720.615817805385</v>
          </cell>
          <cell r="BE19">
            <v>13978.930351966876</v>
          </cell>
          <cell r="BF19">
            <v>1880.496894409938</v>
          </cell>
          <cell r="BG19">
            <v>735.9464554865425</v>
          </cell>
          <cell r="BH19">
            <v>83853.250389233959</v>
          </cell>
          <cell r="BM19">
            <v>220</v>
          </cell>
          <cell r="BN19">
            <v>220</v>
          </cell>
          <cell r="BO19" t="str">
            <v>Power grids supply failure.</v>
          </cell>
          <cell r="BQ19">
            <v>68163</v>
          </cell>
        </row>
        <row r="20">
          <cell r="A20" t="str">
            <v>F246006</v>
          </cell>
          <cell r="B20">
            <v>46006</v>
          </cell>
          <cell r="C20" t="str">
            <v>Mr. Girish Malik</v>
          </cell>
          <cell r="D20">
            <v>31.09</v>
          </cell>
          <cell r="E20">
            <v>0</v>
          </cell>
          <cell r="F20">
            <v>31.09</v>
          </cell>
          <cell r="G20">
            <v>22.445</v>
          </cell>
          <cell r="H20">
            <v>5.32</v>
          </cell>
          <cell r="I20">
            <v>40.46</v>
          </cell>
          <cell r="J20">
            <v>1.31</v>
          </cell>
          <cell r="K20">
            <v>28.52</v>
          </cell>
          <cell r="L20">
            <v>4.6500000000000004</v>
          </cell>
          <cell r="M20">
            <v>16.28</v>
          </cell>
          <cell r="N20">
            <v>0.82</v>
          </cell>
          <cell r="O20">
            <v>9</v>
          </cell>
          <cell r="P20">
            <v>60.381</v>
          </cell>
          <cell r="Q20">
            <v>18.695</v>
          </cell>
          <cell r="R20">
            <v>37</v>
          </cell>
          <cell r="S20">
            <v>10</v>
          </cell>
          <cell r="T20">
            <v>21</v>
          </cell>
          <cell r="U20">
            <v>68</v>
          </cell>
          <cell r="V20">
            <v>1.9421357349630106</v>
          </cell>
          <cell r="W20">
            <v>32.06</v>
          </cell>
          <cell r="X20">
            <v>0.96974422956955697</v>
          </cell>
          <cell r="Y20" t="str">
            <v xml:space="preserve">55/22 </v>
          </cell>
          <cell r="Z20">
            <v>54.78</v>
          </cell>
          <cell r="AA20">
            <v>22.506666666666668</v>
          </cell>
          <cell r="AB20">
            <v>0.39111111111111113</v>
          </cell>
          <cell r="AC20">
            <v>567.34112106786733</v>
          </cell>
          <cell r="AD20">
            <v>616.39852806368606</v>
          </cell>
          <cell r="AE20">
            <v>0.96555666363283099</v>
          </cell>
          <cell r="AF20">
            <v>0.88871075296176161</v>
          </cell>
          <cell r="AG20">
            <v>583.91902541009972</v>
          </cell>
          <cell r="AH20">
            <v>429.91094403345124</v>
          </cell>
          <cell r="AI20">
            <v>0.49120466797585466</v>
          </cell>
          <cell r="AJ20">
            <v>0.52163682625524721</v>
          </cell>
          <cell r="AK20" t="str">
            <v>10/70</v>
          </cell>
          <cell r="AL20">
            <v>2.6696687037632678E-2</v>
          </cell>
          <cell r="AM20">
            <v>144.6</v>
          </cell>
          <cell r="AN20">
            <v>5.827</v>
          </cell>
          <cell r="AO20">
            <v>4.8384367963975556</v>
          </cell>
          <cell r="AP20">
            <v>29.11462768907052</v>
          </cell>
          <cell r="AQ20">
            <v>0.98770491803278704</v>
          </cell>
          <cell r="AR20">
            <v>2.1733333333333333</v>
          </cell>
          <cell r="AS20">
            <v>0.78307735934715161</v>
          </cell>
          <cell r="AT20">
            <v>504.23263888888886</v>
          </cell>
          <cell r="AU20">
            <v>250</v>
          </cell>
          <cell r="AV20">
            <v>22386.602122869088</v>
          </cell>
          <cell r="AW20">
            <v>17181.33612093921</v>
          </cell>
          <cell r="AX20">
            <v>1867.159858475394</v>
          </cell>
          <cell r="AY20">
            <v>1596.2801543904793</v>
          </cell>
          <cell r="AZ20">
            <v>28304.855258925701</v>
          </cell>
          <cell r="BA20">
            <v>713.36233515599872</v>
          </cell>
          <cell r="BB20">
            <v>9193.0299131553566</v>
          </cell>
          <cell r="BC20">
            <v>81242.62576391123</v>
          </cell>
          <cell r="BD20">
            <v>24330.123158571889</v>
          </cell>
          <cell r="BE20">
            <v>12625.906722418784</v>
          </cell>
          <cell r="BF20">
            <v>1712.5763911225474</v>
          </cell>
          <cell r="BG20">
            <v>685.69741685429403</v>
          </cell>
          <cell r="BH20">
            <v>78448.469015439056</v>
          </cell>
          <cell r="BO20" t="str">
            <v>NIL</v>
          </cell>
          <cell r="BQ20">
            <v>68163</v>
          </cell>
        </row>
        <row r="21">
          <cell r="A21" t="str">
            <v>F246007</v>
          </cell>
          <cell r="B21">
            <v>46007</v>
          </cell>
          <cell r="C21" t="str">
            <v>Mr. Girish Malik</v>
          </cell>
          <cell r="D21">
            <v>30.47</v>
          </cell>
          <cell r="E21">
            <v>0</v>
          </cell>
          <cell r="F21">
            <v>30.47</v>
          </cell>
          <cell r="G21">
            <v>21.79</v>
          </cell>
          <cell r="H21">
            <v>6.1</v>
          </cell>
          <cell r="I21">
            <v>40.82</v>
          </cell>
          <cell r="J21">
            <v>1.28</v>
          </cell>
          <cell r="K21">
            <v>28.82</v>
          </cell>
          <cell r="L21">
            <v>4.62</v>
          </cell>
          <cell r="M21">
            <v>15.32</v>
          </cell>
          <cell r="N21">
            <v>0.82</v>
          </cell>
          <cell r="O21">
            <v>9</v>
          </cell>
          <cell r="P21">
            <v>60.47</v>
          </cell>
          <cell r="Q21">
            <v>18.457999999999998</v>
          </cell>
          <cell r="R21">
            <v>28</v>
          </cell>
          <cell r="S21">
            <v>18</v>
          </cell>
          <cell r="T21">
            <v>22</v>
          </cell>
          <cell r="U21">
            <v>68</v>
          </cell>
          <cell r="V21">
            <v>1.9845749917952085</v>
          </cell>
          <cell r="W21">
            <v>31.42</v>
          </cell>
          <cell r="X21">
            <v>0.96976448122215142</v>
          </cell>
          <cell r="Y21" t="str">
            <v xml:space="preserve">55/22 </v>
          </cell>
          <cell r="Z21">
            <v>54.688888888888897</v>
          </cell>
          <cell r="AA21">
            <v>22.323333333333338</v>
          </cell>
          <cell r="AB21">
            <v>0.40111111111111108</v>
          </cell>
          <cell r="AC21">
            <v>595.27395520183791</v>
          </cell>
          <cell r="AD21">
            <v>631.66043043649495</v>
          </cell>
          <cell r="AE21">
            <v>0.91871798540800742</v>
          </cell>
          <cell r="AF21">
            <v>0.86579570689741248</v>
          </cell>
          <cell r="AG21">
            <v>521.44806366918283</v>
          </cell>
          <cell r="AH21">
            <v>432.77236626189699</v>
          </cell>
          <cell r="AI21">
            <v>0.47486581447422838</v>
          </cell>
          <cell r="AJ21">
            <v>0.50823972160527087</v>
          </cell>
          <cell r="AK21" t="str">
            <v>10/70</v>
          </cell>
          <cell r="AL21">
            <v>2.6583524778470629E-2</v>
          </cell>
          <cell r="AM21">
            <v>142.69999999999999</v>
          </cell>
          <cell r="AN21">
            <v>5.6970000000000001</v>
          </cell>
          <cell r="AO21">
            <v>4.8702658352477846</v>
          </cell>
          <cell r="AP21">
            <v>29.205464735588226</v>
          </cell>
          <cell r="AQ21">
            <v>0.97472677595628421</v>
          </cell>
          <cell r="AR21">
            <v>2.15</v>
          </cell>
          <cell r="AS21">
            <v>0.78167089308670956</v>
          </cell>
          <cell r="AT21">
            <v>518.05324074074076</v>
          </cell>
          <cell r="AU21">
            <v>275</v>
          </cell>
          <cell r="AV21">
            <v>23751.530685920578</v>
          </cell>
          <cell r="AW21">
            <v>14954.343944863802</v>
          </cell>
          <cell r="AX21">
            <v>1996.4227108631442</v>
          </cell>
          <cell r="AY21">
            <v>2473.8808664259927</v>
          </cell>
          <cell r="AZ21">
            <v>28491.055136199539</v>
          </cell>
          <cell r="BA21">
            <v>716.67233344273063</v>
          </cell>
          <cell r="BB21">
            <v>9253.5050869707902</v>
          </cell>
          <cell r="BC21">
            <v>81637.410764686589</v>
          </cell>
          <cell r="BD21">
            <v>24947.164227108631</v>
          </cell>
          <cell r="BE21">
            <v>12696.600328191666</v>
          </cell>
          <cell r="BF21">
            <v>1747.6009189366591</v>
          </cell>
          <cell r="BG21">
            <v>703.56301476862484</v>
          </cell>
          <cell r="BH21">
            <v>80313.369578601894</v>
          </cell>
          <cell r="BK21">
            <v>5</v>
          </cell>
          <cell r="BM21">
            <v>25</v>
          </cell>
          <cell r="BN21">
            <v>30</v>
          </cell>
          <cell r="BO21" t="str">
            <v>Power Grids supply failure and over current trip.</v>
          </cell>
          <cell r="BQ21">
            <v>68163</v>
          </cell>
        </row>
        <row r="22">
          <cell r="A22" t="str">
            <v>F246008</v>
          </cell>
          <cell r="B22">
            <v>46008</v>
          </cell>
          <cell r="C22" t="str">
            <v>Mr. Girish Malik</v>
          </cell>
          <cell r="D22">
            <v>31.33</v>
          </cell>
          <cell r="E22">
            <v>0</v>
          </cell>
          <cell r="F22">
            <v>31.33</v>
          </cell>
          <cell r="G22">
            <v>21.92</v>
          </cell>
          <cell r="H22">
            <v>5.76</v>
          </cell>
          <cell r="I22">
            <v>40.520000000000003</v>
          </cell>
          <cell r="J22">
            <v>1.26</v>
          </cell>
          <cell r="K22">
            <v>28.45</v>
          </cell>
          <cell r="L22">
            <v>5.12</v>
          </cell>
          <cell r="M22">
            <v>15.62</v>
          </cell>
          <cell r="N22">
            <v>0.83</v>
          </cell>
          <cell r="O22">
            <v>9</v>
          </cell>
          <cell r="P22">
            <v>62.378</v>
          </cell>
          <cell r="Q22">
            <v>19.058</v>
          </cell>
          <cell r="R22">
            <v>28</v>
          </cell>
          <cell r="S22">
            <v>20</v>
          </cell>
          <cell r="T22">
            <v>22</v>
          </cell>
          <cell r="U22">
            <v>70</v>
          </cell>
          <cell r="V22">
            <v>1.9909990424513246</v>
          </cell>
          <cell r="W22">
            <v>32.300000000000004</v>
          </cell>
          <cell r="X22">
            <v>0.96996904024767783</v>
          </cell>
          <cell r="Y22" t="str">
            <v xml:space="preserve">55/22 </v>
          </cell>
          <cell r="Z22">
            <v>55.13333333333334</v>
          </cell>
          <cell r="AA22">
            <v>22.537777777777777</v>
          </cell>
          <cell r="AB22">
            <v>0.39333333333333331</v>
          </cell>
          <cell r="AC22">
            <v>546.02443747207167</v>
          </cell>
          <cell r="AD22">
            <v>636.16826219278653</v>
          </cell>
          <cell r="AE22">
            <v>1.0097228173263459</v>
          </cell>
          <cell r="AF22">
            <v>0.86664702736499533</v>
          </cell>
          <cell r="AG22">
            <v>483.00207468879671</v>
          </cell>
          <cell r="AH22">
            <v>433.6888924353654</v>
          </cell>
          <cell r="AI22">
            <v>0.49933271162913384</v>
          </cell>
          <cell r="AJ22">
            <v>0.51613539096598449</v>
          </cell>
          <cell r="AK22" t="str">
            <v>10/70</v>
          </cell>
          <cell r="AL22">
            <v>2.5853814235556976E-2</v>
          </cell>
          <cell r="AM22">
            <v>144.6</v>
          </cell>
          <cell r="AN22">
            <v>5.7770000000000001</v>
          </cell>
          <cell r="AO22">
            <v>4.7997765719757419</v>
          </cell>
          <cell r="AP22">
            <v>29.318709131227848</v>
          </cell>
          <cell r="AQ22">
            <v>0.98770491803278704</v>
          </cell>
          <cell r="AR22">
            <v>2.2166666666666668</v>
          </cell>
          <cell r="AS22">
            <v>0.78290943859134421</v>
          </cell>
          <cell r="AT22">
            <v>494.97222222222223</v>
          </cell>
          <cell r="AU22">
            <v>300</v>
          </cell>
          <cell r="AV22">
            <v>21570.845196297483</v>
          </cell>
          <cell r="AW22">
            <v>14090.965209064794</v>
          </cell>
          <cell r="AX22">
            <v>1837.344398340249</v>
          </cell>
          <cell r="AY22">
            <v>2346.6182572614111</v>
          </cell>
          <cell r="AZ22">
            <v>28078.69294605809</v>
          </cell>
          <cell r="BA22">
            <v>679.24466007022033</v>
          </cell>
          <cell r="BB22">
            <v>9119.575486753909</v>
          </cell>
          <cell r="BC22">
            <v>77723.286153846158</v>
          </cell>
          <cell r="BD22">
            <v>25146.336291094798</v>
          </cell>
          <cell r="BE22">
            <v>12701.44315352697</v>
          </cell>
          <cell r="BF22">
            <v>1736.1698052984361</v>
          </cell>
          <cell r="BG22">
            <v>700.0926045323971</v>
          </cell>
          <cell r="BH22">
            <v>79828.928544526003</v>
          </cell>
          <cell r="BK22">
            <v>5</v>
          </cell>
          <cell r="BN22">
            <v>5</v>
          </cell>
          <cell r="BO22" t="str">
            <v>Over current trip.</v>
          </cell>
          <cell r="BQ22">
            <v>68163</v>
          </cell>
        </row>
        <row r="23">
          <cell r="A23" t="str">
            <v>F246009</v>
          </cell>
          <cell r="B23">
            <v>46009</v>
          </cell>
          <cell r="C23" t="str">
            <v>Mr. Girish Malik</v>
          </cell>
          <cell r="D23">
            <v>32.125</v>
          </cell>
          <cell r="E23">
            <v>0</v>
          </cell>
          <cell r="F23">
            <v>32.125</v>
          </cell>
          <cell r="G23">
            <v>22.829999999999995</v>
          </cell>
          <cell r="H23">
            <v>5.65</v>
          </cell>
          <cell r="I23">
            <v>40.64</v>
          </cell>
          <cell r="J23">
            <v>1.3025</v>
          </cell>
          <cell r="K23">
            <v>28.5275</v>
          </cell>
          <cell r="L23">
            <v>4.8100000000000005</v>
          </cell>
          <cell r="M23">
            <v>15.785</v>
          </cell>
          <cell r="N23">
            <v>0.82</v>
          </cell>
          <cell r="O23">
            <v>9</v>
          </cell>
          <cell r="P23">
            <v>64.121000000000009</v>
          </cell>
          <cell r="Q23">
            <v>19.599</v>
          </cell>
          <cell r="R23">
            <v>28</v>
          </cell>
          <cell r="S23">
            <v>20</v>
          </cell>
          <cell r="T23">
            <v>24</v>
          </cell>
          <cell r="U23">
            <v>72</v>
          </cell>
          <cell r="V23">
            <v>1.9959844357976657</v>
          </cell>
          <cell r="W23">
            <v>33.120000000000005</v>
          </cell>
          <cell r="X23">
            <v>0.96995772946859893</v>
          </cell>
          <cell r="Y23" t="str">
            <v xml:space="preserve">55/22 </v>
          </cell>
          <cell r="Z23">
            <v>55.045555555555566</v>
          </cell>
          <cell r="AA23">
            <v>21.982222222222219</v>
          </cell>
          <cell r="AB23">
            <v>0.43222222222222217</v>
          </cell>
          <cell r="AC23">
            <v>493.95025042801558</v>
          </cell>
          <cell r="AD23">
            <v>637.70443437509732</v>
          </cell>
          <cell r="AE23">
            <v>1.1143947291829033</v>
          </cell>
          <cell r="AF23">
            <v>0.8631828883155892</v>
          </cell>
          <cell r="AG23">
            <v>485.04692607003892</v>
          </cell>
          <cell r="AH23">
            <v>435.91003891050588</v>
          </cell>
          <cell r="AI23">
            <v>0.56642132367762021</v>
          </cell>
          <cell r="AJ23">
            <v>0.50274853128865193</v>
          </cell>
          <cell r="AL23">
            <v>0</v>
          </cell>
          <cell r="AM23">
            <v>145.5</v>
          </cell>
          <cell r="AN23">
            <v>5.8490000000000002</v>
          </cell>
          <cell r="AO23">
            <v>4.7112529182879372</v>
          </cell>
          <cell r="AP23">
            <v>29.315496056638331</v>
          </cell>
          <cell r="AQ23">
            <v>0.99385245901639363</v>
          </cell>
          <cell r="AR23">
            <v>2.2263333333333333</v>
          </cell>
          <cell r="AS23">
            <v>0</v>
          </cell>
          <cell r="AT23">
            <v>491.69212962962962</v>
          </cell>
          <cell r="AU23">
            <v>241.66666666666666</v>
          </cell>
          <cell r="AV23">
            <v>19349.472373540859</v>
          </cell>
          <cell r="AW23">
            <v>14257.220856031128</v>
          </cell>
          <cell r="AX23">
            <v>1551.5019455252918</v>
          </cell>
          <cell r="AY23">
            <v>2231.2389105058369</v>
          </cell>
          <cell r="AZ23">
            <v>27560.829571984432</v>
          </cell>
          <cell r="BA23">
            <v>649.5026365758755</v>
          </cell>
          <cell r="BB23">
            <v>8951.3805447470804</v>
          </cell>
          <cell r="BC23">
            <v>74551.146838910514</v>
          </cell>
          <cell r="BD23">
            <v>25207.422194552531</v>
          </cell>
          <cell r="BE23">
            <v>12791.077354085603</v>
          </cell>
          <cell r="BF23">
            <v>1738.2536964980543</v>
          </cell>
          <cell r="BG23">
            <v>695.28821727626462</v>
          </cell>
          <cell r="BH23">
            <v>79175.490489649805</v>
          </cell>
          <cell r="BO23" t="str">
            <v>NIL</v>
          </cell>
          <cell r="BQ23">
            <v>68163</v>
          </cell>
        </row>
        <row r="24">
          <cell r="A24" t="str">
            <v>F246010</v>
          </cell>
          <cell r="B24">
            <v>46010</v>
          </cell>
          <cell r="C24" t="str">
            <v>Mr. Girish Malik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9</v>
          </cell>
          <cell r="P24">
            <v>0</v>
          </cell>
          <cell r="Q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Q24">
            <v>68163</v>
          </cell>
        </row>
        <row r="25">
          <cell r="A25" t="str">
            <v>F246011</v>
          </cell>
          <cell r="B25">
            <v>46011</v>
          </cell>
          <cell r="C25" t="str">
            <v>Mr. Girish Malik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9</v>
          </cell>
          <cell r="P25">
            <v>0</v>
          </cell>
          <cell r="Q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Q25">
            <v>68163</v>
          </cell>
        </row>
        <row r="26">
          <cell r="A26" t="str">
            <v>F246012</v>
          </cell>
          <cell r="B26">
            <v>46012</v>
          </cell>
          <cell r="C26" t="str">
            <v>Mr. Girish Malik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9</v>
          </cell>
          <cell r="P26">
            <v>0</v>
          </cell>
          <cell r="Q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Q26">
            <v>68163</v>
          </cell>
        </row>
        <row r="27">
          <cell r="A27" t="str">
            <v>F246013</v>
          </cell>
          <cell r="B27">
            <v>46013</v>
          </cell>
          <cell r="C27" t="str">
            <v>Mr. Girish Malik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9</v>
          </cell>
          <cell r="P27">
            <v>0</v>
          </cell>
          <cell r="Q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Q27">
            <v>68163</v>
          </cell>
        </row>
        <row r="28">
          <cell r="A28" t="str">
            <v>F246014</v>
          </cell>
          <cell r="B28">
            <v>46014</v>
          </cell>
          <cell r="C28" t="str">
            <v>Mr. Girish Malik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9</v>
          </cell>
          <cell r="P28">
            <v>0</v>
          </cell>
          <cell r="Q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Q28">
            <v>68163</v>
          </cell>
        </row>
        <row r="29">
          <cell r="A29" t="str">
            <v>F246015</v>
          </cell>
          <cell r="B29">
            <v>46015</v>
          </cell>
          <cell r="C29" t="str">
            <v>Mr. Girish Malik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9</v>
          </cell>
          <cell r="P29">
            <v>0</v>
          </cell>
          <cell r="Q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Q29">
            <v>68163</v>
          </cell>
        </row>
        <row r="30">
          <cell r="A30" t="str">
            <v>F246016</v>
          </cell>
          <cell r="B30">
            <v>46016</v>
          </cell>
          <cell r="C30" t="str">
            <v>Mr. Girish Malik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</v>
          </cell>
          <cell r="P30">
            <v>0</v>
          </cell>
          <cell r="Q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Q30">
            <v>68163</v>
          </cell>
        </row>
        <row r="31">
          <cell r="A31" t="str">
            <v>F246017</v>
          </cell>
          <cell r="B31">
            <v>46017</v>
          </cell>
          <cell r="C31" t="str">
            <v>Mr. Girish Malik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</v>
          </cell>
          <cell r="P31">
            <v>0</v>
          </cell>
          <cell r="Q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Q31">
            <v>68163</v>
          </cell>
        </row>
        <row r="32">
          <cell r="A32" t="str">
            <v>F246018</v>
          </cell>
          <cell r="B32">
            <v>46018</v>
          </cell>
          <cell r="C32" t="str">
            <v>Mr. Girish Malik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</v>
          </cell>
          <cell r="P32">
            <v>0</v>
          </cell>
          <cell r="Q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Q32">
            <v>68163</v>
          </cell>
        </row>
        <row r="33">
          <cell r="A33" t="str">
            <v>F246019</v>
          </cell>
          <cell r="B33">
            <v>46019</v>
          </cell>
          <cell r="C33" t="str">
            <v>Mr. Girish Malik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10</v>
          </cell>
          <cell r="P33">
            <v>0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Q33">
            <v>68163</v>
          </cell>
        </row>
        <row r="34">
          <cell r="A34" t="str">
            <v>F246020</v>
          </cell>
          <cell r="B34">
            <v>46020</v>
          </cell>
          <cell r="C34" t="str">
            <v>Mr. Girish Malik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10</v>
          </cell>
          <cell r="P34">
            <v>0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Q34">
            <v>68163</v>
          </cell>
        </row>
        <row r="35">
          <cell r="A35" t="str">
            <v>F246021</v>
          </cell>
          <cell r="B35">
            <v>46021</v>
          </cell>
          <cell r="C35" t="str">
            <v>Mr. Girish Malik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Q35">
            <v>68163</v>
          </cell>
        </row>
        <row r="36">
          <cell r="A36" t="str">
            <v>F246022</v>
          </cell>
          <cell r="B36">
            <v>46022</v>
          </cell>
          <cell r="C36" t="str">
            <v>Mr. Girish Malik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8</v>
          </cell>
          <cell r="P36">
            <v>0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Q36">
            <v>68163</v>
          </cell>
        </row>
      </sheetData>
      <sheetData sheetId="17" refreshError="1"/>
      <sheetData sheetId="18" refreshError="1">
        <row r="6">
          <cell r="A6" t="str">
            <v>F345992</v>
          </cell>
          <cell r="B6">
            <v>45992</v>
          </cell>
          <cell r="C6" t="str">
            <v>Mr. Ajay Singh</v>
          </cell>
          <cell r="D6">
            <v>37.305</v>
          </cell>
          <cell r="E6">
            <v>0.28000000000000114</v>
          </cell>
          <cell r="F6">
            <v>37.585000000000001</v>
          </cell>
          <cell r="G6">
            <v>28.310000000000002</v>
          </cell>
          <cell r="H6">
            <v>10.26</v>
          </cell>
          <cell r="I6">
            <v>38.200000000000003</v>
          </cell>
          <cell r="J6">
            <v>1.32</v>
          </cell>
          <cell r="K6">
            <v>25.62</v>
          </cell>
          <cell r="L6">
            <v>4.8499999999999996</v>
          </cell>
          <cell r="M6">
            <v>16.21</v>
          </cell>
          <cell r="N6">
            <v>0.8</v>
          </cell>
          <cell r="O6">
            <v>8</v>
          </cell>
          <cell r="P6">
            <v>79.585000000000008</v>
          </cell>
          <cell r="Q6">
            <v>25.07</v>
          </cell>
          <cell r="R6">
            <v>32</v>
          </cell>
          <cell r="S6">
            <v>20</v>
          </cell>
          <cell r="T6">
            <v>21</v>
          </cell>
          <cell r="U6">
            <v>73</v>
          </cell>
          <cell r="V6">
            <v>2.1333601393915029</v>
          </cell>
          <cell r="W6">
            <v>38.75</v>
          </cell>
          <cell r="X6">
            <v>0.96270967741935487</v>
          </cell>
          <cell r="Y6" t="str">
            <v>60/15</v>
          </cell>
          <cell r="Z6">
            <v>59.882500000000007</v>
          </cell>
          <cell r="AA6">
            <v>13.934999999999999</v>
          </cell>
          <cell r="AC6">
            <v>771.841732770406</v>
          </cell>
          <cell r="AD6">
            <v>693.82530187374357</v>
          </cell>
          <cell r="AE6">
            <v>0.77583910609576756</v>
          </cell>
          <cell r="AF6">
            <v>0.86307748994280575</v>
          </cell>
          <cell r="AG6">
            <v>361.77060715721757</v>
          </cell>
          <cell r="AH6">
            <v>408.81747754992625</v>
          </cell>
          <cell r="AI6">
            <v>0.49096232730139083</v>
          </cell>
          <cell r="AJ6">
            <v>0.40524941776903811</v>
          </cell>
          <cell r="AK6" t="str">
            <v>25/50</v>
          </cell>
          <cell r="AL6">
            <v>3.5383996783273024E-2</v>
          </cell>
          <cell r="AM6">
            <v>144.4</v>
          </cell>
          <cell r="AN6">
            <v>6.6680000000000001</v>
          </cell>
          <cell r="AO6">
            <v>4.0495375954965827</v>
          </cell>
          <cell r="AP6">
            <v>29.535177596165919</v>
          </cell>
          <cell r="AQ6">
            <v>0.98633879781420786</v>
          </cell>
          <cell r="AR6">
            <v>2.1633333333333336</v>
          </cell>
          <cell r="AS6">
            <v>0.79636185682463634</v>
          </cell>
          <cell r="AT6">
            <v>523.94675925925924</v>
          </cell>
          <cell r="AU6">
            <v>300</v>
          </cell>
          <cell r="AV6">
            <v>29971.963543760892</v>
          </cell>
          <cell r="AW6">
            <v>8519.3105481838902</v>
          </cell>
          <cell r="AX6">
            <v>813.51025331724975</v>
          </cell>
          <cell r="AY6">
            <v>1724.593218067283</v>
          </cell>
          <cell r="AZ6">
            <v>23689.794933655008</v>
          </cell>
          <cell r="BA6">
            <v>647.19172496984322</v>
          </cell>
          <cell r="BB6">
            <v>7694.1214314435074</v>
          </cell>
          <cell r="BC6">
            <v>73060.485653397671</v>
          </cell>
          <cell r="BD6">
            <v>26947.634097305992</v>
          </cell>
          <cell r="BE6">
            <v>9716.720654067818</v>
          </cell>
          <cell r="BF6">
            <v>1148.1785283474067</v>
          </cell>
          <cell r="BG6">
            <v>632.26921431443509</v>
          </cell>
          <cell r="BH6">
            <v>71553.312077201452</v>
          </cell>
          <cell r="BO6" t="str">
            <v>NIL</v>
          </cell>
          <cell r="BQ6">
            <v>60369</v>
          </cell>
        </row>
        <row r="7">
          <cell r="A7" t="str">
            <v>F345993</v>
          </cell>
          <cell r="B7">
            <v>45993</v>
          </cell>
          <cell r="C7" t="str">
            <v>Mr. Ajay Singh</v>
          </cell>
          <cell r="D7">
            <v>35.71</v>
          </cell>
          <cell r="E7">
            <v>0.28999999999999915</v>
          </cell>
          <cell r="F7">
            <v>36</v>
          </cell>
          <cell r="G7">
            <v>27.149000000000001</v>
          </cell>
          <cell r="H7">
            <v>10.32</v>
          </cell>
          <cell r="I7">
            <v>38.619999999999997</v>
          </cell>
          <cell r="J7">
            <v>1.36</v>
          </cell>
          <cell r="K7">
            <v>25.88</v>
          </cell>
          <cell r="L7">
            <v>4.6500000000000004</v>
          </cell>
          <cell r="M7">
            <v>16.079999999999998</v>
          </cell>
          <cell r="N7">
            <v>0.79</v>
          </cell>
          <cell r="O7">
            <v>8</v>
          </cell>
          <cell r="P7">
            <v>74.933999999999997</v>
          </cell>
          <cell r="Q7">
            <v>23.159999999999997</v>
          </cell>
          <cell r="R7">
            <v>32</v>
          </cell>
          <cell r="S7">
            <v>18</v>
          </cell>
          <cell r="T7">
            <v>20</v>
          </cell>
          <cell r="U7">
            <v>70</v>
          </cell>
          <cell r="V7">
            <v>2.0984038084570149</v>
          </cell>
          <cell r="W7">
            <v>37.11</v>
          </cell>
          <cell r="X7">
            <v>0.96227431959040699</v>
          </cell>
          <cell r="Y7" t="str">
            <v>60/15</v>
          </cell>
          <cell r="Z7">
            <v>59.482499999999995</v>
          </cell>
          <cell r="AA7">
            <v>15.605</v>
          </cell>
          <cell r="AC7">
            <v>1020.6994978157378</v>
          </cell>
          <cell r="AD7">
            <v>684.36377515541858</v>
          </cell>
          <cell r="AE7">
            <v>0.58276211683546941</v>
          </cell>
          <cell r="AF7">
            <v>0.86916494062666538</v>
          </cell>
          <cell r="AG7">
            <v>377.23963875665078</v>
          </cell>
          <cell r="AH7">
            <v>392.11031923830853</v>
          </cell>
          <cell r="AI7">
            <v>0.42668656845679248</v>
          </cell>
          <cell r="AJ7">
            <v>0.47680701296933548</v>
          </cell>
          <cell r="AK7" t="str">
            <v>25/50</v>
          </cell>
          <cell r="AL7">
            <v>3.668440212825539E-2</v>
          </cell>
          <cell r="AM7">
            <v>139</v>
          </cell>
          <cell r="AN7">
            <v>6.4710000000000001</v>
          </cell>
          <cell r="AO7">
            <v>4.0736768412209461</v>
          </cell>
          <cell r="AP7">
            <v>29.568105322073269</v>
          </cell>
          <cell r="AQ7">
            <v>0.94945355191256842</v>
          </cell>
          <cell r="AR7">
            <v>2.15</v>
          </cell>
          <cell r="AS7">
            <v>0.79456402720933861</v>
          </cell>
          <cell r="AT7">
            <v>522.33680555555554</v>
          </cell>
          <cell r="AU7">
            <v>333.33333333333331</v>
          </cell>
          <cell r="AV7">
            <v>40041.386166339958</v>
          </cell>
          <cell r="AW7">
            <v>9056.5589470736486</v>
          </cell>
          <cell r="AX7">
            <v>1277.7933352002237</v>
          </cell>
          <cell r="AY7">
            <v>2355.2828339400726</v>
          </cell>
          <cell r="AZ7">
            <v>23831.009521142536</v>
          </cell>
          <cell r="BA7">
            <v>765.62030803696427</v>
          </cell>
          <cell r="BB7">
            <v>7739.9859983197975</v>
          </cell>
          <cell r="BC7">
            <v>85067.637110053183</v>
          </cell>
          <cell r="BD7">
            <v>26589.637636516385</v>
          </cell>
          <cell r="BE7">
            <v>9187.9302156258746</v>
          </cell>
          <cell r="BF7">
            <v>1078.9834780173621</v>
          </cell>
          <cell r="BG7">
            <v>630.42843685242235</v>
          </cell>
          <cell r="BH7">
            <v>71413.258120414452</v>
          </cell>
          <cell r="BO7" t="str">
            <v>NIL</v>
          </cell>
          <cell r="BQ7">
            <v>60369</v>
          </cell>
        </row>
        <row r="8">
          <cell r="A8" t="str">
            <v>F345994</v>
          </cell>
          <cell r="B8">
            <v>45994</v>
          </cell>
          <cell r="C8" t="str">
            <v>Mr. Ajay Singh</v>
          </cell>
          <cell r="D8">
            <v>38.229999999999997</v>
          </cell>
          <cell r="E8">
            <v>0.28000000000000114</v>
          </cell>
          <cell r="F8">
            <v>38.51</v>
          </cell>
          <cell r="G8">
            <v>29.975000000000001</v>
          </cell>
          <cell r="H8">
            <v>10.92</v>
          </cell>
          <cell r="I8">
            <v>38.32</v>
          </cell>
          <cell r="J8">
            <v>1.38</v>
          </cell>
          <cell r="K8">
            <v>25.78</v>
          </cell>
          <cell r="L8">
            <v>4.8499999999999996</v>
          </cell>
          <cell r="M8">
            <v>15.18</v>
          </cell>
          <cell r="N8">
            <v>0.8</v>
          </cell>
          <cell r="O8">
            <v>8</v>
          </cell>
          <cell r="P8">
            <v>79.246000000000009</v>
          </cell>
          <cell r="Q8">
            <v>24.427</v>
          </cell>
          <cell r="R8">
            <v>30</v>
          </cell>
          <cell r="S8">
            <v>24</v>
          </cell>
          <cell r="T8">
            <v>20</v>
          </cell>
          <cell r="U8">
            <v>74</v>
          </cell>
          <cell r="V8">
            <v>2.072874705728486</v>
          </cell>
          <cell r="W8">
            <v>39.699999999999996</v>
          </cell>
          <cell r="X8">
            <v>0.96297229219143576</v>
          </cell>
          <cell r="Y8" t="str">
            <v>60/15</v>
          </cell>
          <cell r="Z8">
            <v>59.731250000000003</v>
          </cell>
          <cell r="AA8">
            <v>15.001250000000001</v>
          </cell>
          <cell r="AC8">
            <v>688.23368509024351</v>
          </cell>
          <cell r="AD8">
            <v>676.03250962594825</v>
          </cell>
          <cell r="AE8">
            <v>0.86789198631229225</v>
          </cell>
          <cell r="AF8">
            <v>0.88355588155145925</v>
          </cell>
          <cell r="AG8">
            <v>355.77628825529689</v>
          </cell>
          <cell r="AH8">
            <v>385.61301987967562</v>
          </cell>
          <cell r="AI8">
            <v>0.62153667281285829</v>
          </cell>
          <cell r="AJ8">
            <v>0.45740917765332079</v>
          </cell>
          <cell r="AK8" t="str">
            <v>25/50</v>
          </cell>
          <cell r="AL8">
            <v>3.5574156421658391E-2</v>
          </cell>
          <cell r="AM8">
            <v>146.4</v>
          </cell>
          <cell r="AN8">
            <v>6.5069999999999997</v>
          </cell>
          <cell r="AO8">
            <v>3.9996599529165584</v>
          </cell>
          <cell r="AP8">
            <v>29.574343273180837</v>
          </cell>
          <cell r="AQ8">
            <v>1.0000000000000002</v>
          </cell>
          <cell r="AR8">
            <v>2.25</v>
          </cell>
          <cell r="AS8">
            <v>0.79896074014058238</v>
          </cell>
          <cell r="AT8">
            <v>530.39726027397262</v>
          </cell>
          <cell r="AU8">
            <v>341.66666666666669</v>
          </cell>
          <cell r="AV8">
            <v>26940.996599529168</v>
          </cell>
          <cell r="AW8">
            <v>8318.212398639811</v>
          </cell>
          <cell r="AX8">
            <v>664.5827883860843</v>
          </cell>
          <cell r="AY8">
            <v>1591.084227046822</v>
          </cell>
          <cell r="AZ8">
            <v>23398.010724561867</v>
          </cell>
          <cell r="BA8">
            <v>609.12886738163752</v>
          </cell>
          <cell r="BB8">
            <v>7599.3539105414611</v>
          </cell>
          <cell r="BC8">
            <v>69121.369516086852</v>
          </cell>
          <cell r="BD8">
            <v>26265.964295056245</v>
          </cell>
          <cell r="BE8">
            <v>9075.9357049437622</v>
          </cell>
          <cell r="BF8">
            <v>1076.8924928066963</v>
          </cell>
          <cell r="BG8">
            <v>614.07887444415394</v>
          </cell>
          <cell r="BH8">
            <v>69621.320229401012</v>
          </cell>
          <cell r="BO8" t="str">
            <v>NIL</v>
          </cell>
          <cell r="BQ8">
            <v>60369</v>
          </cell>
        </row>
        <row r="9">
          <cell r="A9" t="str">
            <v>F345995</v>
          </cell>
          <cell r="B9">
            <v>45995</v>
          </cell>
          <cell r="C9" t="str">
            <v>Mr. Ajay Singh</v>
          </cell>
          <cell r="D9">
            <v>36.589999999999996</v>
          </cell>
          <cell r="E9">
            <v>0.30000000000000426</v>
          </cell>
          <cell r="F9">
            <v>36.89</v>
          </cell>
          <cell r="G9">
            <v>26.414999999999999</v>
          </cell>
          <cell r="H9">
            <v>10.56</v>
          </cell>
          <cell r="I9">
            <v>38.840000000000003</v>
          </cell>
          <cell r="J9">
            <v>1.29</v>
          </cell>
          <cell r="K9">
            <v>26.2</v>
          </cell>
          <cell r="L9">
            <v>4.92</v>
          </cell>
          <cell r="M9">
            <v>14.82</v>
          </cell>
          <cell r="N9">
            <v>0.8</v>
          </cell>
          <cell r="O9">
            <v>8</v>
          </cell>
          <cell r="P9">
            <v>80.474000000000004</v>
          </cell>
          <cell r="Q9">
            <v>24.718999999999998</v>
          </cell>
          <cell r="R9">
            <v>38</v>
          </cell>
          <cell r="S9">
            <v>20</v>
          </cell>
          <cell r="T9">
            <v>17</v>
          </cell>
          <cell r="U9">
            <v>75</v>
          </cell>
          <cell r="V9">
            <v>2.1993440830828099</v>
          </cell>
          <cell r="W9">
            <v>38.034999999999997</v>
          </cell>
          <cell r="X9">
            <v>0.96200867621927166</v>
          </cell>
          <cell r="Y9" t="str">
            <v>60/15</v>
          </cell>
          <cell r="Z9">
            <v>59.528750000000002</v>
          </cell>
          <cell r="AA9">
            <v>15.32375</v>
          </cell>
          <cell r="AC9">
            <v>672.73980054659762</v>
          </cell>
          <cell r="AD9">
            <v>717.38607049467078</v>
          </cell>
          <cell r="AE9">
            <v>0.88487034588459312</v>
          </cell>
          <cell r="AF9">
            <v>0.82980075092553984</v>
          </cell>
          <cell r="AG9">
            <v>371.39607816343266</v>
          </cell>
          <cell r="AH9">
            <v>406.67281361027614</v>
          </cell>
          <cell r="AI9">
            <v>0.40262413326565694</v>
          </cell>
          <cell r="AJ9">
            <v>0.4473185389245834</v>
          </cell>
          <cell r="AK9" t="str">
            <v>25/50</v>
          </cell>
          <cell r="AL9">
            <v>3.6348729160972947E-2</v>
          </cell>
          <cell r="AM9">
            <v>143</v>
          </cell>
          <cell r="AN9">
            <v>6.5759999999999996</v>
          </cell>
          <cell r="AO9">
            <v>4.0878928669035259</v>
          </cell>
          <cell r="AP9">
            <v>29.546218884749152</v>
          </cell>
          <cell r="AQ9">
            <v>0.97677595628415315</v>
          </cell>
          <cell r="AR9">
            <v>2.2416666666666667</v>
          </cell>
          <cell r="AS9">
            <v>0.80128528834898383</v>
          </cell>
          <cell r="AT9">
            <v>529.92514619883048</v>
          </cell>
          <cell r="AU9">
            <v>308.33333333333331</v>
          </cell>
          <cell r="AV9">
            <v>25987.933861710855</v>
          </cell>
          <cell r="AW9">
            <v>8871.4523093741464</v>
          </cell>
          <cell r="AX9">
            <v>1298.715496037169</v>
          </cell>
          <cell r="AY9">
            <v>2557.9652910631321</v>
          </cell>
          <cell r="AZ9">
            <v>23914.173271385625</v>
          </cell>
          <cell r="BA9">
            <v>626.30240229570938</v>
          </cell>
          <cell r="BB9">
            <v>7766.9964471166995</v>
          </cell>
          <cell r="BC9">
            <v>71023.539078983347</v>
          </cell>
          <cell r="BD9">
            <v>27874.524186936327</v>
          </cell>
          <cell r="BE9">
            <v>9556.0096747745283</v>
          </cell>
          <cell r="BF9">
            <v>1111.803771522274</v>
          </cell>
          <cell r="BG9">
            <v>650.14476195681891</v>
          </cell>
          <cell r="BH9">
            <v>73431.617404755423</v>
          </cell>
          <cell r="BO9" t="str">
            <v>NIL</v>
          </cell>
          <cell r="BQ9">
            <v>60369</v>
          </cell>
        </row>
        <row r="10">
          <cell r="A10" t="str">
            <v>F345996</v>
          </cell>
          <cell r="B10">
            <v>45996</v>
          </cell>
          <cell r="C10" t="str">
            <v>Mr. Ajay Singh</v>
          </cell>
          <cell r="D10">
            <v>37.410000000000004</v>
          </cell>
          <cell r="E10">
            <v>0.28999999999999915</v>
          </cell>
          <cell r="F10">
            <v>37.700000000000003</v>
          </cell>
          <cell r="G10">
            <v>29.14</v>
          </cell>
          <cell r="H10">
            <v>10.85</v>
          </cell>
          <cell r="I10">
            <v>38.520000000000003</v>
          </cell>
          <cell r="J10">
            <v>1.32</v>
          </cell>
          <cell r="K10">
            <v>25.88</v>
          </cell>
          <cell r="L10">
            <v>5.0199999999999996</v>
          </cell>
          <cell r="M10">
            <v>15.21</v>
          </cell>
          <cell r="N10">
            <v>0.8</v>
          </cell>
          <cell r="O10">
            <v>8</v>
          </cell>
          <cell r="P10">
            <v>77.698000000000008</v>
          </cell>
          <cell r="Q10">
            <v>23.706</v>
          </cell>
          <cell r="R10">
            <v>34</v>
          </cell>
          <cell r="S10">
            <v>21</v>
          </cell>
          <cell r="T10">
            <v>17</v>
          </cell>
          <cell r="U10">
            <v>72</v>
          </cell>
          <cell r="V10">
            <v>2.0769313017909652</v>
          </cell>
          <cell r="W10">
            <v>38.86</v>
          </cell>
          <cell r="X10">
            <v>0.96268656716417922</v>
          </cell>
          <cell r="Y10" t="str">
            <v>60/15</v>
          </cell>
          <cell r="Z10">
            <v>59.886250000000004</v>
          </cell>
          <cell r="AA10">
            <v>15.062499999999998</v>
          </cell>
          <cell r="AC10">
            <v>538.34487040898159</v>
          </cell>
          <cell r="AD10">
            <v>676.60563544506817</v>
          </cell>
          <cell r="AE10">
            <v>1.1124142402342259</v>
          </cell>
          <cell r="AF10">
            <v>0.88509830339510986</v>
          </cell>
          <cell r="AG10">
            <v>424.92929697941719</v>
          </cell>
          <cell r="AH10">
            <v>379.63117481956692</v>
          </cell>
          <cell r="AI10">
            <v>0.39396063876353743</v>
          </cell>
          <cell r="AJ10">
            <v>0.47157817627238674</v>
          </cell>
          <cell r="AK10" t="str">
            <v>25/50</v>
          </cell>
          <cell r="AL10">
            <v>3.5819299652499331E-2</v>
          </cell>
          <cell r="AM10">
            <v>146</v>
          </cell>
          <cell r="AN10">
            <v>6.5990000000000002</v>
          </cell>
          <cell r="AO10">
            <v>4.079096498262496</v>
          </cell>
          <cell r="AP10">
            <v>29.429265335023086</v>
          </cell>
          <cell r="AQ10">
            <v>0.99726775956284164</v>
          </cell>
          <cell r="AR10">
            <v>2.2333333333333334</v>
          </cell>
          <cell r="AS10">
            <v>0.79527939669882797</v>
          </cell>
          <cell r="AT10">
            <v>553.48726851851859</v>
          </cell>
          <cell r="AU10">
            <v>350</v>
          </cell>
          <cell r="AV10">
            <v>20820.026730820631</v>
          </cell>
          <cell r="AW10">
            <v>9710.389200748461</v>
          </cell>
          <cell r="AX10">
            <v>1411.7080994386527</v>
          </cell>
          <cell r="AY10">
            <v>1866.2483293237103</v>
          </cell>
          <cell r="AZ10">
            <v>23862.714514835603</v>
          </cell>
          <cell r="BA10">
            <v>576.71086875167066</v>
          </cell>
          <cell r="BB10">
            <v>7750.2833466987422</v>
          </cell>
          <cell r="BC10">
            <v>65998.081090617474</v>
          </cell>
          <cell r="BD10">
            <v>26296.706629243516</v>
          </cell>
          <cell r="BE10">
            <v>8863.6260358192994</v>
          </cell>
          <cell r="BF10">
            <v>1027.0248596631916</v>
          </cell>
          <cell r="BG10">
            <v>619.16320368885329</v>
          </cell>
          <cell r="BH10">
            <v>70285.766919272908</v>
          </cell>
          <cell r="BO10" t="str">
            <v>NIL</v>
          </cell>
          <cell r="BQ10">
            <v>60369</v>
          </cell>
        </row>
        <row r="11">
          <cell r="A11" t="str">
            <v>F345997</v>
          </cell>
          <cell r="B11">
            <v>45997</v>
          </cell>
          <cell r="C11" t="str">
            <v>Mr. Ajay Singh</v>
          </cell>
          <cell r="D11">
            <v>37.68</v>
          </cell>
          <cell r="E11">
            <v>0.28000000000000114</v>
          </cell>
          <cell r="F11">
            <v>37.96</v>
          </cell>
          <cell r="G11">
            <v>29.344000000000001</v>
          </cell>
          <cell r="H11">
            <v>10.32</v>
          </cell>
          <cell r="I11">
            <v>38.119999999999997</v>
          </cell>
          <cell r="J11">
            <v>1.38</v>
          </cell>
          <cell r="K11">
            <v>25.72</v>
          </cell>
          <cell r="L11">
            <v>4.8499999999999996</v>
          </cell>
          <cell r="M11">
            <v>15.76</v>
          </cell>
          <cell r="N11">
            <v>0.8</v>
          </cell>
          <cell r="O11">
            <v>8</v>
          </cell>
          <cell r="P11">
            <v>80.308000000000007</v>
          </cell>
          <cell r="Q11">
            <v>24.544999999999998</v>
          </cell>
          <cell r="R11">
            <v>38</v>
          </cell>
          <cell r="S11">
            <v>22</v>
          </cell>
          <cell r="T11">
            <v>15</v>
          </cell>
          <cell r="U11">
            <v>75</v>
          </cell>
          <cell r="V11">
            <v>2.1313163481953294</v>
          </cell>
          <cell r="W11">
            <v>39.134999999999998</v>
          </cell>
          <cell r="X11">
            <v>0.96282100421617478</v>
          </cell>
          <cell r="Y11" t="str">
            <v>60/15</v>
          </cell>
          <cell r="Z11">
            <v>59.763750000000009</v>
          </cell>
          <cell r="AA11">
            <v>14.999999999999998</v>
          </cell>
          <cell r="AC11">
            <v>632.42757197452238</v>
          </cell>
          <cell r="AD11">
            <v>692.38236977972406</v>
          </cell>
          <cell r="AE11">
            <v>0.94498963436097028</v>
          </cell>
          <cell r="AF11">
            <v>0.86316105967593271</v>
          </cell>
          <cell r="AG11">
            <v>333.83917197452234</v>
          </cell>
          <cell r="AH11">
            <v>390.21358811040335</v>
          </cell>
          <cell r="AI11">
            <v>0.55537786296075309</v>
          </cell>
          <cell r="AJ11">
            <v>0.45236894121678889</v>
          </cell>
          <cell r="AK11" t="str">
            <v>25/50</v>
          </cell>
          <cell r="AL11">
            <v>3.4766454352441613E-2</v>
          </cell>
          <cell r="AM11">
            <v>147.1</v>
          </cell>
          <cell r="AN11">
            <v>6.5039999999999996</v>
          </cell>
          <cell r="AO11">
            <v>4.0765392781316345</v>
          </cell>
          <cell r="AP11">
            <v>29.210717021374265</v>
          </cell>
          <cell r="AQ11">
            <v>1.0047814207650274</v>
          </cell>
          <cell r="AR11">
            <v>2.2000000000000002</v>
          </cell>
          <cell r="AS11">
            <v>0.79685920055440063</v>
          </cell>
          <cell r="AT11">
            <v>488.1967592592593</v>
          </cell>
          <cell r="AU11">
            <v>308.33333333333331</v>
          </cell>
          <cell r="AV11">
            <v>24652.725583864118</v>
          </cell>
          <cell r="AW11">
            <v>7709.6411889596611</v>
          </cell>
          <cell r="AX11">
            <v>789.64968152866243</v>
          </cell>
          <cell r="AY11">
            <v>1843.873407643312</v>
          </cell>
          <cell r="AZ11">
            <v>23847.754777070062</v>
          </cell>
          <cell r="BA11">
            <v>588.43644639065815</v>
          </cell>
          <cell r="BB11">
            <v>7745.424628450106</v>
          </cell>
          <cell r="BC11">
            <v>67177.505713906576</v>
          </cell>
          <cell r="BD11">
            <v>26901.514198513803</v>
          </cell>
          <cell r="BE11">
            <v>9118.0104564755839</v>
          </cell>
          <cell r="BF11">
            <v>1074.6974522292994</v>
          </cell>
          <cell r="BG11">
            <v>627.85850291932059</v>
          </cell>
          <cell r="BH11">
            <v>71159.133423301479</v>
          </cell>
          <cell r="BO11" t="str">
            <v>NIL</v>
          </cell>
          <cell r="BQ11">
            <v>60369</v>
          </cell>
        </row>
        <row r="12">
          <cell r="A12" t="str">
            <v>F345998</v>
          </cell>
          <cell r="B12">
            <v>45998</v>
          </cell>
          <cell r="C12" t="str">
            <v>Mr. Ajay Singh</v>
          </cell>
          <cell r="D12">
            <v>36.97</v>
          </cell>
          <cell r="E12">
            <v>0.28000000000000114</v>
          </cell>
          <cell r="F12">
            <v>37.25</v>
          </cell>
          <cell r="G12">
            <v>26.359000000000002</v>
          </cell>
          <cell r="H12">
            <v>11.08</v>
          </cell>
          <cell r="I12">
            <v>38.619999999999997</v>
          </cell>
          <cell r="J12">
            <v>1.42</v>
          </cell>
          <cell r="K12">
            <v>26.02</v>
          </cell>
          <cell r="L12">
            <v>4.6500000000000004</v>
          </cell>
          <cell r="M12">
            <v>15.12</v>
          </cell>
          <cell r="N12">
            <v>0.79</v>
          </cell>
          <cell r="O12">
            <v>8</v>
          </cell>
          <cell r="P12">
            <v>79.045999999999992</v>
          </cell>
          <cell r="Q12">
            <v>25.38</v>
          </cell>
          <cell r="R12">
            <v>30</v>
          </cell>
          <cell r="S12">
            <v>24</v>
          </cell>
          <cell r="T12">
            <v>20</v>
          </cell>
          <cell r="U12">
            <v>74</v>
          </cell>
          <cell r="V12">
            <v>2.1381119826886663</v>
          </cell>
          <cell r="W12">
            <v>38.394999999999996</v>
          </cell>
          <cell r="X12">
            <v>0.96288579242088823</v>
          </cell>
          <cell r="Y12" t="str">
            <v>60/15</v>
          </cell>
          <cell r="Z12">
            <v>59.364999999999995</v>
          </cell>
          <cell r="AA12">
            <v>14.628749999999998</v>
          </cell>
          <cell r="AC12">
            <v>864.4240091966459</v>
          </cell>
          <cell r="AD12">
            <v>693.70735985934562</v>
          </cell>
          <cell r="AE12">
            <v>0.68675788002661997</v>
          </cell>
          <cell r="AF12">
            <v>0.85576430978095286</v>
          </cell>
          <cell r="AG12">
            <v>402.86130646470116</v>
          </cell>
          <cell r="AH12">
            <v>406.51574249391399</v>
          </cell>
          <cell r="AI12">
            <v>0.49277797246913896</v>
          </cell>
          <cell r="AJ12">
            <v>0.43565361051139906</v>
          </cell>
          <cell r="AK12" t="str">
            <v>25/50</v>
          </cell>
          <cell r="AL12">
            <v>3.6516094130375987E-2</v>
          </cell>
          <cell r="AM12">
            <v>145.4</v>
          </cell>
          <cell r="AN12">
            <v>6.1840000000000002</v>
          </cell>
          <cell r="AO12">
            <v>4.1001893427103058</v>
          </cell>
          <cell r="AP12">
            <v>29.167788158358654</v>
          </cell>
          <cell r="AQ12">
            <v>0.99316939890710398</v>
          </cell>
          <cell r="AR12">
            <v>2.3073333333333328</v>
          </cell>
          <cell r="AS12">
            <v>0.79633811625879325</v>
          </cell>
          <cell r="AT12">
            <v>448.7581018518519</v>
          </cell>
          <cell r="AU12">
            <v>300</v>
          </cell>
          <cell r="AV12">
            <v>33819.143900459836</v>
          </cell>
          <cell r="AW12">
            <v>9498.6875845279956</v>
          </cell>
          <cell r="AX12">
            <v>878.57722477684615</v>
          </cell>
          <cell r="AY12">
            <v>2013.6854206113064</v>
          </cell>
          <cell r="AZ12">
            <v>23986.107654855288</v>
          </cell>
          <cell r="BA12">
            <v>701.96201785231267</v>
          </cell>
          <cell r="BB12">
            <v>7790.3597511495809</v>
          </cell>
          <cell r="BC12">
            <v>78688.523554233165</v>
          </cell>
          <cell r="BD12">
            <v>26950.627265350282</v>
          </cell>
          <cell r="BE12">
            <v>9392.5634298079531</v>
          </cell>
          <cell r="BF12">
            <v>1082.7589937787395</v>
          </cell>
          <cell r="BG12">
            <v>634.25742764403572</v>
          </cell>
          <cell r="BH12">
            <v>71850.359943197182</v>
          </cell>
          <cell r="BO12" t="str">
            <v>NIL</v>
          </cell>
          <cell r="BQ12">
            <v>60369</v>
          </cell>
        </row>
        <row r="13">
          <cell r="A13" t="str">
            <v>F345999</v>
          </cell>
          <cell r="B13">
            <v>45999</v>
          </cell>
          <cell r="C13" t="str">
            <v>Mr. Ajay Singh</v>
          </cell>
          <cell r="D13">
            <v>37.139999999999993</v>
          </cell>
          <cell r="E13">
            <v>0.30500000000000682</v>
          </cell>
          <cell r="F13">
            <v>37.445</v>
          </cell>
          <cell r="G13">
            <v>28.472999999999999</v>
          </cell>
          <cell r="H13">
            <v>10.74</v>
          </cell>
          <cell r="I13">
            <v>38.78</v>
          </cell>
          <cell r="J13">
            <v>1.3</v>
          </cell>
          <cell r="K13">
            <v>25.88</v>
          </cell>
          <cell r="L13">
            <v>4.8499999999999996</v>
          </cell>
          <cell r="M13">
            <v>15.28</v>
          </cell>
          <cell r="N13">
            <v>0.79</v>
          </cell>
          <cell r="O13">
            <v>8</v>
          </cell>
          <cell r="P13">
            <v>79.573000000000008</v>
          </cell>
          <cell r="Q13">
            <v>25.592999999999996</v>
          </cell>
          <cell r="R13">
            <v>37</v>
          </cell>
          <cell r="S13">
            <v>20</v>
          </cell>
          <cell r="T13">
            <v>17</v>
          </cell>
          <cell r="U13">
            <v>74</v>
          </cell>
          <cell r="V13">
            <v>2.1425148088314492</v>
          </cell>
          <cell r="W13">
            <v>38.605000000000004</v>
          </cell>
          <cell r="X13">
            <v>0.9620515477269781</v>
          </cell>
          <cell r="Y13" t="str">
            <v>60/15</v>
          </cell>
          <cell r="Z13">
            <v>59.569999999999993</v>
          </cell>
          <cell r="AA13">
            <v>14.531249999999998</v>
          </cell>
          <cell r="AC13">
            <v>713.07352773290279</v>
          </cell>
          <cell r="AD13">
            <v>696.89930685245031</v>
          </cell>
          <cell r="AE13">
            <v>0.8353977210371667</v>
          </cell>
          <cell r="AF13">
            <v>0.85478632873159599</v>
          </cell>
          <cell r="AG13">
            <v>382.56132202477119</v>
          </cell>
          <cell r="AH13">
            <v>408.37169493807221</v>
          </cell>
          <cell r="AI13">
            <v>0.496511910445745</v>
          </cell>
          <cell r="AJ13">
            <v>0.43341872246806623</v>
          </cell>
          <cell r="AK13" t="str">
            <v>25/50</v>
          </cell>
          <cell r="AL13">
            <v>3.7964458804523427E-2</v>
          </cell>
          <cell r="AM13">
            <v>143.6</v>
          </cell>
          <cell r="AN13">
            <v>6.3659999999999997</v>
          </cell>
          <cell r="AO13">
            <v>4.0378567582121709</v>
          </cell>
          <cell r="AP13">
            <v>29.257387308683562</v>
          </cell>
          <cell r="AQ13">
            <v>0.9808743169398908</v>
          </cell>
          <cell r="AR13">
            <v>2.1500000000000004</v>
          </cell>
          <cell r="AS13">
            <v>0.79010012910652616</v>
          </cell>
          <cell r="AT13">
            <v>536.34259259259261</v>
          </cell>
          <cell r="AU13">
            <v>283.33333333333331</v>
          </cell>
          <cell r="AV13">
            <v>27911.744749596128</v>
          </cell>
          <cell r="AW13">
            <v>8945.730210016156</v>
          </cell>
          <cell r="AX13">
            <v>926.17124394184179</v>
          </cell>
          <cell r="AY13">
            <v>2292.7174205708134</v>
          </cell>
          <cell r="AZ13">
            <v>23621.462035541201</v>
          </cell>
          <cell r="BA13">
            <v>636.97825659666137</v>
          </cell>
          <cell r="BB13">
            <v>7671.9278406031244</v>
          </cell>
          <cell r="BC13">
            <v>72006.73175686592</v>
          </cell>
          <cell r="BD13">
            <v>27078.708131394731</v>
          </cell>
          <cell r="BE13">
            <v>9433.6354334948846</v>
          </cell>
          <cell r="BF13">
            <v>1074.329563812601</v>
          </cell>
          <cell r="BG13">
            <v>635.00852584814231</v>
          </cell>
          <cell r="BH13">
            <v>71807.788951265495</v>
          </cell>
          <cell r="BI13">
            <v>20</v>
          </cell>
          <cell r="BN13">
            <v>20</v>
          </cell>
          <cell r="BO13" t="str">
            <v>Seal Box Maintance</v>
          </cell>
          <cell r="BQ13">
            <v>60369</v>
          </cell>
        </row>
        <row r="14">
          <cell r="A14" t="str">
            <v>F346000</v>
          </cell>
          <cell r="B14">
            <v>46000</v>
          </cell>
          <cell r="C14" t="str">
            <v>Mr. Ajay Singh</v>
          </cell>
          <cell r="D14">
            <v>36.19</v>
          </cell>
          <cell r="E14">
            <v>0.31000000000000227</v>
          </cell>
          <cell r="F14">
            <v>36.5</v>
          </cell>
          <cell r="G14">
            <v>28.192000000000004</v>
          </cell>
          <cell r="H14">
            <v>10.89</v>
          </cell>
          <cell r="I14">
            <v>38.86</v>
          </cell>
          <cell r="J14">
            <v>1.32</v>
          </cell>
          <cell r="K14">
            <v>25.52</v>
          </cell>
          <cell r="L14">
            <v>5.12</v>
          </cell>
          <cell r="M14">
            <v>15.21</v>
          </cell>
          <cell r="N14">
            <v>0.79</v>
          </cell>
          <cell r="O14">
            <v>8</v>
          </cell>
          <cell r="P14">
            <v>79.779999999999987</v>
          </cell>
          <cell r="Q14">
            <v>25.768000000000001</v>
          </cell>
          <cell r="R14">
            <v>41</v>
          </cell>
          <cell r="S14">
            <v>16</v>
          </cell>
          <cell r="T14">
            <v>17</v>
          </cell>
          <cell r="U14">
            <v>74</v>
          </cell>
          <cell r="V14">
            <v>2.2044763746891403</v>
          </cell>
          <cell r="W14">
            <v>37.6</v>
          </cell>
          <cell r="X14">
            <v>0.96249999999999991</v>
          </cell>
          <cell r="Y14" t="str">
            <v>60/15</v>
          </cell>
          <cell r="Z14">
            <v>59.764999999999993</v>
          </cell>
          <cell r="AA14">
            <v>14.366249999999999</v>
          </cell>
          <cell r="AC14">
            <v>706.58589546836151</v>
          </cell>
          <cell r="AD14">
            <v>717.43100479690543</v>
          </cell>
          <cell r="AE14">
            <v>0.84582780923449752</v>
          </cell>
          <cell r="AF14">
            <v>0.8330417782392695</v>
          </cell>
          <cell r="AG14">
            <v>494.29538546559826</v>
          </cell>
          <cell r="AH14">
            <v>422.03147278253664</v>
          </cell>
          <cell r="AI14">
            <v>0.30757919261385708</v>
          </cell>
          <cell r="AJ14">
            <v>0.41178969836741403</v>
          </cell>
          <cell r="AK14" t="str">
            <v>25/50</v>
          </cell>
          <cell r="AL14">
            <v>3.5921525283227417E-2</v>
          </cell>
          <cell r="AM14">
            <v>141.19999999999999</v>
          </cell>
          <cell r="AN14">
            <v>6.2910000000000004</v>
          </cell>
          <cell r="AO14">
            <v>4.0754628350373032</v>
          </cell>
          <cell r="AP14">
            <v>29.284714711933233</v>
          </cell>
          <cell r="AQ14">
            <v>0.96448087431693996</v>
          </cell>
          <cell r="AR14">
            <v>2.19</v>
          </cell>
          <cell r="AS14">
            <v>0.79271608811090399</v>
          </cell>
          <cell r="AT14">
            <v>569.82269503546104</v>
          </cell>
          <cell r="AU14">
            <v>266.66666666666669</v>
          </cell>
          <cell r="AV14">
            <v>27354.343741365017</v>
          </cell>
          <cell r="AW14">
            <v>11156.581928709589</v>
          </cell>
          <cell r="AX14">
            <v>1693.5617573915447</v>
          </cell>
          <cell r="AY14">
            <v>1841.5957446808513</v>
          </cell>
          <cell r="AZ14">
            <v>23841.457584968222</v>
          </cell>
          <cell r="BA14">
            <v>658.87540757115232</v>
          </cell>
          <cell r="BB14">
            <v>7743.3793865708758</v>
          </cell>
          <cell r="BC14">
            <v>74289.795551257252</v>
          </cell>
          <cell r="BD14">
            <v>27877.171594363084</v>
          </cell>
          <cell r="BE14">
            <v>9751.8379662890311</v>
          </cell>
          <cell r="BF14">
            <v>1141.0859353412545</v>
          </cell>
          <cell r="BG14">
            <v>644.53148825642438</v>
          </cell>
          <cell r="BH14">
            <v>72841.059700469748</v>
          </cell>
          <cell r="BO14" t="str">
            <v>NIL</v>
          </cell>
          <cell r="BQ14">
            <v>60369</v>
          </cell>
        </row>
        <row r="15">
          <cell r="A15" t="str">
            <v>F346001</v>
          </cell>
          <cell r="B15">
            <v>46001</v>
          </cell>
          <cell r="C15" t="str">
            <v>Mr. Ajay Singh</v>
          </cell>
          <cell r="D15">
            <v>36.959999999999994</v>
          </cell>
          <cell r="E15">
            <v>0.29000000000000625</v>
          </cell>
          <cell r="F15">
            <v>37.25</v>
          </cell>
          <cell r="G15">
            <v>28.637000000000004</v>
          </cell>
          <cell r="H15">
            <v>10.37</v>
          </cell>
          <cell r="I15">
            <v>38.68</v>
          </cell>
          <cell r="J15">
            <v>1.38</v>
          </cell>
          <cell r="K15">
            <v>25.82</v>
          </cell>
          <cell r="L15">
            <v>4.66</v>
          </cell>
          <cell r="M15">
            <v>15.82</v>
          </cell>
          <cell r="N15">
            <v>0.79</v>
          </cell>
          <cell r="O15">
            <v>8</v>
          </cell>
          <cell r="P15">
            <v>76.384</v>
          </cell>
          <cell r="Q15">
            <v>25.606000000000002</v>
          </cell>
          <cell r="R15">
            <v>34</v>
          </cell>
          <cell r="S15">
            <v>24</v>
          </cell>
          <cell r="T15">
            <v>14</v>
          </cell>
          <cell r="U15">
            <v>72</v>
          </cell>
          <cell r="V15">
            <v>2.0666666666666669</v>
          </cell>
          <cell r="W15">
            <v>38.4</v>
          </cell>
          <cell r="X15">
            <v>0.96249999999999991</v>
          </cell>
          <cell r="Y15" t="str">
            <v>60/15</v>
          </cell>
          <cell r="Z15">
            <v>59.641249999999999</v>
          </cell>
          <cell r="AA15">
            <v>15.257499999999999</v>
          </cell>
          <cell r="AC15">
            <v>672.82950102813868</v>
          </cell>
          <cell r="AD15">
            <v>672.78852971861488</v>
          </cell>
          <cell r="AE15">
            <v>0.88642441969121855</v>
          </cell>
          <cell r="AF15">
            <v>0.88647840094634456</v>
          </cell>
          <cell r="AG15">
            <v>313.27306547619054</v>
          </cell>
          <cell r="AH15">
            <v>409.27819940476195</v>
          </cell>
          <cell r="AI15">
            <v>0.53266395275402922</v>
          </cell>
          <cell r="AJ15">
            <v>0.46295899266595686</v>
          </cell>
          <cell r="AK15" t="str">
            <v>25/50</v>
          </cell>
          <cell r="AL15">
            <v>3.5984848484848495E-2</v>
          </cell>
          <cell r="AM15">
            <v>144.30000000000001</v>
          </cell>
          <cell r="AN15">
            <v>6.2140000000000004</v>
          </cell>
          <cell r="AO15">
            <v>4.0723484848484857</v>
          </cell>
          <cell r="AP15">
            <v>29.243419016840726</v>
          </cell>
          <cell r="AQ15">
            <v>0.98565573770491821</v>
          </cell>
          <cell r="AR15">
            <v>2.1433333333333331</v>
          </cell>
          <cell r="AS15">
            <v>0.79036849527863751</v>
          </cell>
          <cell r="AT15">
            <v>509.97908979089789</v>
          </cell>
          <cell r="AU15">
            <v>216.66666666666666</v>
          </cell>
          <cell r="AV15">
            <v>25992.003517316025</v>
          </cell>
          <cell r="AW15">
            <v>7206.9318181818198</v>
          </cell>
          <cell r="AX15">
            <v>848.13311688311705</v>
          </cell>
          <cell r="AY15">
            <v>2340.2468885281387</v>
          </cell>
          <cell r="AZ15">
            <v>23823.23863636364</v>
          </cell>
          <cell r="BA15">
            <v>602.10553977272741</v>
          </cell>
          <cell r="BB15">
            <v>7737.4621212121228</v>
          </cell>
          <cell r="BC15">
            <v>68550.121638257595</v>
          </cell>
          <cell r="BD15">
            <v>26131.276920995675</v>
          </cell>
          <cell r="BE15">
            <v>9399.6466450216467</v>
          </cell>
          <cell r="BF15">
            <v>1053.8474025974026</v>
          </cell>
          <cell r="BG15">
            <v>627.48256493506506</v>
          </cell>
          <cell r="BH15">
            <v>71113.201179653697</v>
          </cell>
          <cell r="BO15" t="str">
            <v>NIL</v>
          </cell>
          <cell r="BQ15">
            <v>60369</v>
          </cell>
        </row>
        <row r="16">
          <cell r="A16" t="str">
            <v>F346002</v>
          </cell>
          <cell r="B16">
            <v>46002</v>
          </cell>
          <cell r="C16" t="str">
            <v>Mr. Ajay Singh</v>
          </cell>
          <cell r="D16">
            <v>38.21</v>
          </cell>
          <cell r="E16">
            <v>0.28999999999999915</v>
          </cell>
          <cell r="F16">
            <v>38.5</v>
          </cell>
          <cell r="G16">
            <v>29.47</v>
          </cell>
          <cell r="H16">
            <v>10.88</v>
          </cell>
          <cell r="I16">
            <v>38.1</v>
          </cell>
          <cell r="J16">
            <v>1.38</v>
          </cell>
          <cell r="K16">
            <v>25.62</v>
          </cell>
          <cell r="L16">
            <v>5.0199999999999996</v>
          </cell>
          <cell r="M16">
            <v>15.21</v>
          </cell>
          <cell r="N16">
            <v>0.8</v>
          </cell>
          <cell r="O16">
            <v>8</v>
          </cell>
          <cell r="P16">
            <v>81.120999999999995</v>
          </cell>
          <cell r="Q16">
            <v>26.702999999999999</v>
          </cell>
          <cell r="R16">
            <v>32</v>
          </cell>
          <cell r="S16">
            <v>20</v>
          </cell>
          <cell r="T16">
            <v>23</v>
          </cell>
          <cell r="U16">
            <v>75</v>
          </cell>
          <cell r="V16">
            <v>2.1230306202564773</v>
          </cell>
          <cell r="W16">
            <v>39.695000000000007</v>
          </cell>
          <cell r="X16">
            <v>0.96258974681949849</v>
          </cell>
          <cell r="Y16" t="str">
            <v>60/15</v>
          </cell>
          <cell r="Z16">
            <v>59.784999999999997</v>
          </cell>
          <cell r="AA16">
            <v>15.05875</v>
          </cell>
          <cell r="AC16">
            <v>786.8890879612668</v>
          </cell>
          <cell r="AD16">
            <v>691.3713644595656</v>
          </cell>
          <cell r="AE16">
            <v>0.75976399869638056</v>
          </cell>
          <cell r="AF16">
            <v>0.8647306364320283</v>
          </cell>
          <cell r="AG16">
            <v>516.98468987176125</v>
          </cell>
          <cell r="AH16">
            <v>409.24848861554563</v>
          </cell>
          <cell r="AI16">
            <v>0.33182629528156971</v>
          </cell>
          <cell r="AJ16">
            <v>0.45216503569437849</v>
          </cell>
          <cell r="AK16" t="str">
            <v>25/50</v>
          </cell>
          <cell r="AL16">
            <v>3.6116199947657676E-2</v>
          </cell>
          <cell r="AM16">
            <v>147</v>
          </cell>
          <cell r="AN16">
            <v>6.1059999999999999</v>
          </cell>
          <cell r="AO16">
            <v>4.0069615283957081</v>
          </cell>
          <cell r="AP16">
            <v>29.306316518382115</v>
          </cell>
          <cell r="AQ16">
            <v>1.0040983606557379</v>
          </cell>
          <cell r="AR16">
            <v>2.1533333333333333</v>
          </cell>
          <cell r="AS16">
            <v>0.79453133543332422</v>
          </cell>
          <cell r="AT16">
            <v>528.35690235690242</v>
          </cell>
          <cell r="AU16">
            <v>183.33333333333334</v>
          </cell>
          <cell r="AV16">
            <v>30714.94765768123</v>
          </cell>
          <cell r="AW16">
            <v>11630.183721538862</v>
          </cell>
          <cell r="AX16">
            <v>1719.9162522899765</v>
          </cell>
          <cell r="AY16">
            <v>2178.1196021983774</v>
          </cell>
          <cell r="AZ16">
            <v>23440.724941114891</v>
          </cell>
          <cell r="BA16">
            <v>696.83892174823347</v>
          </cell>
          <cell r="BB16">
            <v>7613.2269039518451</v>
          </cell>
          <cell r="BC16">
            <v>77993.958000523417</v>
          </cell>
          <cell r="BD16">
            <v>26865.00287882753</v>
          </cell>
          <cell r="BE16">
            <v>9289.1232138183714</v>
          </cell>
          <cell r="BF16">
            <v>1059.0840094216173</v>
          </cell>
          <cell r="BG16">
            <v>628.32054645380788</v>
          </cell>
          <cell r="BH16">
            <v>71073.602095786438</v>
          </cell>
          <cell r="BO16" t="str">
            <v>NIL</v>
          </cell>
          <cell r="BQ16">
            <v>60369</v>
          </cell>
        </row>
        <row r="17">
          <cell r="A17" t="str">
            <v>F346003</v>
          </cell>
          <cell r="B17">
            <v>46003</v>
          </cell>
          <cell r="C17" t="str">
            <v>Mr. Ajay Singh</v>
          </cell>
          <cell r="D17">
            <v>37.72</v>
          </cell>
          <cell r="E17">
            <v>0.25</v>
          </cell>
          <cell r="F17">
            <v>37.97</v>
          </cell>
          <cell r="G17">
            <v>29.150000000000002</v>
          </cell>
          <cell r="H17">
            <v>10.1</v>
          </cell>
          <cell r="I17">
            <v>38.92</v>
          </cell>
          <cell r="J17">
            <v>1.26</v>
          </cell>
          <cell r="K17">
            <v>25.8</v>
          </cell>
          <cell r="L17">
            <v>4.96</v>
          </cell>
          <cell r="M17">
            <v>15.82</v>
          </cell>
          <cell r="N17">
            <v>0.79</v>
          </cell>
          <cell r="O17">
            <v>8</v>
          </cell>
          <cell r="P17">
            <v>79.972999999999999</v>
          </cell>
          <cell r="Q17">
            <v>26.210999999999999</v>
          </cell>
          <cell r="R17">
            <v>30</v>
          </cell>
          <cell r="S17">
            <v>20</v>
          </cell>
          <cell r="T17">
            <v>24</v>
          </cell>
          <cell r="U17">
            <v>74</v>
          </cell>
          <cell r="V17">
            <v>2.1201749734888655</v>
          </cell>
          <cell r="W17">
            <v>39.145000000000003</v>
          </cell>
          <cell r="X17">
            <v>0.96359688338229643</v>
          </cell>
          <cell r="Y17" t="str">
            <v>60/15</v>
          </cell>
          <cell r="Z17">
            <v>59.742500000000007</v>
          </cell>
          <cell r="AA17">
            <v>15.108750000000001</v>
          </cell>
          <cell r="AC17">
            <v>718.51387773064687</v>
          </cell>
          <cell r="AD17">
            <v>690.5267554241783</v>
          </cell>
          <cell r="AE17">
            <v>0.83147315384764209</v>
          </cell>
          <cell r="AF17">
            <v>0.86517284856401044</v>
          </cell>
          <cell r="AG17">
            <v>234.71480646871683</v>
          </cell>
          <cell r="AH17">
            <v>403.90668743372214</v>
          </cell>
          <cell r="AI17">
            <v>0.51741582858159263</v>
          </cell>
          <cell r="AJ17">
            <v>0.46068353411151919</v>
          </cell>
          <cell r="AK17" t="str">
            <v>25/50</v>
          </cell>
          <cell r="AL17">
            <v>3.4199363732767767E-2</v>
          </cell>
          <cell r="AM17">
            <v>144.19999999999999</v>
          </cell>
          <cell r="AN17">
            <v>5.899</v>
          </cell>
          <cell r="AO17">
            <v>3.979294803817603</v>
          </cell>
          <cell r="AP17">
            <v>29.636880976037141</v>
          </cell>
          <cell r="AQ17">
            <v>0.98497267759562845</v>
          </cell>
          <cell r="AR17">
            <v>2.0750000000000002</v>
          </cell>
          <cell r="AS17">
            <v>0.78811313212689527</v>
          </cell>
          <cell r="AT17">
            <v>517.12332112332115</v>
          </cell>
          <cell r="AU17">
            <v>283.33333333333331</v>
          </cell>
          <cell r="AV17">
            <v>27791.866383881228</v>
          </cell>
          <cell r="AW17">
            <v>4720.8022269353132</v>
          </cell>
          <cell r="AX17">
            <v>824.60233297985155</v>
          </cell>
          <cell r="AY17">
            <v>1812.6179745493107</v>
          </cell>
          <cell r="AZ17">
            <v>23278.874602332977</v>
          </cell>
          <cell r="BA17">
            <v>584.28763520678683</v>
          </cell>
          <cell r="BB17">
            <v>7560.6601272534454</v>
          </cell>
          <cell r="BC17">
            <v>66573.711283138909</v>
          </cell>
          <cell r="BD17">
            <v>26832.77081124072</v>
          </cell>
          <cell r="BE17">
            <v>9089.0494167550387</v>
          </cell>
          <cell r="BF17">
            <v>1041.4501590668083</v>
          </cell>
          <cell r="BG17">
            <v>620.54762963944859</v>
          </cell>
          <cell r="BH17">
            <v>70235.970720837751</v>
          </cell>
          <cell r="BM17">
            <v>20</v>
          </cell>
          <cell r="BN17">
            <v>20</v>
          </cell>
          <cell r="BO17" t="str">
            <v>Power Grids supply failure.</v>
          </cell>
          <cell r="BQ17">
            <v>60369</v>
          </cell>
        </row>
        <row r="18">
          <cell r="A18" t="str">
            <v>F346004</v>
          </cell>
          <cell r="B18">
            <v>46004</v>
          </cell>
          <cell r="C18" t="str">
            <v>Mr. Ajay Singh</v>
          </cell>
          <cell r="D18">
            <v>34.220000000000006</v>
          </cell>
          <cell r="E18">
            <v>0.19999999999999574</v>
          </cell>
          <cell r="F18">
            <v>34.42</v>
          </cell>
          <cell r="G18">
            <v>26.42</v>
          </cell>
          <cell r="H18">
            <v>10.09</v>
          </cell>
          <cell r="I18">
            <v>39.08</v>
          </cell>
          <cell r="J18">
            <v>1.3</v>
          </cell>
          <cell r="K18">
            <v>25.62</v>
          </cell>
          <cell r="L18">
            <v>5.12</v>
          </cell>
          <cell r="M18">
            <v>15.62</v>
          </cell>
          <cell r="N18">
            <v>0.79</v>
          </cell>
          <cell r="O18">
            <v>8</v>
          </cell>
          <cell r="P18">
            <v>69.494</v>
          </cell>
          <cell r="Q18">
            <v>23.096999999999998</v>
          </cell>
          <cell r="R18">
            <v>32</v>
          </cell>
          <cell r="S18">
            <v>18</v>
          </cell>
          <cell r="T18">
            <v>16</v>
          </cell>
          <cell r="U18">
            <v>66</v>
          </cell>
          <cell r="V18">
            <v>2.0308007013442428</v>
          </cell>
          <cell r="W18">
            <v>35.484999999999999</v>
          </cell>
          <cell r="X18">
            <v>0.96435113428209118</v>
          </cell>
          <cell r="Y18" t="str">
            <v>60/15</v>
          </cell>
          <cell r="Z18">
            <v>59.830375000000004</v>
          </cell>
          <cell r="AA18">
            <v>14.497499999999999</v>
          </cell>
          <cell r="AC18">
            <v>738.44949836352998</v>
          </cell>
          <cell r="AD18">
            <v>661.48607867913495</v>
          </cell>
          <cell r="AE18">
            <v>0.81021620479923762</v>
          </cell>
          <cell r="AF18">
            <v>0.90448426548099348</v>
          </cell>
          <cell r="AG18">
            <v>439.39158386908241</v>
          </cell>
          <cell r="AH18">
            <v>394.45629018118052</v>
          </cell>
          <cell r="AI18">
            <v>0.49264372494221215</v>
          </cell>
          <cell r="AJ18">
            <v>0.44998665041340763</v>
          </cell>
          <cell r="AK18" t="str">
            <v>25/50</v>
          </cell>
          <cell r="AL18">
            <v>3.506721215663354E-2</v>
          </cell>
          <cell r="AM18">
            <v>135.4</v>
          </cell>
          <cell r="AN18">
            <v>5.7629999999999999</v>
          </cell>
          <cell r="AO18">
            <v>4.1251607247223845</v>
          </cell>
          <cell r="AP18">
            <v>29.823522545981557</v>
          </cell>
          <cell r="AQ18">
            <v>0.92486338797814227</v>
          </cell>
          <cell r="AR18">
            <v>2.1</v>
          </cell>
          <cell r="AS18">
            <v>0.79704808526290438</v>
          </cell>
          <cell r="AT18">
            <v>510.71296296296299</v>
          </cell>
          <cell r="AU18">
            <v>283.33333333333331</v>
          </cell>
          <cell r="AV18">
            <v>28868.576855639974</v>
          </cell>
          <cell r="AW18">
            <v>10038.709526592635</v>
          </cell>
          <cell r="AX18">
            <v>856.07831677381637</v>
          </cell>
          <cell r="AY18">
            <v>1905.2001753360605</v>
          </cell>
          <cell r="AZ18">
            <v>24132.19023962595</v>
          </cell>
          <cell r="BA18">
            <v>658.00755113968432</v>
          </cell>
          <cell r="BB18">
            <v>7837.8053769725302</v>
          </cell>
          <cell r="BC18">
            <v>74296.568042080646</v>
          </cell>
          <cell r="BD18">
            <v>25705.602425482171</v>
          </cell>
          <cell r="BE18">
            <v>8876.1658094681461</v>
          </cell>
          <cell r="BF18">
            <v>1352.9193454120395</v>
          </cell>
          <cell r="BG18">
            <v>619.72077995324366</v>
          </cell>
          <cell r="BH18">
            <v>70429.604152250133</v>
          </cell>
          <cell r="BK18">
            <v>10</v>
          </cell>
          <cell r="BM18">
            <v>75</v>
          </cell>
          <cell r="BN18">
            <v>85</v>
          </cell>
          <cell r="BO18" t="str">
            <v>Power grids supply failure and Electrode Lengths Measurment</v>
          </cell>
          <cell r="BQ18">
            <v>60369</v>
          </cell>
        </row>
        <row r="19">
          <cell r="A19" t="str">
            <v>F346005</v>
          </cell>
          <cell r="B19">
            <v>46005</v>
          </cell>
          <cell r="C19" t="str">
            <v>Mr. Ajay Singh</v>
          </cell>
          <cell r="D19">
            <v>21.61</v>
          </cell>
          <cell r="E19">
            <v>0</v>
          </cell>
          <cell r="F19">
            <v>21.61</v>
          </cell>
          <cell r="G19">
            <v>16.701999999999998</v>
          </cell>
          <cell r="H19">
            <v>10.52</v>
          </cell>
          <cell r="I19">
            <v>39.380000000000003</v>
          </cell>
          <cell r="J19">
            <v>1.32</v>
          </cell>
          <cell r="K19">
            <v>25.72</v>
          </cell>
          <cell r="L19">
            <v>5.21</v>
          </cell>
          <cell r="M19">
            <v>14.88</v>
          </cell>
          <cell r="N19">
            <v>0.79</v>
          </cell>
          <cell r="O19">
            <v>4</v>
          </cell>
          <cell r="P19">
            <v>52.545000000000009</v>
          </cell>
          <cell r="Q19">
            <v>17.578999999999997</v>
          </cell>
          <cell r="R19">
            <v>22</v>
          </cell>
          <cell r="S19">
            <v>9</v>
          </cell>
          <cell r="T19">
            <v>17</v>
          </cell>
          <cell r="U19">
            <v>48</v>
          </cell>
          <cell r="V19">
            <v>2.4315131883387324</v>
          </cell>
          <cell r="W19">
            <v>22.28</v>
          </cell>
          <cell r="X19">
            <v>0.96992818671454206</v>
          </cell>
          <cell r="Y19" t="str">
            <v>60/15</v>
          </cell>
          <cell r="Z19">
            <v>59.515000000000001</v>
          </cell>
          <cell r="AA19">
            <v>15.15</v>
          </cell>
          <cell r="AC19">
            <v>821.16212031466932</v>
          </cell>
          <cell r="AD19">
            <v>787.99600313280905</v>
          </cell>
          <cell r="AE19">
            <v>0.72476553079669392</v>
          </cell>
          <cell r="AF19">
            <v>0.75527032831877605</v>
          </cell>
          <cell r="AG19">
            <v>528.43706617306805</v>
          </cell>
          <cell r="AH19">
            <v>479.81491207774172</v>
          </cell>
          <cell r="AI19">
            <v>0.37257701109212865</v>
          </cell>
          <cell r="AJ19">
            <v>0.3973762477565923</v>
          </cell>
          <cell r="AK19" t="str">
            <v>25/50</v>
          </cell>
          <cell r="AL19">
            <v>3.2855159648310969E-2</v>
          </cell>
          <cell r="AM19">
            <v>90.1</v>
          </cell>
          <cell r="AN19">
            <v>4.3380000000000001</v>
          </cell>
          <cell r="AO19">
            <v>4.3701064322073107</v>
          </cell>
          <cell r="AP19">
            <v>29.994704480553796</v>
          </cell>
          <cell r="AQ19">
            <v>0.6154371584699454</v>
          </cell>
          <cell r="AR19">
            <v>2.1</v>
          </cell>
          <cell r="AS19">
            <v>0.80585773790085435</v>
          </cell>
          <cell r="AT19">
            <v>480.97453703703701</v>
          </cell>
          <cell r="AU19">
            <v>150</v>
          </cell>
          <cell r="AV19">
            <v>31554.641369736237</v>
          </cell>
          <cell r="AW19">
            <v>12012.680240629339</v>
          </cell>
          <cell r="AX19">
            <v>1193.1975937066175</v>
          </cell>
          <cell r="AY19">
            <v>3410.8352614530309</v>
          </cell>
          <cell r="AZ19">
            <v>25565.122628412766</v>
          </cell>
          <cell r="BA19">
            <v>737.36477093937981</v>
          </cell>
          <cell r="BB19">
            <v>8303.2022211938911</v>
          </cell>
          <cell r="BC19">
            <v>82777.044086071255</v>
          </cell>
          <cell r="BD19">
            <v>30600.20384081444</v>
          </cell>
          <cell r="BE19">
            <v>10866.286904211012</v>
          </cell>
          <cell r="BF19">
            <v>1240.0647848218418</v>
          </cell>
          <cell r="BG19">
            <v>716.82513419713098</v>
          </cell>
          <cell r="BH19">
            <v>80702.54077510412</v>
          </cell>
          <cell r="BI19">
            <v>40</v>
          </cell>
          <cell r="BM19">
            <v>455</v>
          </cell>
          <cell r="BN19">
            <v>495</v>
          </cell>
          <cell r="BO19" t="str">
            <v>Power Grids supply failure and Pressure Ring Change.</v>
          </cell>
          <cell r="BQ19">
            <v>60369</v>
          </cell>
        </row>
        <row r="20">
          <cell r="A20" t="str">
            <v>F346006</v>
          </cell>
          <cell r="B20">
            <v>46006</v>
          </cell>
          <cell r="C20" t="str">
            <v>Mr. Ajay Singh</v>
          </cell>
          <cell r="D20">
            <v>37.92</v>
          </cell>
          <cell r="E20">
            <v>0</v>
          </cell>
          <cell r="F20">
            <v>37.92</v>
          </cell>
          <cell r="G20">
            <v>28.35</v>
          </cell>
          <cell r="H20">
            <v>11.08</v>
          </cell>
          <cell r="I20">
            <v>38.42</v>
          </cell>
          <cell r="J20">
            <v>1.38</v>
          </cell>
          <cell r="K20">
            <v>26.32</v>
          </cell>
          <cell r="L20">
            <v>5.45</v>
          </cell>
          <cell r="M20">
            <v>14.52</v>
          </cell>
          <cell r="N20">
            <v>0.83</v>
          </cell>
          <cell r="O20">
            <v>8</v>
          </cell>
          <cell r="P20">
            <v>79.311000000000007</v>
          </cell>
          <cell r="Q20">
            <v>25.395</v>
          </cell>
          <cell r="R20">
            <v>32</v>
          </cell>
          <cell r="S20">
            <v>24</v>
          </cell>
          <cell r="T20">
            <v>16</v>
          </cell>
          <cell r="U20">
            <v>72</v>
          </cell>
          <cell r="V20">
            <v>2.0915348101265825</v>
          </cell>
          <cell r="W20">
            <v>39.094999999999999</v>
          </cell>
          <cell r="X20">
            <v>0.9699450057552117</v>
          </cell>
          <cell r="Y20" t="str">
            <v>60/15</v>
          </cell>
          <cell r="Z20">
            <v>59.796250000000001</v>
          </cell>
          <cell r="AA20">
            <v>14.94125</v>
          </cell>
          <cell r="AC20">
            <v>620.54084562236289</v>
          </cell>
          <cell r="AD20">
            <v>676.54579484440944</v>
          </cell>
          <cell r="AE20">
            <v>0.96361505325291152</v>
          </cell>
          <cell r="AF20">
            <v>0.88384630361573402</v>
          </cell>
          <cell r="AG20">
            <v>344.12012130801685</v>
          </cell>
          <cell r="AH20">
            <v>390.30216904008432</v>
          </cell>
          <cell r="AI20">
            <v>0.54006597577508519</v>
          </cell>
          <cell r="AJ20">
            <v>0.4665862178526945</v>
          </cell>
          <cell r="AK20" t="str">
            <v>25/50</v>
          </cell>
          <cell r="AL20">
            <v>3.3755274261603373E-2</v>
          </cell>
          <cell r="AM20">
            <v>145.69999999999999</v>
          </cell>
          <cell r="AN20">
            <v>5.827</v>
          </cell>
          <cell r="AO20">
            <v>3.995965189873417</v>
          </cell>
          <cell r="AP20">
            <v>29.169546947697562</v>
          </cell>
          <cell r="AQ20">
            <v>0.9952185792349727</v>
          </cell>
          <cell r="AR20">
            <v>2.1333333333333333</v>
          </cell>
          <cell r="AS20">
            <v>0.79300885451240088</v>
          </cell>
          <cell r="AT20">
            <v>559.85300925925924</v>
          </cell>
          <cell r="AU20">
            <v>325</v>
          </cell>
          <cell r="AV20">
            <v>24311.147151898731</v>
          </cell>
          <cell r="AW20">
            <v>7753.8739451476795</v>
          </cell>
          <cell r="AX20">
            <v>931.3291139240506</v>
          </cell>
          <cell r="AY20">
            <v>1323.4480485232068</v>
          </cell>
          <cell r="AZ20">
            <v>23376.396360759489</v>
          </cell>
          <cell r="BA20">
            <v>576.96194620253152</v>
          </cell>
          <cell r="BB20">
            <v>7592.3338607594924</v>
          </cell>
          <cell r="BC20">
            <v>65865.490427215176</v>
          </cell>
          <cell r="BD20">
            <v>26264.836366033753</v>
          </cell>
          <cell r="BE20">
            <v>8807.9245253164554</v>
          </cell>
          <cell r="BF20">
            <v>1000.2531645569619</v>
          </cell>
          <cell r="BG20">
            <v>607.72858465189859</v>
          </cell>
          <cell r="BH20">
            <v>68972.920910601257</v>
          </cell>
          <cell r="BJ20">
            <v>5</v>
          </cell>
          <cell r="BN20">
            <v>5</v>
          </cell>
          <cell r="BO20" t="str">
            <v>Aux power failure.</v>
          </cell>
          <cell r="BQ20">
            <v>60369</v>
          </cell>
        </row>
        <row r="21">
          <cell r="A21" t="str">
            <v>F346007</v>
          </cell>
          <cell r="B21">
            <v>46007</v>
          </cell>
          <cell r="C21" t="str">
            <v>Mr. Ajay Singh</v>
          </cell>
          <cell r="D21">
            <v>36.419999999999995</v>
          </cell>
          <cell r="E21">
            <v>0</v>
          </cell>
          <cell r="F21">
            <v>36.42</v>
          </cell>
          <cell r="G21">
            <v>27.48</v>
          </cell>
          <cell r="H21">
            <v>10.76</v>
          </cell>
          <cell r="I21">
            <v>38.21</v>
          </cell>
          <cell r="J21">
            <v>1.32</v>
          </cell>
          <cell r="K21">
            <v>26.58</v>
          </cell>
          <cell r="L21">
            <v>5.12</v>
          </cell>
          <cell r="M21">
            <v>14.88</v>
          </cell>
          <cell r="N21">
            <v>0.83</v>
          </cell>
          <cell r="O21">
            <v>8</v>
          </cell>
          <cell r="P21">
            <v>74.725999999999999</v>
          </cell>
          <cell r="Q21">
            <v>23.832000000000001</v>
          </cell>
          <cell r="R21">
            <v>31</v>
          </cell>
          <cell r="S21">
            <v>16</v>
          </cell>
          <cell r="T21">
            <v>21</v>
          </cell>
          <cell r="U21">
            <v>68</v>
          </cell>
          <cell r="V21">
            <v>2.0517847336628225</v>
          </cell>
          <cell r="W21">
            <v>37.549999999999997</v>
          </cell>
          <cell r="X21">
            <v>0.96990679094540622</v>
          </cell>
          <cell r="Y21" t="str">
            <v>60/15</v>
          </cell>
          <cell r="Z21">
            <v>59.341250000000002</v>
          </cell>
          <cell r="AA21">
            <v>14.775000000000002</v>
          </cell>
          <cell r="AC21">
            <v>652.48480502471182</v>
          </cell>
          <cell r="AD21">
            <v>663.81151122185611</v>
          </cell>
          <cell r="AE21">
            <v>0.90946562346003668</v>
          </cell>
          <cell r="AF21">
            <v>0.89394728769877019</v>
          </cell>
          <cell r="AG21">
            <v>421.05422844590873</v>
          </cell>
          <cell r="AH21">
            <v>380.07412822624929</v>
          </cell>
          <cell r="AI21">
            <v>0.29640242185563676</v>
          </cell>
          <cell r="AJ21">
            <v>0.46886397161356097</v>
          </cell>
          <cell r="AK21" t="str">
            <v>25/50</v>
          </cell>
          <cell r="AL21">
            <v>3.377265238879737E-2</v>
          </cell>
          <cell r="AM21">
            <v>143.1</v>
          </cell>
          <cell r="AN21">
            <v>5.6970000000000001</v>
          </cell>
          <cell r="AO21">
            <v>4.0855848434925859</v>
          </cell>
          <cell r="AP21">
            <v>29.158996078566172</v>
          </cell>
          <cell r="AQ21">
            <v>0.97745901639344268</v>
          </cell>
          <cell r="AR21">
            <v>2.0749999999999997</v>
          </cell>
          <cell r="AS21">
            <v>0.79113052859854349</v>
          </cell>
          <cell r="AT21">
            <v>591.34606481481489</v>
          </cell>
          <cell r="AU21">
            <v>241.66666666666666</v>
          </cell>
          <cell r="AV21">
            <v>25373.149368478855</v>
          </cell>
          <cell r="AW21">
            <v>9065.4865458539261</v>
          </cell>
          <cell r="AX21">
            <v>2020.9225700164743</v>
          </cell>
          <cell r="AY21">
            <v>2172.2226798462384</v>
          </cell>
          <cell r="AZ21">
            <v>23900.671334431627</v>
          </cell>
          <cell r="BA21">
            <v>625.32452498627117</v>
          </cell>
          <cell r="BB21">
            <v>7762.6112026359133</v>
          </cell>
          <cell r="BC21">
            <v>70920.388226249299</v>
          </cell>
          <cell r="BD21">
            <v>25771.0823723229</v>
          </cell>
          <cell r="BE21">
            <v>8588.6511257550792</v>
          </cell>
          <cell r="BF21">
            <v>1002.3887973640856</v>
          </cell>
          <cell r="BG21">
            <v>614.35016309719924</v>
          </cell>
          <cell r="BH21">
            <v>69811.977675453047</v>
          </cell>
          <cell r="BM21">
            <v>20</v>
          </cell>
          <cell r="BN21">
            <v>20</v>
          </cell>
          <cell r="BO21" t="str">
            <v>Power Grids supply failure.</v>
          </cell>
          <cell r="BQ21">
            <v>60369</v>
          </cell>
        </row>
        <row r="22">
          <cell r="A22" t="str">
            <v>F346008</v>
          </cell>
          <cell r="B22">
            <v>46008</v>
          </cell>
          <cell r="C22" t="str">
            <v>Mr. Ajay Singh</v>
          </cell>
          <cell r="D22">
            <v>37.314999999999998</v>
          </cell>
          <cell r="E22">
            <v>0</v>
          </cell>
          <cell r="F22">
            <v>37.314999999999998</v>
          </cell>
          <cell r="G22">
            <v>28.027000000000001</v>
          </cell>
          <cell r="H22">
            <v>10.26</v>
          </cell>
          <cell r="I22">
            <v>39.520000000000003</v>
          </cell>
          <cell r="J22">
            <v>1.36</v>
          </cell>
          <cell r="K22">
            <v>27.02</v>
          </cell>
          <cell r="L22">
            <v>5.21</v>
          </cell>
          <cell r="M22">
            <v>14.02</v>
          </cell>
          <cell r="N22">
            <v>0.82</v>
          </cell>
          <cell r="O22">
            <v>8</v>
          </cell>
          <cell r="P22">
            <v>75.83</v>
          </cell>
          <cell r="Q22">
            <v>24.007999999999999</v>
          </cell>
          <cell r="R22">
            <v>31</v>
          </cell>
          <cell r="S22">
            <v>17</v>
          </cell>
          <cell r="T22">
            <v>20</v>
          </cell>
          <cell r="U22">
            <v>68</v>
          </cell>
          <cell r="V22">
            <v>2.0321586493367279</v>
          </cell>
          <cell r="W22">
            <v>38.47</v>
          </cell>
          <cell r="X22">
            <v>0.96997660514686768</v>
          </cell>
          <cell r="Y22" t="str">
            <v>60/15</v>
          </cell>
          <cell r="Z22">
            <v>58.993750000000006</v>
          </cell>
          <cell r="AA22">
            <v>15.69125</v>
          </cell>
          <cell r="AC22">
            <v>697.09019715931947</v>
          </cell>
          <cell r="AD22">
            <v>655.07629273750513</v>
          </cell>
          <cell r="AE22">
            <v>0.84628574954005598</v>
          </cell>
          <cell r="AF22">
            <v>0.90056304363374851</v>
          </cell>
          <cell r="AG22">
            <v>485.59466702398504</v>
          </cell>
          <cell r="AH22">
            <v>374.28129438563582</v>
          </cell>
          <cell r="AI22">
            <v>0.3745478172086974</v>
          </cell>
          <cell r="AJ22">
            <v>0.51252088863264045</v>
          </cell>
          <cell r="AK22" t="str">
            <v>25/50</v>
          </cell>
          <cell r="AL22">
            <v>3.2962615570146056E-2</v>
          </cell>
          <cell r="AM22">
            <v>146</v>
          </cell>
          <cell r="AN22">
            <v>5.7770000000000001</v>
          </cell>
          <cell r="AO22">
            <v>4.067452766983787</v>
          </cell>
          <cell r="AP22">
            <v>29.091200180301335</v>
          </cell>
          <cell r="AQ22">
            <v>0.99726775956284164</v>
          </cell>
          <cell r="AR22">
            <v>2.1956666666666664</v>
          </cell>
          <cell r="AS22">
            <v>0.78982062075616266</v>
          </cell>
          <cell r="AT22">
            <v>610.95833333333337</v>
          </cell>
          <cell r="AU22">
            <v>266.66666666666669</v>
          </cell>
          <cell r="AV22">
            <v>27266.991826343296</v>
          </cell>
          <cell r="AW22">
            <v>10436.963687525124</v>
          </cell>
          <cell r="AX22">
            <v>1550.6096743936755</v>
          </cell>
          <cell r="AY22">
            <v>1778.6667559962482</v>
          </cell>
          <cell r="AZ22">
            <v>23794.598686855155</v>
          </cell>
          <cell r="BA22">
            <v>648.278306311135</v>
          </cell>
          <cell r="BB22">
            <v>7728.1602572691954</v>
          </cell>
          <cell r="BC22">
            <v>73204.269194693828</v>
          </cell>
          <cell r="BD22">
            <v>25431.681897360315</v>
          </cell>
          <cell r="BE22">
            <v>8481.5477957925777</v>
          </cell>
          <cell r="BF22">
            <v>999.37826611282344</v>
          </cell>
          <cell r="BG22">
            <v>604.85873402117124</v>
          </cell>
          <cell r="BH22">
            <v>68818.892393407485</v>
          </cell>
          <cell r="BO22" t="str">
            <v>NIL</v>
          </cell>
          <cell r="BQ22">
            <v>60369</v>
          </cell>
        </row>
        <row r="23">
          <cell r="A23" t="str">
            <v>F346009</v>
          </cell>
          <cell r="B23">
            <v>46009</v>
          </cell>
          <cell r="C23" t="str">
            <v>Mr. Ajay Singh</v>
          </cell>
          <cell r="D23">
            <v>37.82</v>
          </cell>
          <cell r="E23">
            <v>0</v>
          </cell>
          <cell r="F23">
            <v>37.82</v>
          </cell>
          <cell r="G23">
            <v>29.107999999999997</v>
          </cell>
          <cell r="H23">
            <v>10.654999999999999</v>
          </cell>
          <cell r="I23">
            <v>38.882500000000007</v>
          </cell>
          <cell r="J23">
            <v>1.3450000000000002</v>
          </cell>
          <cell r="K23">
            <v>26.41</v>
          </cell>
          <cell r="L23">
            <v>5.2475000000000005</v>
          </cell>
          <cell r="M23">
            <v>14.574999999999999</v>
          </cell>
          <cell r="N23">
            <v>0.8175</v>
          </cell>
          <cell r="O23">
            <v>8</v>
          </cell>
          <cell r="P23">
            <v>76.103000000000009</v>
          </cell>
          <cell r="Q23">
            <v>23.844999999999999</v>
          </cell>
          <cell r="R23">
            <v>30</v>
          </cell>
          <cell r="S23">
            <v>18</v>
          </cell>
          <cell r="T23">
            <v>20</v>
          </cell>
          <cell r="U23">
            <v>68</v>
          </cell>
          <cell r="V23">
            <v>2.0122421998942359</v>
          </cell>
          <cell r="W23">
            <v>38.99</v>
          </cell>
          <cell r="X23">
            <v>0.96999230571941519</v>
          </cell>
          <cell r="Y23" t="str">
            <v>60/15</v>
          </cell>
          <cell r="Z23">
            <v>59.669999999999995</v>
          </cell>
          <cell r="AA23">
            <v>15.10125</v>
          </cell>
          <cell r="AC23">
            <v>648.42250745637227</v>
          </cell>
          <cell r="AD23">
            <v>648.20452827340034</v>
          </cell>
          <cell r="AE23">
            <v>0.92023332493612997</v>
          </cell>
          <cell r="AF23">
            <v>0.92054278236748632</v>
          </cell>
          <cell r="AG23">
            <v>269.85973030142787</v>
          </cell>
          <cell r="AH23">
            <v>366.2746959280804</v>
          </cell>
          <cell r="AI23">
            <v>0.47418208342927637</v>
          </cell>
          <cell r="AJ23">
            <v>0.53131980632664522</v>
          </cell>
          <cell r="AL23">
            <v>0</v>
          </cell>
          <cell r="AM23">
            <v>146.4</v>
          </cell>
          <cell r="AN23">
            <v>5.8490000000000002</v>
          </cell>
          <cell r="AO23">
            <v>4.025621364357483</v>
          </cell>
          <cell r="AP23">
            <v>29.087678285832936</v>
          </cell>
          <cell r="AQ23">
            <v>1.0000000000000002</v>
          </cell>
          <cell r="AR23">
            <v>2.2189999999999999</v>
          </cell>
          <cell r="AS23">
            <v>0</v>
          </cell>
          <cell r="AT23">
            <v>578.55092592592598</v>
          </cell>
          <cell r="AU23">
            <v>258.33333333333331</v>
          </cell>
          <cell r="AV23">
            <v>24943.807509254362</v>
          </cell>
          <cell r="AW23">
            <v>6060.4822845055523</v>
          </cell>
          <cell r="AX23">
            <v>962.34796404019039</v>
          </cell>
          <cell r="AY23">
            <v>1679.5861977789527</v>
          </cell>
          <cell r="AZ23">
            <v>23549.884981491276</v>
          </cell>
          <cell r="BA23">
            <v>571.96108937070335</v>
          </cell>
          <cell r="BB23">
            <v>7648.6805922792173</v>
          </cell>
          <cell r="BC23">
            <v>65416.75061872026</v>
          </cell>
          <cell r="BD23">
            <v>25167.221443680595</v>
          </cell>
          <cell r="BE23">
            <v>8279.303014278159</v>
          </cell>
          <cell r="BF23">
            <v>927.85034373347446</v>
          </cell>
          <cell r="BG23">
            <v>596.03845980962456</v>
          </cell>
          <cell r="BH23">
            <v>67848.565033051302</v>
          </cell>
          <cell r="BO23" t="str">
            <v>NIL</v>
          </cell>
          <cell r="BQ23">
            <v>60369</v>
          </cell>
        </row>
        <row r="24">
          <cell r="A24" t="str">
            <v>F346010</v>
          </cell>
          <cell r="B24">
            <v>46010</v>
          </cell>
          <cell r="C24" t="str">
            <v>Mr. Ajay Singh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</v>
          </cell>
          <cell r="P24">
            <v>0</v>
          </cell>
          <cell r="Q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Q24">
            <v>60369</v>
          </cell>
        </row>
        <row r="25">
          <cell r="A25" t="str">
            <v>F346011</v>
          </cell>
          <cell r="B25">
            <v>46011</v>
          </cell>
          <cell r="C25" t="str">
            <v>Mr. Ajay Singh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</v>
          </cell>
          <cell r="P25">
            <v>0</v>
          </cell>
          <cell r="Q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Q25">
            <v>60369</v>
          </cell>
        </row>
        <row r="26">
          <cell r="A26" t="str">
            <v>F346012</v>
          </cell>
          <cell r="B26">
            <v>46012</v>
          </cell>
          <cell r="C26" t="str">
            <v>Mr. Ajay Singh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</v>
          </cell>
          <cell r="P26">
            <v>0</v>
          </cell>
          <cell r="Q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Q26">
            <v>60369</v>
          </cell>
        </row>
        <row r="27">
          <cell r="A27" t="str">
            <v>F346013</v>
          </cell>
          <cell r="B27">
            <v>46013</v>
          </cell>
          <cell r="C27" t="str">
            <v>Mr. Ajay Singh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</v>
          </cell>
          <cell r="P27">
            <v>0</v>
          </cell>
          <cell r="Q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Q27">
            <v>60369</v>
          </cell>
        </row>
        <row r="28">
          <cell r="A28" t="str">
            <v>F346014</v>
          </cell>
          <cell r="B28">
            <v>46014</v>
          </cell>
          <cell r="C28" t="str">
            <v>Mr. Ajay Singh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8</v>
          </cell>
          <cell r="P28">
            <v>0</v>
          </cell>
          <cell r="Q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Q28">
            <v>60369</v>
          </cell>
        </row>
        <row r="29">
          <cell r="A29" t="str">
            <v>F346015</v>
          </cell>
          <cell r="B29">
            <v>46015</v>
          </cell>
          <cell r="C29" t="str">
            <v>Mr. Ajay Singh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8</v>
          </cell>
          <cell r="P29">
            <v>0</v>
          </cell>
          <cell r="Q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Q29">
            <v>60369</v>
          </cell>
        </row>
        <row r="30">
          <cell r="A30" t="str">
            <v>F346016</v>
          </cell>
          <cell r="B30">
            <v>46016</v>
          </cell>
          <cell r="C30" t="str">
            <v>Mr. Ajay Singh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</v>
          </cell>
          <cell r="P30">
            <v>0</v>
          </cell>
          <cell r="Q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Q30">
            <v>60369</v>
          </cell>
        </row>
        <row r="31">
          <cell r="A31" t="str">
            <v>F346017</v>
          </cell>
          <cell r="B31">
            <v>46017</v>
          </cell>
          <cell r="C31" t="str">
            <v>Mr. Ajay Singh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</v>
          </cell>
          <cell r="P31">
            <v>0</v>
          </cell>
          <cell r="Q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Q31">
            <v>60369</v>
          </cell>
        </row>
        <row r="32">
          <cell r="A32" t="str">
            <v>F346018</v>
          </cell>
          <cell r="B32">
            <v>46018</v>
          </cell>
          <cell r="C32" t="str">
            <v>Mr. Ajay Singh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</v>
          </cell>
          <cell r="P32">
            <v>0</v>
          </cell>
          <cell r="Q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Q32">
            <v>60369</v>
          </cell>
        </row>
        <row r="33">
          <cell r="A33" t="str">
            <v>F346019</v>
          </cell>
          <cell r="B33">
            <v>46019</v>
          </cell>
          <cell r="C33" t="str">
            <v>Mr. Ajay Singh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8</v>
          </cell>
          <cell r="P33">
            <v>0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Q33">
            <v>60369</v>
          </cell>
        </row>
        <row r="34">
          <cell r="A34" t="str">
            <v>F346020</v>
          </cell>
          <cell r="B34">
            <v>46020</v>
          </cell>
          <cell r="C34" t="str">
            <v>Mr. Ajay Singh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9</v>
          </cell>
          <cell r="P34">
            <v>0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Q34">
            <v>60369</v>
          </cell>
        </row>
        <row r="35">
          <cell r="A35" t="str">
            <v>F346021</v>
          </cell>
          <cell r="B35">
            <v>46021</v>
          </cell>
          <cell r="C35" t="str">
            <v>Mr. Ajay Singh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9</v>
          </cell>
          <cell r="P35">
            <v>0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Q35">
            <v>60369</v>
          </cell>
        </row>
        <row r="36">
          <cell r="A36" t="str">
            <v>F346022</v>
          </cell>
          <cell r="B36">
            <v>46022</v>
          </cell>
          <cell r="C36" t="str">
            <v>Mr. Ajay Singh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Q36">
            <v>60369</v>
          </cell>
        </row>
      </sheetData>
      <sheetData sheetId="19" refreshError="1"/>
      <sheetData sheetId="20" refreshError="1">
        <row r="6">
          <cell r="A6" t="str">
            <v>F445992</v>
          </cell>
          <cell r="B6">
            <v>45992</v>
          </cell>
          <cell r="C6" t="str">
            <v>Mr.Ganesh Ghosh Ji</v>
          </cell>
          <cell r="D6">
            <v>50.71</v>
          </cell>
          <cell r="E6">
            <v>0.39000000000000057</v>
          </cell>
          <cell r="F6">
            <v>51.1</v>
          </cell>
          <cell r="G6">
            <v>21.035000000000004</v>
          </cell>
          <cell r="H6">
            <v>10.3</v>
          </cell>
          <cell r="I6">
            <v>40.82</v>
          </cell>
          <cell r="J6">
            <v>1.39</v>
          </cell>
          <cell r="K6">
            <v>22.88</v>
          </cell>
          <cell r="L6">
            <v>5.0199999999999996</v>
          </cell>
          <cell r="M6">
            <v>16.350000000000001</v>
          </cell>
          <cell r="N6">
            <v>0.68</v>
          </cell>
          <cell r="O6">
            <v>8</v>
          </cell>
          <cell r="P6">
            <v>96.388000000000005</v>
          </cell>
          <cell r="Q6">
            <v>30.634999999999998</v>
          </cell>
          <cell r="R6">
            <v>40</v>
          </cell>
          <cell r="S6">
            <v>30</v>
          </cell>
          <cell r="T6">
            <v>28</v>
          </cell>
          <cell r="U6">
            <v>98</v>
          </cell>
          <cell r="V6">
            <v>1.9007690790771052</v>
          </cell>
          <cell r="W6">
            <v>52.664999999999992</v>
          </cell>
          <cell r="X6">
            <v>0.96287857210671235</v>
          </cell>
          <cell r="Y6" t="str">
            <v>40/8</v>
          </cell>
          <cell r="Z6">
            <v>38.736000000000004</v>
          </cell>
          <cell r="AA6">
            <v>6.15</v>
          </cell>
          <cell r="AB6">
            <v>0</v>
          </cell>
          <cell r="AC6">
            <v>474.96815480181425</v>
          </cell>
          <cell r="AD6">
            <v>445.80414901597305</v>
          </cell>
          <cell r="AE6">
            <v>0.8155494133319956</v>
          </cell>
          <cell r="AF6">
            <v>0.86890173825215122</v>
          </cell>
          <cell r="AG6">
            <v>401.93032459081053</v>
          </cell>
          <cell r="AH6">
            <v>335.19782291461246</v>
          </cell>
          <cell r="AI6">
            <v>0.46653792913237879</v>
          </cell>
          <cell r="AJ6">
            <v>0.58048457911422724</v>
          </cell>
          <cell r="AK6" t="str">
            <v>25/50</v>
          </cell>
          <cell r="AL6">
            <v>4.7327943206468152E-2</v>
          </cell>
          <cell r="AM6">
            <v>145.4</v>
          </cell>
          <cell r="AN6">
            <v>6.6680000000000001</v>
          </cell>
          <cell r="AO6">
            <v>2.9987773614671664</v>
          </cell>
          <cell r="AP6">
            <v>22.410191021342815</v>
          </cell>
          <cell r="AQ6">
            <v>0.99316939890710398</v>
          </cell>
          <cell r="AR6">
            <v>2.1566666666666667</v>
          </cell>
          <cell r="AS6">
            <v>0.78523850068305867</v>
          </cell>
          <cell r="AT6">
            <v>604.26851851851859</v>
          </cell>
          <cell r="AU6">
            <v>208.33333333333334</v>
          </cell>
          <cell r="AV6">
            <v>17548.52888976533</v>
          </cell>
          <cell r="AW6">
            <v>8128.0212975744435</v>
          </cell>
          <cell r="AX6">
            <v>347.86038256754091</v>
          </cell>
          <cell r="AY6">
            <v>1268.7034115559061</v>
          </cell>
          <cell r="AZ6">
            <v>17542.847564582924</v>
          </cell>
          <cell r="BA6">
            <v>448.3596154604615</v>
          </cell>
          <cell r="BB6">
            <v>5697.6769867876164</v>
          </cell>
          <cell r="BC6">
            <v>50981.998148294224</v>
          </cell>
          <cell r="BD6">
            <v>16725.781680141983</v>
          </cell>
          <cell r="BE6">
            <v>7073.3596134884638</v>
          </cell>
          <cell r="BF6">
            <v>425.95444685466379</v>
          </cell>
          <cell r="BG6">
            <v>430.36646716623949</v>
          </cell>
          <cell r="BH6">
            <v>49164.6901705778</v>
          </cell>
          <cell r="BO6" t="str">
            <v>NIL</v>
          </cell>
          <cell r="BQ6">
            <v>41644</v>
          </cell>
        </row>
        <row r="7">
          <cell r="A7" t="str">
            <v>F445993</v>
          </cell>
          <cell r="B7">
            <v>45993</v>
          </cell>
          <cell r="C7" t="str">
            <v>Mr.Ganesh Ghosh Ji</v>
          </cell>
          <cell r="D7">
            <v>50.699999999999996</v>
          </cell>
          <cell r="E7">
            <v>0.41000000000000369</v>
          </cell>
          <cell r="F7">
            <v>51.11</v>
          </cell>
          <cell r="G7">
            <v>21.220000000000002</v>
          </cell>
          <cell r="H7">
            <v>10.06</v>
          </cell>
          <cell r="I7">
            <v>40.51</v>
          </cell>
          <cell r="J7">
            <v>1.33</v>
          </cell>
          <cell r="K7">
            <v>22.62</v>
          </cell>
          <cell r="L7">
            <v>4.8499999999999996</v>
          </cell>
          <cell r="M7">
            <v>17.28</v>
          </cell>
          <cell r="N7">
            <v>0.68</v>
          </cell>
          <cell r="O7">
            <v>8</v>
          </cell>
          <cell r="P7">
            <v>92.269000000000005</v>
          </cell>
          <cell r="Q7">
            <v>29.805</v>
          </cell>
          <cell r="R7">
            <v>41</v>
          </cell>
          <cell r="S7">
            <v>27</v>
          </cell>
          <cell r="T7">
            <v>26</v>
          </cell>
          <cell r="U7">
            <v>94</v>
          </cell>
          <cell r="V7">
            <v>1.8199013806706117</v>
          </cell>
          <cell r="W7">
            <v>52.695</v>
          </cell>
          <cell r="X7">
            <v>0.96214062055223448</v>
          </cell>
          <cell r="Y7" t="str">
            <v>40/8</v>
          </cell>
          <cell r="Z7">
            <v>38.533999999999999</v>
          </cell>
          <cell r="AA7">
            <v>7.4799999999999995</v>
          </cell>
          <cell r="AB7">
            <v>0</v>
          </cell>
          <cell r="AC7">
            <v>523.85623224852066</v>
          </cell>
          <cell r="AD7">
            <v>426.75701067455623</v>
          </cell>
          <cell r="AE7">
            <v>0.73558349844579551</v>
          </cell>
          <cell r="AF7">
            <v>0.90294943108470516</v>
          </cell>
          <cell r="AG7">
            <v>261.83651518737673</v>
          </cell>
          <cell r="AH7">
            <v>327.16393704142013</v>
          </cell>
          <cell r="AI7">
            <v>0.85453874169309396</v>
          </cell>
          <cell r="AJ7">
            <v>0.70924225140025299</v>
          </cell>
          <cell r="AK7" t="str">
            <v>25/50</v>
          </cell>
          <cell r="AL7">
            <v>5.0295857988165681E-2</v>
          </cell>
          <cell r="AM7">
            <v>140.4</v>
          </cell>
          <cell r="AN7">
            <v>6.4710000000000001</v>
          </cell>
          <cell r="AO7">
            <v>2.8968639053254441</v>
          </cell>
          <cell r="AP7">
            <v>21.577888584250836</v>
          </cell>
          <cell r="AQ7">
            <v>0.95901639344262313</v>
          </cell>
          <cell r="AR7">
            <v>2.16</v>
          </cell>
          <cell r="AS7">
            <v>0.80077140571342564</v>
          </cell>
          <cell r="AT7">
            <v>451.58796296296299</v>
          </cell>
          <cell r="AU7">
            <v>183.33333333333334</v>
          </cell>
          <cell r="AV7">
            <v>20056.127218934911</v>
          </cell>
          <cell r="AW7">
            <v>5743.1893491124265</v>
          </cell>
          <cell r="AX7">
            <v>498.46153846153851</v>
          </cell>
          <cell r="AY7">
            <v>911.97534516765302</v>
          </cell>
          <cell r="AZ7">
            <v>16946.653846153848</v>
          </cell>
          <cell r="BA7">
            <v>441.56407297830373</v>
          </cell>
          <cell r="BB7">
            <v>5504.0414201183439</v>
          </cell>
          <cell r="BC7">
            <v>50102.012790927023</v>
          </cell>
          <cell r="BD7">
            <v>16010.744437869824</v>
          </cell>
          <cell r="BE7">
            <v>6921.1508481262335</v>
          </cell>
          <cell r="BF7">
            <v>407.00493096646949</v>
          </cell>
          <cell r="BG7">
            <v>411.97529408284026</v>
          </cell>
          <cell r="BH7">
            <v>47113.546122485204</v>
          </cell>
          <cell r="BO7" t="str">
            <v>NIL</v>
          </cell>
          <cell r="BQ7">
            <v>41644</v>
          </cell>
        </row>
        <row r="8">
          <cell r="A8" t="str">
            <v>F445994</v>
          </cell>
          <cell r="B8">
            <v>45994</v>
          </cell>
          <cell r="C8" t="str">
            <v>Mr.Ganesh Ghosh Ji</v>
          </cell>
          <cell r="D8">
            <v>51.314999999999998</v>
          </cell>
          <cell r="E8">
            <v>0.45000000000000284</v>
          </cell>
          <cell r="F8">
            <v>51.765000000000001</v>
          </cell>
          <cell r="G8">
            <v>21.34</v>
          </cell>
          <cell r="H8">
            <v>10.84</v>
          </cell>
          <cell r="I8">
            <v>40.880000000000003</v>
          </cell>
          <cell r="J8">
            <v>1.41</v>
          </cell>
          <cell r="K8">
            <v>22.42</v>
          </cell>
          <cell r="L8">
            <v>4.5999999999999996</v>
          </cell>
          <cell r="M8">
            <v>16.32</v>
          </cell>
          <cell r="N8">
            <v>0.66</v>
          </cell>
          <cell r="O8">
            <v>8</v>
          </cell>
          <cell r="P8">
            <v>95.25800000000001</v>
          </cell>
          <cell r="Q8">
            <v>30.806999999999999</v>
          </cell>
          <cell r="R8">
            <v>42</v>
          </cell>
          <cell r="S8">
            <v>28</v>
          </cell>
          <cell r="T8">
            <v>27</v>
          </cell>
          <cell r="U8">
            <v>97</v>
          </cell>
          <cell r="V8">
            <v>1.8563383026405538</v>
          </cell>
          <cell r="W8">
            <v>53.365000000000002</v>
          </cell>
          <cell r="X8">
            <v>0.96158530872294568</v>
          </cell>
          <cell r="Y8" t="str">
            <v>40/8</v>
          </cell>
          <cell r="Z8">
            <v>38.143999999999998</v>
          </cell>
          <cell r="AA8">
            <v>7.0400000000000009</v>
          </cell>
          <cell r="AB8">
            <v>0</v>
          </cell>
          <cell r="AC8">
            <v>438.5694304979051</v>
          </cell>
          <cell r="AD8">
            <v>435.33524548572541</v>
          </cell>
          <cell r="AE8">
            <v>0.86973686142910955</v>
          </cell>
          <cell r="AF8">
            <v>0.87619829534915827</v>
          </cell>
          <cell r="AG8">
            <v>309.74607970379031</v>
          </cell>
          <cell r="AH8">
            <v>334.26500286465949</v>
          </cell>
          <cell r="AI8">
            <v>0.63038227735577557</v>
          </cell>
          <cell r="AJ8">
            <v>0.66953526042895273</v>
          </cell>
          <cell r="AK8" t="str">
            <v>25/50</v>
          </cell>
          <cell r="AL8">
            <v>4.9303322615219719E-2</v>
          </cell>
          <cell r="AM8">
            <v>147.80000000000001</v>
          </cell>
          <cell r="AN8">
            <v>6.5069999999999997</v>
          </cell>
          <cell r="AO8">
            <v>3.0070544675046289</v>
          </cell>
          <cell r="AP8">
            <v>21.580459177421847</v>
          </cell>
          <cell r="AQ8">
            <v>1.0095628415300548</v>
          </cell>
          <cell r="AR8">
            <v>2.1166666666666667</v>
          </cell>
          <cell r="AS8">
            <v>0.79702079424071559</v>
          </cell>
          <cell r="AT8">
            <v>468.42770167427699</v>
          </cell>
          <cell r="AU8">
            <v>216.66666666666666</v>
          </cell>
          <cell r="AV8">
            <v>16246.459904511352</v>
          </cell>
          <cell r="AW8">
            <v>6297.8688492643478</v>
          </cell>
          <cell r="AX8">
            <v>496.69687225957318</v>
          </cell>
          <cell r="AY8">
            <v>673.8214946896619</v>
          </cell>
          <cell r="AZ8">
            <v>17591.268634902081</v>
          </cell>
          <cell r="BA8">
            <v>413.06115755627019</v>
          </cell>
          <cell r="BB8">
            <v>5713.4034882587948</v>
          </cell>
          <cell r="BC8">
            <v>47432.580401442086</v>
          </cell>
          <cell r="BD8">
            <v>16332.82264445094</v>
          </cell>
          <cell r="BE8">
            <v>7072.9389847023276</v>
          </cell>
          <cell r="BF8">
            <v>412.50803858520908</v>
          </cell>
          <cell r="BG8">
            <v>420.83359797330223</v>
          </cell>
          <cell r="BH8">
            <v>48217.596883562313</v>
          </cell>
          <cell r="BO8" t="str">
            <v>NIL</v>
          </cell>
          <cell r="BQ8">
            <v>41644</v>
          </cell>
        </row>
        <row r="9">
          <cell r="A9" t="str">
            <v>F445995</v>
          </cell>
          <cell r="B9">
            <v>45995</v>
          </cell>
          <cell r="C9" t="str">
            <v>Mr.Ganesh Ghosh Ji</v>
          </cell>
          <cell r="D9">
            <v>50.584999999999994</v>
          </cell>
          <cell r="E9">
            <v>0.38000000000000966</v>
          </cell>
          <cell r="F9">
            <v>50.965000000000003</v>
          </cell>
          <cell r="G9">
            <v>20.784999999999997</v>
          </cell>
          <cell r="H9">
            <v>10.47</v>
          </cell>
          <cell r="I9">
            <v>40.520000000000003</v>
          </cell>
          <cell r="J9">
            <v>1.36</v>
          </cell>
          <cell r="K9">
            <v>22.02</v>
          </cell>
          <cell r="L9">
            <v>5.12</v>
          </cell>
          <cell r="M9">
            <v>17.38</v>
          </cell>
          <cell r="N9">
            <v>0.67</v>
          </cell>
          <cell r="O9">
            <v>8</v>
          </cell>
          <cell r="P9">
            <v>96.209000000000003</v>
          </cell>
          <cell r="Q9">
            <v>31.453000000000003</v>
          </cell>
          <cell r="R9">
            <v>40</v>
          </cell>
          <cell r="S9">
            <v>28</v>
          </cell>
          <cell r="T9">
            <v>30</v>
          </cell>
          <cell r="U9">
            <v>98</v>
          </cell>
          <cell r="V9">
            <v>1.9019274488484732</v>
          </cell>
          <cell r="W9">
            <v>52.545000000000002</v>
          </cell>
          <cell r="X9">
            <v>0.96269863926158517</v>
          </cell>
          <cell r="Y9" t="str">
            <v>40/8</v>
          </cell>
          <cell r="Z9">
            <v>37.967999999999996</v>
          </cell>
          <cell r="AA9">
            <v>6.4959999999999996</v>
          </cell>
          <cell r="AB9">
            <v>0</v>
          </cell>
          <cell r="AC9">
            <v>481.49239416823178</v>
          </cell>
          <cell r="AD9">
            <v>446.01167629732129</v>
          </cell>
          <cell r="AE9">
            <v>0.78854828154843304</v>
          </cell>
          <cell r="AF9">
            <v>0.85127816193515271</v>
          </cell>
          <cell r="AG9">
            <v>330.22043412078682</v>
          </cell>
          <cell r="AH9">
            <v>342.06649145003468</v>
          </cell>
          <cell r="AI9">
            <v>0.53564404113638819</v>
          </cell>
          <cell r="AJ9">
            <v>0.5802379566417194</v>
          </cell>
          <cell r="AK9" t="str">
            <v>25/50</v>
          </cell>
          <cell r="AL9">
            <v>4.79391123850944E-2</v>
          </cell>
          <cell r="AM9">
            <v>142.6</v>
          </cell>
          <cell r="AN9">
            <v>6.5759999999999996</v>
          </cell>
          <cell r="AO9">
            <v>2.9490165068696257</v>
          </cell>
          <cell r="AP9">
            <v>21.578389232086153</v>
          </cell>
          <cell r="AQ9">
            <v>0.97404371584699467</v>
          </cell>
          <cell r="AR9">
            <v>2.1999999999999997</v>
          </cell>
          <cell r="AS9">
            <v>0.79654923544880185</v>
          </cell>
          <cell r="AT9">
            <v>473.98830409356725</v>
          </cell>
          <cell r="AU9">
            <v>316.66666666666669</v>
          </cell>
          <cell r="AV9">
            <v>17786.021745576756</v>
          </cell>
          <cell r="AW9">
            <v>6627.0866857764177</v>
          </cell>
          <cell r="AX9">
            <v>319.304141543936</v>
          </cell>
          <cell r="AY9">
            <v>545.33853909261643</v>
          </cell>
          <cell r="AZ9">
            <v>17251.74656518731</v>
          </cell>
          <cell r="BA9">
            <v>425.29497677177039</v>
          </cell>
          <cell r="BB9">
            <v>5603.1313630522891</v>
          </cell>
          <cell r="BC9">
            <v>48557.924017001103</v>
          </cell>
          <cell r="BD9">
            <v>16733.101907680142</v>
          </cell>
          <cell r="BE9">
            <v>7198.7054660472486</v>
          </cell>
          <cell r="BF9">
            <v>437.00207571414455</v>
          </cell>
          <cell r="BG9">
            <v>421.65894553721461</v>
          </cell>
          <cell r="BH9">
            <v>48190.684862310969</v>
          </cell>
          <cell r="BO9" t="str">
            <v>NIL</v>
          </cell>
          <cell r="BQ9">
            <v>41644</v>
          </cell>
        </row>
        <row r="10">
          <cell r="A10" t="str">
            <v>F445996</v>
          </cell>
          <cell r="B10">
            <v>45996</v>
          </cell>
          <cell r="C10" t="str">
            <v>Mr.Ganesh Ghosh Ji</v>
          </cell>
          <cell r="D10">
            <v>51.980000000000004</v>
          </cell>
          <cell r="E10">
            <v>0.39999999999999858</v>
          </cell>
          <cell r="F10">
            <v>52.38</v>
          </cell>
          <cell r="G10">
            <v>21.574999999999999</v>
          </cell>
          <cell r="H10">
            <v>10.68</v>
          </cell>
          <cell r="I10">
            <v>40.619999999999997</v>
          </cell>
          <cell r="J10">
            <v>1.4</v>
          </cell>
          <cell r="K10">
            <v>22.72</v>
          </cell>
          <cell r="L10">
            <v>4.45</v>
          </cell>
          <cell r="M10">
            <v>17.12</v>
          </cell>
          <cell r="N10">
            <v>0.67</v>
          </cell>
          <cell r="O10">
            <v>8</v>
          </cell>
          <cell r="P10">
            <v>92.29</v>
          </cell>
          <cell r="Q10">
            <v>30.474</v>
          </cell>
          <cell r="R10">
            <v>37</v>
          </cell>
          <cell r="S10">
            <v>31</v>
          </cell>
          <cell r="T10">
            <v>26</v>
          </cell>
          <cell r="U10">
            <v>94</v>
          </cell>
          <cell r="V10">
            <v>1.775490573297422</v>
          </cell>
          <cell r="W10">
            <v>54.005000000000003</v>
          </cell>
          <cell r="X10">
            <v>0.96250347190074992</v>
          </cell>
          <cell r="Y10" t="str">
            <v>40/8</v>
          </cell>
          <cell r="Z10">
            <v>38.213999999999999</v>
          </cell>
          <cell r="AA10">
            <v>7.484</v>
          </cell>
          <cell r="AB10">
            <v>0</v>
          </cell>
          <cell r="AC10">
            <v>421.39433676414001</v>
          </cell>
          <cell r="AD10">
            <v>416.20933739322817</v>
          </cell>
          <cell r="AE10">
            <v>0.90684654885119831</v>
          </cell>
          <cell r="AF10">
            <v>0.91814374562904144</v>
          </cell>
          <cell r="AG10">
            <v>318.12352443247403</v>
          </cell>
          <cell r="AH10">
            <v>323.29762924201617</v>
          </cell>
          <cell r="AI10">
            <v>0.86317147942066508</v>
          </cell>
          <cell r="AJ10">
            <v>0.72500786832574649</v>
          </cell>
          <cell r="AK10" t="str">
            <v>25/50</v>
          </cell>
          <cell r="AL10">
            <v>4.9442093112735661E-2</v>
          </cell>
          <cell r="AM10">
            <v>148</v>
          </cell>
          <cell r="AN10">
            <v>6.5990000000000002</v>
          </cell>
          <cell r="AO10">
            <v>2.9742016160061557</v>
          </cell>
          <cell r="AP10">
            <v>21.568131512641067</v>
          </cell>
          <cell r="AQ10">
            <v>1.0109289617486341</v>
          </cell>
          <cell r="AR10">
            <v>2.1583333333333332</v>
          </cell>
          <cell r="AS10">
            <v>0.79065000590747248</v>
          </cell>
          <cell r="AT10">
            <v>563.92129629629619</v>
          </cell>
          <cell r="AU10">
            <v>183.33333333333334</v>
          </cell>
          <cell r="AV10">
            <v>16005.374182377836</v>
          </cell>
          <cell r="AW10">
            <v>6692.929203539823</v>
          </cell>
          <cell r="AX10">
            <v>359.67679876875718</v>
          </cell>
          <cell r="AY10">
            <v>686.63620623316649</v>
          </cell>
          <cell r="AZ10">
            <v>17399.079453636012</v>
          </cell>
          <cell r="BA10">
            <v>411.43695844555594</v>
          </cell>
          <cell r="BB10">
            <v>5650.9830704116957</v>
          </cell>
          <cell r="BC10">
            <v>47206.115873412848</v>
          </cell>
          <cell r="BD10">
            <v>15614.495440554057</v>
          </cell>
          <cell r="BE10">
            <v>6782.9009234320883</v>
          </cell>
          <cell r="BF10">
            <v>395.77818391689107</v>
          </cell>
          <cell r="BG10">
            <v>408.78890207772218</v>
          </cell>
          <cell r="BH10">
            <v>46938.662180261636</v>
          </cell>
          <cell r="BO10" t="str">
            <v>NIL</v>
          </cell>
          <cell r="BQ10">
            <v>41644</v>
          </cell>
        </row>
        <row r="11">
          <cell r="A11" t="str">
            <v>F445997</v>
          </cell>
          <cell r="B11">
            <v>45997</v>
          </cell>
          <cell r="C11" t="str">
            <v>Mr.Ganesh Ghosh Ji</v>
          </cell>
          <cell r="D11">
            <v>50.95</v>
          </cell>
          <cell r="E11">
            <v>0.40999999999999659</v>
          </cell>
          <cell r="F11">
            <v>51.36</v>
          </cell>
          <cell r="G11">
            <v>21.224999999999998</v>
          </cell>
          <cell r="H11">
            <v>10.66</v>
          </cell>
          <cell r="I11">
            <v>40.58</v>
          </cell>
          <cell r="J11">
            <v>1.36</v>
          </cell>
          <cell r="K11">
            <v>22.56</v>
          </cell>
          <cell r="L11">
            <v>4.5999999999999996</v>
          </cell>
          <cell r="M11">
            <v>17.21</v>
          </cell>
          <cell r="N11">
            <v>0.67</v>
          </cell>
          <cell r="O11">
            <v>8</v>
          </cell>
          <cell r="P11">
            <v>91.14500000000001</v>
          </cell>
          <cell r="Q11">
            <v>29.344000000000001</v>
          </cell>
          <cell r="R11">
            <v>40</v>
          </cell>
          <cell r="S11">
            <v>30</v>
          </cell>
          <cell r="T11">
            <v>23</v>
          </cell>
          <cell r="U11">
            <v>93</v>
          </cell>
          <cell r="V11">
            <v>1.7889106967615309</v>
          </cell>
          <cell r="W11">
            <v>52.949999999999996</v>
          </cell>
          <cell r="X11">
            <v>0.96222851746931082</v>
          </cell>
          <cell r="Y11" t="str">
            <v>40/8</v>
          </cell>
          <cell r="Z11">
            <v>38.790000000000006</v>
          </cell>
          <cell r="AA11">
            <v>7.1400000000000006</v>
          </cell>
          <cell r="AB11">
            <v>0</v>
          </cell>
          <cell r="AC11">
            <v>433.03973185475957</v>
          </cell>
          <cell r="AD11">
            <v>419.44939952698724</v>
          </cell>
          <cell r="AE11">
            <v>0.8957607615785721</v>
          </cell>
          <cell r="AF11">
            <v>0.92478377710740456</v>
          </cell>
          <cell r="AG11">
            <v>244.14430814524047</v>
          </cell>
          <cell r="AH11">
            <v>315.13950186457311</v>
          </cell>
          <cell r="AI11">
            <v>0.5705177163960764</v>
          </cell>
          <cell r="AJ11">
            <v>0.68489256227342676</v>
          </cell>
          <cell r="AK11" t="str">
            <v>25/50</v>
          </cell>
          <cell r="AL11">
            <v>4.7497546614327771E-2</v>
          </cell>
          <cell r="AM11">
            <v>147.19999999999999</v>
          </cell>
          <cell r="AN11">
            <v>6.5039999999999996</v>
          </cell>
          <cell r="AO11">
            <v>3.016761530912659</v>
          </cell>
          <cell r="AP11">
            <v>22.116493915801673</v>
          </cell>
          <cell r="AQ11">
            <v>1.0054644808743169</v>
          </cell>
          <cell r="AR11">
            <v>2.1333333333333333</v>
          </cell>
          <cell r="AS11">
            <v>0.7975163460366036</v>
          </cell>
          <cell r="AT11">
            <v>544.08101851851859</v>
          </cell>
          <cell r="AU11">
            <v>175</v>
          </cell>
          <cell r="AV11">
            <v>16026.194700686945</v>
          </cell>
          <cell r="AW11">
            <v>4717.0351324828262</v>
          </cell>
          <cell r="AX11">
            <v>464.74975466143275</v>
          </cell>
          <cell r="AY11">
            <v>899.94406280667317</v>
          </cell>
          <cell r="AZ11">
            <v>17648.054955839056</v>
          </cell>
          <cell r="BA11">
            <v>397.5597860647693</v>
          </cell>
          <cell r="BB11">
            <v>5731.8469087340518</v>
          </cell>
          <cell r="BC11">
            <v>45885.385301275746</v>
          </cell>
          <cell r="BD11">
            <v>15736.412580961727</v>
          </cell>
          <cell r="BE11">
            <v>6542.622728164868</v>
          </cell>
          <cell r="BF11">
            <v>409.11678115799799</v>
          </cell>
          <cell r="BG11">
            <v>412.36151108930324</v>
          </cell>
          <cell r="BH11">
            <v>47380.359528753674</v>
          </cell>
          <cell r="BO11" t="str">
            <v>NIL</v>
          </cell>
          <cell r="BQ11">
            <v>41644</v>
          </cell>
        </row>
        <row r="12">
          <cell r="A12" t="str">
            <v>F445998</v>
          </cell>
          <cell r="B12">
            <v>45998</v>
          </cell>
          <cell r="C12" t="str">
            <v>Mr.Ganesh Ghosh Ji</v>
          </cell>
          <cell r="D12">
            <v>49.319999999999993</v>
          </cell>
          <cell r="E12">
            <v>0.38000000000000966</v>
          </cell>
          <cell r="F12">
            <v>49.7</v>
          </cell>
          <cell r="G12">
            <v>21.080000000000002</v>
          </cell>
          <cell r="H12">
            <v>10.42</v>
          </cell>
          <cell r="I12">
            <v>40.880000000000003</v>
          </cell>
          <cell r="J12">
            <v>1.38</v>
          </cell>
          <cell r="K12">
            <v>22.12</v>
          </cell>
          <cell r="L12">
            <v>4.82</v>
          </cell>
          <cell r="M12">
            <v>17.21</v>
          </cell>
          <cell r="N12">
            <v>0.66</v>
          </cell>
          <cell r="O12">
            <v>8</v>
          </cell>
          <cell r="P12">
            <v>92.448000000000008</v>
          </cell>
          <cell r="Q12">
            <v>30.587</v>
          </cell>
          <cell r="R12">
            <v>38</v>
          </cell>
          <cell r="S12">
            <v>30</v>
          </cell>
          <cell r="T12">
            <v>26</v>
          </cell>
          <cell r="U12">
            <v>94</v>
          </cell>
          <cell r="V12">
            <v>1.8744525547445259</v>
          </cell>
          <cell r="W12">
            <v>51.224999999999994</v>
          </cell>
          <cell r="X12">
            <v>0.96281112737920937</v>
          </cell>
          <cell r="Y12" t="str">
            <v>40/8</v>
          </cell>
          <cell r="Z12">
            <v>38.402000000000001</v>
          </cell>
          <cell r="AA12">
            <v>7.5919999999999987</v>
          </cell>
          <cell r="AB12">
            <v>0</v>
          </cell>
          <cell r="AC12">
            <v>321.64867751419308</v>
          </cell>
          <cell r="AD12">
            <v>437.89797672546638</v>
          </cell>
          <cell r="AE12">
            <v>1.193911328869228</v>
          </cell>
          <cell r="AF12">
            <v>0.8769622615560877</v>
          </cell>
          <cell r="AG12">
            <v>418.81980616382816</v>
          </cell>
          <cell r="AH12">
            <v>343.16539047039743</v>
          </cell>
          <cell r="AI12">
            <v>0.7274484048015607</v>
          </cell>
          <cell r="AJ12">
            <v>0.6981593358938929</v>
          </cell>
          <cell r="AK12" t="str">
            <v>25/50</v>
          </cell>
          <cell r="AL12">
            <v>4.8053527980535291E-2</v>
          </cell>
          <cell r="AM12">
            <v>146.1</v>
          </cell>
          <cell r="AN12">
            <v>6.1840000000000002</v>
          </cell>
          <cell r="AO12">
            <v>3.0876723438767235</v>
          </cell>
          <cell r="AP12">
            <v>21.797006764127044</v>
          </cell>
          <cell r="AQ12">
            <v>0.99795081967213128</v>
          </cell>
          <cell r="AR12">
            <v>2.1696666666666666</v>
          </cell>
          <cell r="AS12">
            <v>0.80830614392956102</v>
          </cell>
          <cell r="AT12">
            <v>446.01388888888891</v>
          </cell>
          <cell r="AU12">
            <v>241.66666666666666</v>
          </cell>
          <cell r="AV12">
            <v>12178.950729927008</v>
          </cell>
          <cell r="AW12">
            <v>8966.0397404703981</v>
          </cell>
          <cell r="AX12">
            <v>514.35523114355237</v>
          </cell>
          <cell r="AY12">
            <v>1554.8651662611519</v>
          </cell>
          <cell r="AZ12">
            <v>18062.883211678833</v>
          </cell>
          <cell r="BA12">
            <v>412.77094079480946</v>
          </cell>
          <cell r="BB12">
            <v>5866.577453365775</v>
          </cell>
          <cell r="BC12">
            <v>47556.442473641524</v>
          </cell>
          <cell r="BD12">
            <v>16397.654886455803</v>
          </cell>
          <cell r="BE12">
            <v>7064.0777372262783</v>
          </cell>
          <cell r="BF12">
            <v>444.9888483373885</v>
          </cell>
          <cell r="BG12">
            <v>435.24469849959451</v>
          </cell>
          <cell r="BH12">
            <v>49826.292001824819</v>
          </cell>
          <cell r="BO12" t="str">
            <v>NIL</v>
          </cell>
          <cell r="BQ12">
            <v>41644</v>
          </cell>
        </row>
        <row r="13">
          <cell r="A13" t="str">
            <v>F445999</v>
          </cell>
          <cell r="B13">
            <v>45999</v>
          </cell>
          <cell r="C13" t="str">
            <v>Mr.Ganesh Ghosh Ji</v>
          </cell>
          <cell r="D13">
            <v>48.125</v>
          </cell>
          <cell r="E13">
            <v>0.38000000000000256</v>
          </cell>
          <cell r="F13">
            <v>48.505000000000003</v>
          </cell>
          <cell r="G13">
            <v>21.215</v>
          </cell>
          <cell r="H13">
            <v>10.16</v>
          </cell>
          <cell r="I13">
            <v>40.28</v>
          </cell>
          <cell r="J13">
            <v>1.42</v>
          </cell>
          <cell r="K13">
            <v>22.32</v>
          </cell>
          <cell r="L13">
            <v>4.62</v>
          </cell>
          <cell r="M13">
            <v>17.82</v>
          </cell>
          <cell r="N13">
            <v>0.67</v>
          </cell>
          <cell r="O13">
            <v>8</v>
          </cell>
          <cell r="P13">
            <v>90.912999999999997</v>
          </cell>
          <cell r="Q13">
            <v>31.511000000000003</v>
          </cell>
          <cell r="R13">
            <v>41</v>
          </cell>
          <cell r="S13">
            <v>27</v>
          </cell>
          <cell r="T13">
            <v>25</v>
          </cell>
          <cell r="U13">
            <v>93</v>
          </cell>
          <cell r="V13">
            <v>1.8891012987012987</v>
          </cell>
          <cell r="W13">
            <v>50.059999999999995</v>
          </cell>
          <cell r="X13">
            <v>0.96134638433879349</v>
          </cell>
          <cell r="Y13" t="str">
            <v>40/8</v>
          </cell>
          <cell r="Z13">
            <v>38.543999999999997</v>
          </cell>
          <cell r="AA13">
            <v>7.3140000000000001</v>
          </cell>
          <cell r="AB13">
            <v>0</v>
          </cell>
          <cell r="AC13">
            <v>518.38264764675318</v>
          </cell>
          <cell r="AD13">
            <v>441.15485603532466</v>
          </cell>
          <cell r="AE13">
            <v>0.74354340707533539</v>
          </cell>
          <cell r="AF13">
            <v>0.87370680550581215</v>
          </cell>
          <cell r="AG13">
            <v>388.04055896103898</v>
          </cell>
          <cell r="AH13">
            <v>362.61535015064936</v>
          </cell>
          <cell r="AI13">
            <v>0.61017204972936434</v>
          </cell>
          <cell r="AJ13">
            <v>0.65126515944444829</v>
          </cell>
          <cell r="AK13" t="str">
            <v>25/50</v>
          </cell>
          <cell r="AL13">
            <v>4.9038961038961035E-2</v>
          </cell>
          <cell r="AM13">
            <v>142.4</v>
          </cell>
          <cell r="AN13">
            <v>6.3659999999999997</v>
          </cell>
          <cell r="AO13">
            <v>3.0912415584415589</v>
          </cell>
          <cell r="AP13">
            <v>21.795293501319183</v>
          </cell>
          <cell r="AQ13">
            <v>0.97267759562841549</v>
          </cell>
          <cell r="AR13">
            <v>2.0233333333333334</v>
          </cell>
          <cell r="AS13">
            <v>0.80080913712255608</v>
          </cell>
          <cell r="AT13">
            <v>456.18981481481478</v>
          </cell>
          <cell r="AU13">
            <v>133.33333333333334</v>
          </cell>
          <cell r="AV13">
            <v>19676.793766233764</v>
          </cell>
          <cell r="AW13">
            <v>8283.8528831168842</v>
          </cell>
          <cell r="AX13">
            <v>604.42597402597391</v>
          </cell>
          <cell r="AY13">
            <v>1114.8368831168832</v>
          </cell>
          <cell r="AZ13">
            <v>18083.763116883121</v>
          </cell>
          <cell r="BA13">
            <v>477.63672623376624</v>
          </cell>
          <cell r="BB13">
            <v>5873.3589610389618</v>
          </cell>
          <cell r="BC13">
            <v>54114.668310649351</v>
          </cell>
          <cell r="BD13">
            <v>16516.333984415585</v>
          </cell>
          <cell r="BE13">
            <v>7684.6526753246762</v>
          </cell>
          <cell r="BF13">
            <v>481.69558441558445</v>
          </cell>
          <cell r="BG13">
            <v>438.81282244155852</v>
          </cell>
          <cell r="BH13">
            <v>50193.45402763637</v>
          </cell>
          <cell r="BK13">
            <v>10</v>
          </cell>
          <cell r="BN13">
            <v>10</v>
          </cell>
          <cell r="BO13" t="str">
            <v>Electrode Lengths Measurment .</v>
          </cell>
          <cell r="BQ13">
            <v>41644</v>
          </cell>
        </row>
        <row r="14">
          <cell r="A14" t="str">
            <v>F446000</v>
          </cell>
          <cell r="B14">
            <v>46000</v>
          </cell>
          <cell r="C14" t="str">
            <v>Mr.Ganesh Ghosh Ji</v>
          </cell>
          <cell r="D14">
            <v>50.24</v>
          </cell>
          <cell r="E14">
            <v>0.36999999999999744</v>
          </cell>
          <cell r="F14">
            <v>50.61</v>
          </cell>
          <cell r="G14">
            <v>20.335000000000001</v>
          </cell>
          <cell r="H14">
            <v>10.199999999999999</v>
          </cell>
          <cell r="I14">
            <v>40.32</v>
          </cell>
          <cell r="J14">
            <v>1.38</v>
          </cell>
          <cell r="K14">
            <v>22.58</v>
          </cell>
          <cell r="L14">
            <v>4.45</v>
          </cell>
          <cell r="M14">
            <v>17.52</v>
          </cell>
          <cell r="N14">
            <v>0.67</v>
          </cell>
          <cell r="O14">
            <v>8</v>
          </cell>
          <cell r="P14">
            <v>93.566999999999993</v>
          </cell>
          <cell r="Q14">
            <v>30.692999999999998</v>
          </cell>
          <cell r="R14">
            <v>43</v>
          </cell>
          <cell r="S14">
            <v>26</v>
          </cell>
          <cell r="T14">
            <v>25</v>
          </cell>
          <cell r="U14">
            <v>94</v>
          </cell>
          <cell r="V14">
            <v>1.8624004777070062</v>
          </cell>
          <cell r="W14">
            <v>52.180000000000007</v>
          </cell>
          <cell r="X14">
            <v>0.96282100421617467</v>
          </cell>
          <cell r="Y14" t="str">
            <v>40/8</v>
          </cell>
          <cell r="Z14">
            <v>37.887999999999998</v>
          </cell>
          <cell r="AA14">
            <v>6.4460000000000006</v>
          </cell>
          <cell r="AB14">
            <v>0</v>
          </cell>
          <cell r="AC14">
            <v>409.5244580214968</v>
          </cell>
          <cell r="AD14">
            <v>411.81946736066868</v>
          </cell>
          <cell r="AE14">
            <v>0.92517062797775995</v>
          </cell>
          <cell r="AF14">
            <v>0.92001478810174719</v>
          </cell>
          <cell r="AG14">
            <v>356.86808041401275</v>
          </cell>
          <cell r="AH14">
            <v>336.94219132165608</v>
          </cell>
          <cell r="AI14">
            <v>0.56637946970229036</v>
          </cell>
          <cell r="AJ14">
            <v>0.61789164192099943</v>
          </cell>
          <cell r="AK14" t="str">
            <v>25/50</v>
          </cell>
          <cell r="AL14">
            <v>4.8168789808917194E-2</v>
          </cell>
          <cell r="AM14">
            <v>144.19999999999999</v>
          </cell>
          <cell r="AN14">
            <v>6.2910000000000004</v>
          </cell>
          <cell r="AO14">
            <v>2.9954418789808912</v>
          </cell>
          <cell r="AP14">
            <v>21.04911849287334</v>
          </cell>
          <cell r="AQ14">
            <v>0.98497267759562845</v>
          </cell>
          <cell r="AR14">
            <v>1.9799999999999998</v>
          </cell>
          <cell r="AS14">
            <v>0.78772998494013213</v>
          </cell>
          <cell r="AT14">
            <v>613.92789598108754</v>
          </cell>
          <cell r="AU14">
            <v>150</v>
          </cell>
          <cell r="AV14">
            <v>15253.482484076432</v>
          </cell>
          <cell r="AW14">
            <v>7380.5115445859874</v>
          </cell>
          <cell r="AX14">
            <v>519.7452229299364</v>
          </cell>
          <cell r="AY14">
            <v>751.8381767515923</v>
          </cell>
          <cell r="AZ14">
            <v>17523.334992038213</v>
          </cell>
          <cell r="BA14">
            <v>414.28912420382164</v>
          </cell>
          <cell r="BB14">
            <v>5691.3395700636929</v>
          </cell>
          <cell r="BC14">
            <v>47534.541114649677</v>
          </cell>
          <cell r="BD14">
            <v>15490.965585191083</v>
          </cell>
          <cell r="BE14">
            <v>7079.6859474522298</v>
          </cell>
          <cell r="BF14">
            <v>490.17515923566873</v>
          </cell>
          <cell r="BG14">
            <v>413.3599986066879</v>
          </cell>
          <cell r="BH14">
            <v>47440.699429339169</v>
          </cell>
          <cell r="BO14" t="str">
            <v>NIL</v>
          </cell>
          <cell r="BQ14">
            <v>41644</v>
          </cell>
        </row>
        <row r="15">
          <cell r="A15" t="str">
            <v>F446001</v>
          </cell>
          <cell r="B15">
            <v>46001</v>
          </cell>
          <cell r="C15" t="str">
            <v>Mr.Ganesh Ghosh Ji</v>
          </cell>
          <cell r="D15">
            <v>52.550000000000004</v>
          </cell>
          <cell r="E15">
            <v>0.38999999999999346</v>
          </cell>
          <cell r="F15">
            <v>52.94</v>
          </cell>
          <cell r="G15">
            <v>21.625</v>
          </cell>
          <cell r="H15">
            <v>9.77</v>
          </cell>
          <cell r="I15">
            <v>40.21</v>
          </cell>
          <cell r="J15">
            <v>1.34</v>
          </cell>
          <cell r="K15">
            <v>21.88</v>
          </cell>
          <cell r="L15">
            <v>5.08</v>
          </cell>
          <cell r="M15">
            <v>17.82</v>
          </cell>
          <cell r="N15">
            <v>0.67</v>
          </cell>
          <cell r="O15">
            <v>8</v>
          </cell>
          <cell r="P15">
            <v>94.165999999999997</v>
          </cell>
          <cell r="Q15">
            <v>30.845999999999997</v>
          </cell>
          <cell r="R15">
            <v>38</v>
          </cell>
          <cell r="S15">
            <v>29</v>
          </cell>
          <cell r="T15">
            <v>29</v>
          </cell>
          <cell r="U15">
            <v>96</v>
          </cell>
          <cell r="V15">
            <v>1.7919314938154136</v>
          </cell>
          <cell r="W15">
            <v>54.58</v>
          </cell>
          <cell r="X15">
            <v>0.96280688897031885</v>
          </cell>
          <cell r="Y15" t="str">
            <v>40/8</v>
          </cell>
          <cell r="Z15">
            <v>37.206000000000003</v>
          </cell>
          <cell r="AA15">
            <v>5.7860000000000005</v>
          </cell>
          <cell r="AB15">
            <v>0</v>
          </cell>
          <cell r="AC15">
            <v>390.35683956232162</v>
          </cell>
          <cell r="AD15">
            <v>383.00213058991432</v>
          </cell>
          <cell r="AE15">
            <v>0.95312791346800396</v>
          </cell>
          <cell r="AF15">
            <v>0.97143062736214858</v>
          </cell>
          <cell r="AG15">
            <v>438.51705118934353</v>
          </cell>
          <cell r="AH15">
            <v>321.93647840152232</v>
          </cell>
          <cell r="AI15">
            <v>0.58351717387072877</v>
          </cell>
          <cell r="AJ15">
            <v>0.52443872888943666</v>
          </cell>
          <cell r="AK15" t="str">
            <v>25/50</v>
          </cell>
          <cell r="AL15">
            <v>4.7383444338725024E-2</v>
          </cell>
          <cell r="AM15">
            <v>146.69999999999999</v>
          </cell>
          <cell r="AN15">
            <v>6.2140000000000004</v>
          </cell>
          <cell r="AO15">
            <v>2.9098763082778301</v>
          </cell>
          <cell r="AP15">
            <v>20.317338598554439</v>
          </cell>
          <cell r="AQ15">
            <v>1.0020491803278688</v>
          </cell>
          <cell r="AR15">
            <v>2.1433333333333335</v>
          </cell>
          <cell r="AS15">
            <v>0.78874432312045784</v>
          </cell>
          <cell r="AT15">
            <v>543.24600246002467</v>
          </cell>
          <cell r="AU15">
            <v>225</v>
          </cell>
          <cell r="AV15">
            <v>15143.71550903901</v>
          </cell>
          <cell r="AW15">
            <v>9210.5400570884867</v>
          </cell>
          <cell r="AX15">
            <v>427.47859181731678</v>
          </cell>
          <cell r="AY15">
            <v>726.94862036156042</v>
          </cell>
          <cell r="AZ15">
            <v>17022.776403425305</v>
          </cell>
          <cell r="BA15">
            <v>425.31459181731685</v>
          </cell>
          <cell r="BB15">
            <v>5528.7649857278775</v>
          </cell>
          <cell r="BC15">
            <v>48485.538759276882</v>
          </cell>
          <cell r="BD15">
            <v>14483.957297811607</v>
          </cell>
          <cell r="BE15">
            <v>6725.5190865842051</v>
          </cell>
          <cell r="BF15">
            <v>496.71455756422455</v>
          </cell>
          <cell r="BG15">
            <v>394.55915965746902</v>
          </cell>
          <cell r="BH15">
            <v>45379.240111132254</v>
          </cell>
          <cell r="BO15" t="str">
            <v>NIL</v>
          </cell>
          <cell r="BQ15">
            <v>41644</v>
          </cell>
        </row>
        <row r="16">
          <cell r="A16" t="str">
            <v>F446002</v>
          </cell>
          <cell r="B16">
            <v>46002</v>
          </cell>
          <cell r="C16" t="str">
            <v>Mr.Ganesh Ghosh Ji</v>
          </cell>
          <cell r="D16">
            <v>52.849999999999994</v>
          </cell>
          <cell r="E16">
            <v>0.38000000000000256</v>
          </cell>
          <cell r="F16">
            <v>53.23</v>
          </cell>
          <cell r="G16">
            <v>22.16</v>
          </cell>
          <cell r="H16">
            <v>10.62</v>
          </cell>
          <cell r="I16">
            <v>40.58</v>
          </cell>
          <cell r="J16">
            <v>1.41</v>
          </cell>
          <cell r="K16">
            <v>21.68</v>
          </cell>
          <cell r="L16">
            <v>5.12</v>
          </cell>
          <cell r="M16">
            <v>17.5</v>
          </cell>
          <cell r="N16">
            <v>0.66</v>
          </cell>
          <cell r="O16">
            <v>8</v>
          </cell>
          <cell r="P16">
            <v>96.201999999999998</v>
          </cell>
          <cell r="Q16">
            <v>31.548000000000002</v>
          </cell>
          <cell r="R16">
            <v>42</v>
          </cell>
          <cell r="S16">
            <v>26</v>
          </cell>
          <cell r="T16">
            <v>30</v>
          </cell>
          <cell r="U16">
            <v>98</v>
          </cell>
          <cell r="V16">
            <v>1.820283822138127</v>
          </cell>
          <cell r="W16">
            <v>54.88</v>
          </cell>
          <cell r="X16">
            <v>0.96301020408163251</v>
          </cell>
          <cell r="Y16" t="str">
            <v>40/8</v>
          </cell>
          <cell r="Z16">
            <v>37.636000000000003</v>
          </cell>
          <cell r="AA16">
            <v>6.5659999999999998</v>
          </cell>
          <cell r="AB16">
            <v>0</v>
          </cell>
          <cell r="AC16">
            <v>443.96138851466424</v>
          </cell>
          <cell r="AD16">
            <v>388.72889199243156</v>
          </cell>
          <cell r="AE16">
            <v>0.84773137875608007</v>
          </cell>
          <cell r="AF16">
            <v>0.96818118681882714</v>
          </cell>
          <cell r="AG16">
            <v>312.72886281929988</v>
          </cell>
          <cell r="AH16">
            <v>327.39876567644285</v>
          </cell>
          <cell r="AI16">
            <v>0.43641303915106017</v>
          </cell>
          <cell r="AJ16">
            <v>0.62808728307169925</v>
          </cell>
          <cell r="AK16" t="str">
            <v>25/50</v>
          </cell>
          <cell r="AL16">
            <v>4.6168401135288556E-2</v>
          </cell>
          <cell r="AM16">
            <v>145.80000000000001</v>
          </cell>
          <cell r="AN16">
            <v>6.1059999999999999</v>
          </cell>
          <cell r="AO16">
            <v>2.8742857142857146</v>
          </cell>
          <cell r="AP16">
            <v>20.122947422767258</v>
          </cell>
          <cell r="AQ16">
            <v>0.99590163934426257</v>
          </cell>
          <cell r="AR16">
            <v>2.1566666666666667</v>
          </cell>
          <cell r="AS16">
            <v>0.79156785384256245</v>
          </cell>
          <cell r="AT16">
            <v>521.6094276094276</v>
          </cell>
          <cell r="AU16">
            <v>216.66666666666666</v>
          </cell>
          <cell r="AV16">
            <v>16581.677578051087</v>
          </cell>
          <cell r="AW16">
            <v>7057.7313150425734</v>
          </cell>
          <cell r="AX16">
            <v>470.57710501419115</v>
          </cell>
          <cell r="AY16">
            <v>978.73131504257333</v>
          </cell>
          <cell r="AZ16">
            <v>16814.571428571431</v>
          </cell>
          <cell r="BA16">
            <v>419.0328874172186</v>
          </cell>
          <cell r="BB16">
            <v>5461.1428571428578</v>
          </cell>
          <cell r="BC16">
            <v>47783.464486281933</v>
          </cell>
          <cell r="BD16">
            <v>14690.65661305582</v>
          </cell>
          <cell r="BE16">
            <v>6833.8129801324512</v>
          </cell>
          <cell r="BF16">
            <v>455.14474929044468</v>
          </cell>
          <cell r="BG16">
            <v>397.72917086092718</v>
          </cell>
          <cell r="BH16">
            <v>45631.7891140965</v>
          </cell>
          <cell r="BO16" t="str">
            <v>NIL</v>
          </cell>
          <cell r="BQ16">
            <v>41644</v>
          </cell>
        </row>
        <row r="17">
          <cell r="A17" t="str">
            <v>F446003</v>
          </cell>
          <cell r="B17">
            <v>46003</v>
          </cell>
          <cell r="C17" t="str">
            <v>Mr.Ganesh Ghosh Ji</v>
          </cell>
          <cell r="D17">
            <v>54.07</v>
          </cell>
          <cell r="E17">
            <v>0.22999999999999687</v>
          </cell>
          <cell r="F17">
            <v>54.3</v>
          </cell>
          <cell r="G17">
            <v>21.979999999999997</v>
          </cell>
          <cell r="H17">
            <v>11.22</v>
          </cell>
          <cell r="I17">
            <v>40.33</v>
          </cell>
          <cell r="J17">
            <v>1.38</v>
          </cell>
          <cell r="K17">
            <v>22.12</v>
          </cell>
          <cell r="L17">
            <v>5.04</v>
          </cell>
          <cell r="M17">
            <v>17.02</v>
          </cell>
          <cell r="N17">
            <v>0.67</v>
          </cell>
          <cell r="O17">
            <v>8</v>
          </cell>
          <cell r="P17">
            <v>101.01600000000001</v>
          </cell>
          <cell r="Q17">
            <v>32.864000000000004</v>
          </cell>
          <cell r="R17">
            <v>42</v>
          </cell>
          <cell r="S17">
            <v>28</v>
          </cell>
          <cell r="T17">
            <v>32</v>
          </cell>
          <cell r="U17">
            <v>102</v>
          </cell>
          <cell r="V17">
            <v>1.8682448677640098</v>
          </cell>
          <cell r="W17">
            <v>55.985000000000014</v>
          </cell>
          <cell r="X17">
            <v>0.9657944092167543</v>
          </cell>
          <cell r="Y17" t="str">
            <v>40/8</v>
          </cell>
          <cell r="Z17">
            <v>37.46</v>
          </cell>
          <cell r="AA17">
            <v>6.1259999999999994</v>
          </cell>
          <cell r="AB17">
            <v>0</v>
          </cell>
          <cell r="AC17">
            <v>441.47462474570005</v>
          </cell>
          <cell r="AD17">
            <v>398.25009039023485</v>
          </cell>
          <cell r="AE17">
            <v>0.84851988993881255</v>
          </cell>
          <cell r="AF17">
            <v>0.94061497797260829</v>
          </cell>
          <cell r="AG17">
            <v>378.94389532088036</v>
          </cell>
          <cell r="AH17">
            <v>330.87296312187902</v>
          </cell>
          <cell r="AI17">
            <v>0.53306981254696229</v>
          </cell>
          <cell r="AJ17">
            <v>0.57903806387172341</v>
          </cell>
          <cell r="AK17" t="str">
            <v>25/50</v>
          </cell>
          <cell r="AL17">
            <v>4.8085814684668021E-2</v>
          </cell>
          <cell r="AM17">
            <v>143.9</v>
          </cell>
          <cell r="AN17">
            <v>5.899</v>
          </cell>
          <cell r="AO17">
            <v>2.7704642130571484</v>
          </cell>
          <cell r="AP17">
            <v>19.815023545531503</v>
          </cell>
          <cell r="AQ17">
            <v>0.98292349726775974</v>
          </cell>
          <cell r="AR17">
            <v>2.0583333333333331</v>
          </cell>
          <cell r="AS17">
            <v>0.78971368995834412</v>
          </cell>
          <cell r="AT17">
            <v>551.11477411477415</v>
          </cell>
          <cell r="AU17">
            <v>250</v>
          </cell>
          <cell r="AV17">
            <v>16646.314037358978</v>
          </cell>
          <cell r="AW17">
            <v>7871.0127612354354</v>
          </cell>
          <cell r="AX17">
            <v>447.8638801553542</v>
          </cell>
          <cell r="AY17">
            <v>876.12261882744588</v>
          </cell>
          <cell r="AZ17">
            <v>16207.215646384318</v>
          </cell>
          <cell r="BA17">
            <v>420.48528943961531</v>
          </cell>
          <cell r="BB17">
            <v>5263.8820048085818</v>
          </cell>
          <cell r="BC17">
            <v>47732.896238209731</v>
          </cell>
          <cell r="BD17">
            <v>15025.667209173296</v>
          </cell>
          <cell r="BE17">
            <v>6852.1232106528578</v>
          </cell>
          <cell r="BF17">
            <v>449.9158498243018</v>
          </cell>
          <cell r="BG17">
            <v>394.11044534862219</v>
          </cell>
          <cell r="BH17">
            <v>45069.036985019426</v>
          </cell>
          <cell r="BM17">
            <v>20</v>
          </cell>
          <cell r="BN17">
            <v>20</v>
          </cell>
          <cell r="BO17" t="str">
            <v>Power Grids supply failure.</v>
          </cell>
          <cell r="BQ17">
            <v>41644</v>
          </cell>
        </row>
        <row r="18">
          <cell r="A18" t="str">
            <v>F446004</v>
          </cell>
          <cell r="B18">
            <v>46004</v>
          </cell>
          <cell r="C18" t="str">
            <v>Mr.Ganesh Ghosh Ji</v>
          </cell>
          <cell r="D18">
            <v>48.425000000000004</v>
          </cell>
          <cell r="E18">
            <v>0.22999999999999687</v>
          </cell>
          <cell r="F18">
            <v>48.655000000000001</v>
          </cell>
          <cell r="G18">
            <v>20.049999999999997</v>
          </cell>
          <cell r="H18">
            <v>9.85</v>
          </cell>
          <cell r="I18">
            <v>39.880000000000003</v>
          </cell>
          <cell r="J18">
            <v>1.34</v>
          </cell>
          <cell r="K18">
            <v>22.58</v>
          </cell>
          <cell r="L18">
            <v>4.6500000000000004</v>
          </cell>
          <cell r="M18">
            <v>17.920000000000002</v>
          </cell>
          <cell r="N18">
            <v>0.68</v>
          </cell>
          <cell r="O18">
            <v>8</v>
          </cell>
          <cell r="P18">
            <v>90.203000000000003</v>
          </cell>
          <cell r="Q18">
            <v>29.715999999999998</v>
          </cell>
          <cell r="R18">
            <v>37</v>
          </cell>
          <cell r="S18">
            <v>28</v>
          </cell>
          <cell r="T18">
            <v>25</v>
          </cell>
          <cell r="U18">
            <v>90</v>
          </cell>
          <cell r="V18">
            <v>1.8627361899845121</v>
          </cell>
          <cell r="W18">
            <v>50.16</v>
          </cell>
          <cell r="X18">
            <v>0.96541068580542277</v>
          </cell>
          <cell r="Y18" t="str">
            <v>40/8</v>
          </cell>
          <cell r="Z18">
            <v>37.438000000000002</v>
          </cell>
          <cell r="AA18">
            <v>7.2680000000000007</v>
          </cell>
          <cell r="AB18">
            <v>0</v>
          </cell>
          <cell r="AC18">
            <v>483.53698473928762</v>
          </cell>
          <cell r="AD18">
            <v>397.48139831491989</v>
          </cell>
          <cell r="AE18">
            <v>0.77425308056188791</v>
          </cell>
          <cell r="AF18">
            <v>0.9418805548816731</v>
          </cell>
          <cell r="AG18">
            <v>328.64253009808971</v>
          </cell>
          <cell r="AH18">
            <v>334.87288185854408</v>
          </cell>
          <cell r="AI18">
            <v>0.71284141129844336</v>
          </cell>
          <cell r="AJ18">
            <v>0.6082745654613646</v>
          </cell>
          <cell r="AK18" t="str">
            <v>25/50</v>
          </cell>
          <cell r="AL18">
            <v>4.8528652555498188E-2</v>
          </cell>
          <cell r="AM18">
            <v>137.19999999999999</v>
          </cell>
          <cell r="AN18">
            <v>5.7629999999999999</v>
          </cell>
          <cell r="AO18">
            <v>2.9522560660815689</v>
          </cell>
          <cell r="AP18">
            <v>19.915607889868383</v>
          </cell>
          <cell r="AQ18">
            <v>0.93715846994535523</v>
          </cell>
          <cell r="AR18">
            <v>1.9666666666666666</v>
          </cell>
          <cell r="AS18">
            <v>0.80129756644351147</v>
          </cell>
          <cell r="AT18">
            <v>511.70601851851848</v>
          </cell>
          <cell r="AU18">
            <v>233.33333333333334</v>
          </cell>
          <cell r="AV18">
            <v>18366.16004130098</v>
          </cell>
          <cell r="AW18">
            <v>7249.6636035105821</v>
          </cell>
          <cell r="AX18">
            <v>423.2524522457407</v>
          </cell>
          <cell r="AY18">
            <v>966.87558079504379</v>
          </cell>
          <cell r="AZ18">
            <v>17270.697986577179</v>
          </cell>
          <cell r="BA18">
            <v>442.76649664429527</v>
          </cell>
          <cell r="BB18">
            <v>5609.2865255549805</v>
          </cell>
          <cell r="BC18">
            <v>50328.702686628807</v>
          </cell>
          <cell r="BD18">
            <v>14998.686091894682</v>
          </cell>
          <cell r="BE18">
            <v>6949.9721631388738</v>
          </cell>
          <cell r="BF18">
            <v>513.26071244192053</v>
          </cell>
          <cell r="BG18">
            <v>406.99492534847695</v>
          </cell>
          <cell r="BH18">
            <v>46715.773985751162</v>
          </cell>
          <cell r="BM18">
            <v>75</v>
          </cell>
          <cell r="BN18">
            <v>75</v>
          </cell>
          <cell r="BO18" t="str">
            <v>Power Grids supply failure.</v>
          </cell>
          <cell r="BQ18">
            <v>41644</v>
          </cell>
        </row>
        <row r="19">
          <cell r="A19" t="str">
            <v>F446005</v>
          </cell>
          <cell r="B19">
            <v>46005</v>
          </cell>
          <cell r="C19" t="str">
            <v>Mr.Ganesh Ghosh Ji</v>
          </cell>
          <cell r="D19">
            <v>34.19</v>
          </cell>
          <cell r="E19">
            <v>0.19000000000000483</v>
          </cell>
          <cell r="F19">
            <v>34.380000000000003</v>
          </cell>
          <cell r="G19">
            <v>14.620000000000001</v>
          </cell>
          <cell r="H19">
            <v>11.62</v>
          </cell>
          <cell r="I19">
            <v>39.92</v>
          </cell>
          <cell r="J19">
            <v>1.41</v>
          </cell>
          <cell r="K19">
            <v>22.06</v>
          </cell>
          <cell r="L19">
            <v>4.66</v>
          </cell>
          <cell r="M19">
            <v>17.52</v>
          </cell>
          <cell r="N19">
            <v>0.67</v>
          </cell>
          <cell r="O19">
            <v>5</v>
          </cell>
          <cell r="P19">
            <v>62.924000000000007</v>
          </cell>
          <cell r="Q19">
            <v>20.042999999999999</v>
          </cell>
          <cell r="R19">
            <v>21</v>
          </cell>
          <cell r="S19">
            <v>13</v>
          </cell>
          <cell r="T19">
            <v>28</v>
          </cell>
          <cell r="U19">
            <v>62</v>
          </cell>
          <cell r="V19">
            <v>1.8404211757823927</v>
          </cell>
          <cell r="W19">
            <v>35.445</v>
          </cell>
          <cell r="X19">
            <v>0.96459303145718711</v>
          </cell>
          <cell r="Y19" t="str">
            <v>40/8</v>
          </cell>
          <cell r="Z19">
            <v>36.762500000000003</v>
          </cell>
          <cell r="AA19">
            <v>5.5024999999999995</v>
          </cell>
          <cell r="AB19">
            <v>0</v>
          </cell>
          <cell r="AC19">
            <v>182.61642178999708</v>
          </cell>
          <cell r="AD19">
            <v>396.99140072535835</v>
          </cell>
          <cell r="AE19">
            <v>2.0130993499738854</v>
          </cell>
          <cell r="AF19">
            <v>0.92602761502717235</v>
          </cell>
          <cell r="AG19">
            <v>279.96190406551625</v>
          </cell>
          <cell r="AH19">
            <v>320.51991383445454</v>
          </cell>
          <cell r="AI19">
            <v>0.86349737327523091</v>
          </cell>
          <cell r="AJ19">
            <v>0.5298825508442182</v>
          </cell>
          <cell r="AK19" t="str">
            <v>25/50</v>
          </cell>
          <cell r="AL19">
            <v>4.7382275519157656E-2</v>
          </cell>
          <cell r="AM19">
            <v>93.6</v>
          </cell>
          <cell r="AN19">
            <v>4.3380000000000001</v>
          </cell>
          <cell r="AO19">
            <v>2.8645217899970752</v>
          </cell>
          <cell r="AP19">
            <v>20.217373675524311</v>
          </cell>
          <cell r="AQ19">
            <v>0.63934426229508201</v>
          </cell>
          <cell r="AR19">
            <v>1.9916666666666665</v>
          </cell>
          <cell r="AS19">
            <v>0.79506707476754468</v>
          </cell>
          <cell r="AT19">
            <v>569.69444444444446</v>
          </cell>
          <cell r="AU19">
            <v>100</v>
          </cell>
          <cell r="AV19">
            <v>6923.2334015794086</v>
          </cell>
          <cell r="AW19">
            <v>5710.3182217022522</v>
          </cell>
          <cell r="AX19">
            <v>749.69289265867212</v>
          </cell>
          <cell r="AY19">
            <v>883.39134249780648</v>
          </cell>
          <cell r="AZ19">
            <v>16757.452471482891</v>
          </cell>
          <cell r="BA19">
            <v>310.24088329921034</v>
          </cell>
          <cell r="BB19">
            <v>5442.5914009944427</v>
          </cell>
          <cell r="BC19">
            <v>36776.920614214687</v>
          </cell>
          <cell r="BD19">
            <v>14964.361655454813</v>
          </cell>
          <cell r="BE19">
            <v>6654.3775372916061</v>
          </cell>
          <cell r="BF19">
            <v>486.60573267037159</v>
          </cell>
          <cell r="BG19">
            <v>397.46188739397491</v>
          </cell>
          <cell r="BH19">
            <v>45586.242027785906</v>
          </cell>
          <cell r="BM19">
            <v>455</v>
          </cell>
          <cell r="BN19">
            <v>455</v>
          </cell>
          <cell r="BO19" t="str">
            <v>Power Grids supply failure.</v>
          </cell>
          <cell r="BQ19">
            <v>41644</v>
          </cell>
        </row>
        <row r="20">
          <cell r="A20" t="str">
            <v>F446006</v>
          </cell>
          <cell r="B20">
            <v>46006</v>
          </cell>
          <cell r="C20" t="str">
            <v>Mr.Ganesh Ghosh Ji</v>
          </cell>
          <cell r="D20">
            <v>53.349999999999994</v>
          </cell>
          <cell r="E20">
            <v>0.42000000000000881</v>
          </cell>
          <cell r="F20">
            <v>53.77</v>
          </cell>
          <cell r="G20">
            <v>22.070000000000004</v>
          </cell>
          <cell r="H20">
            <v>10.09</v>
          </cell>
          <cell r="I20">
            <v>39.880000000000003</v>
          </cell>
          <cell r="J20">
            <v>1.35</v>
          </cell>
          <cell r="K20">
            <v>22.32</v>
          </cell>
          <cell r="L20">
            <v>4.8</v>
          </cell>
          <cell r="M20">
            <v>17.920000000000002</v>
          </cell>
          <cell r="N20">
            <v>0.68</v>
          </cell>
          <cell r="O20">
            <v>8</v>
          </cell>
          <cell r="P20">
            <v>97.22</v>
          </cell>
          <cell r="Q20">
            <v>31.794</v>
          </cell>
          <cell r="R20">
            <v>37</v>
          </cell>
          <cell r="S20">
            <v>27</v>
          </cell>
          <cell r="T20">
            <v>32</v>
          </cell>
          <cell r="U20">
            <v>96</v>
          </cell>
          <cell r="V20">
            <v>1.8223055295220245</v>
          </cell>
          <cell r="W20">
            <v>55.434999999999995</v>
          </cell>
          <cell r="X20">
            <v>0.96238838279065575</v>
          </cell>
          <cell r="Y20" t="str">
            <v>40/8</v>
          </cell>
          <cell r="Z20">
            <v>36.32</v>
          </cell>
          <cell r="AA20">
            <v>6.2840000000000007</v>
          </cell>
          <cell r="AB20">
            <v>0</v>
          </cell>
          <cell r="AC20">
            <v>400.24683975632621</v>
          </cell>
          <cell r="AD20">
            <v>405.58006509465804</v>
          </cell>
          <cell r="AE20">
            <v>0.9074400193168779</v>
          </cell>
          <cell r="AF20">
            <v>0.89550752430406799</v>
          </cell>
          <cell r="AG20">
            <v>378.07610159325213</v>
          </cell>
          <cell r="AH20">
            <v>327.85407553889416</v>
          </cell>
          <cell r="AI20">
            <v>0.5714936469380939</v>
          </cell>
          <cell r="AJ20">
            <v>0.58790007001637135</v>
          </cell>
          <cell r="AK20" t="str">
            <v>25/50</v>
          </cell>
          <cell r="AL20">
            <v>4.8547328959700098E-2</v>
          </cell>
          <cell r="AM20">
            <v>145</v>
          </cell>
          <cell r="AN20">
            <v>5.827</v>
          </cell>
          <cell r="AO20">
            <v>2.8271227741330835</v>
          </cell>
          <cell r="AP20">
            <v>20.718023413475809</v>
          </cell>
          <cell r="AQ20">
            <v>0.99043715846994551</v>
          </cell>
          <cell r="AR20">
            <v>2.0833333333333335</v>
          </cell>
          <cell r="AS20">
            <v>0.78270051894783965</v>
          </cell>
          <cell r="AT20">
            <v>610.45601851851859</v>
          </cell>
          <cell r="AU20">
            <v>233.33333333333334</v>
          </cell>
          <cell r="AV20">
            <v>14991.405435801316</v>
          </cell>
          <cell r="AW20">
            <v>7901.0684161199633</v>
          </cell>
          <cell r="AX20">
            <v>332.89597000937209</v>
          </cell>
          <cell r="AY20">
            <v>842.27085285848182</v>
          </cell>
          <cell r="AZ20">
            <v>16538.66822867854</v>
          </cell>
          <cell r="BA20">
            <v>406.06308903467675</v>
          </cell>
          <cell r="BB20">
            <v>5371.5332708528585</v>
          </cell>
          <cell r="BC20">
            <v>46383.905263355213</v>
          </cell>
          <cell r="BD20">
            <v>15236.410609184632</v>
          </cell>
          <cell r="BE20">
            <v>6838.5657357075925</v>
          </cell>
          <cell r="BF20">
            <v>432.49953139643861</v>
          </cell>
          <cell r="BG20">
            <v>398.88414957825682</v>
          </cell>
          <cell r="BH20">
            <v>45658.832378256804</v>
          </cell>
          <cell r="BJ20">
            <v>5</v>
          </cell>
          <cell r="BN20">
            <v>5</v>
          </cell>
          <cell r="BO20" t="str">
            <v>Aux power failure.</v>
          </cell>
          <cell r="BQ20">
            <v>41644</v>
          </cell>
        </row>
        <row r="21">
          <cell r="A21" t="str">
            <v>F446007</v>
          </cell>
          <cell r="B21">
            <v>46007</v>
          </cell>
          <cell r="C21" t="str">
            <v>Mr.Ganesh Ghosh Ji</v>
          </cell>
          <cell r="D21">
            <v>52.41</v>
          </cell>
          <cell r="E21">
            <v>0</v>
          </cell>
          <cell r="F21">
            <v>52.41</v>
          </cell>
          <cell r="G21">
            <v>21.652999999999999</v>
          </cell>
          <cell r="H21">
            <v>9.92</v>
          </cell>
          <cell r="I21">
            <v>40.520000000000003</v>
          </cell>
          <cell r="J21">
            <v>1.42</v>
          </cell>
          <cell r="K21">
            <v>22.1</v>
          </cell>
          <cell r="L21">
            <v>4.42</v>
          </cell>
          <cell r="M21">
            <v>18.21</v>
          </cell>
          <cell r="N21">
            <v>0.65</v>
          </cell>
          <cell r="O21">
            <v>8</v>
          </cell>
          <cell r="P21">
            <v>95.3</v>
          </cell>
          <cell r="Q21">
            <v>30.951000000000001</v>
          </cell>
          <cell r="R21">
            <v>40</v>
          </cell>
          <cell r="S21">
            <v>28</v>
          </cell>
          <cell r="T21">
            <v>26</v>
          </cell>
          <cell r="U21">
            <v>94</v>
          </cell>
          <cell r="V21">
            <v>1.8183552757107422</v>
          </cell>
          <cell r="W21">
            <v>54.034999999999997</v>
          </cell>
          <cell r="X21">
            <v>0.96992689923197928</v>
          </cell>
          <cell r="Y21" t="str">
            <v>40/8</v>
          </cell>
          <cell r="Z21">
            <v>37.114000000000004</v>
          </cell>
          <cell r="AA21">
            <v>6.3940000000000001</v>
          </cell>
          <cell r="AB21">
            <v>0</v>
          </cell>
          <cell r="AC21">
            <v>440.82856426254529</v>
          </cell>
          <cell r="AD21">
            <v>404.74674112383133</v>
          </cell>
          <cell r="AE21">
            <v>0.84191459013295555</v>
          </cell>
          <cell r="AF21">
            <v>0.91696847013389693</v>
          </cell>
          <cell r="AG21">
            <v>417.61128219805386</v>
          </cell>
          <cell r="AH21">
            <v>325.72930738408701</v>
          </cell>
          <cell r="AI21">
            <v>0.51152064889824944</v>
          </cell>
          <cell r="AJ21">
            <v>0.62038161919270696</v>
          </cell>
          <cell r="AK21" t="str">
            <v>25/50</v>
          </cell>
          <cell r="AL21">
            <v>3.5680213699675639E-2</v>
          </cell>
          <cell r="AM21">
            <v>142.9</v>
          </cell>
          <cell r="AN21">
            <v>5.6970000000000001</v>
          </cell>
          <cell r="AO21">
            <v>2.8352795268078617</v>
          </cell>
          <cell r="AP21">
            <v>20.539691027334257</v>
          </cell>
          <cell r="AQ21">
            <v>0.97609289617486361</v>
          </cell>
          <cell r="AR21">
            <v>2.0833333333333335</v>
          </cell>
          <cell r="AS21">
            <v>0.78355619967894352</v>
          </cell>
          <cell r="AT21">
            <v>653.22685185185185</v>
          </cell>
          <cell r="AU21">
            <v>125</v>
          </cell>
          <cell r="AV21">
            <v>16447.485403548944</v>
          </cell>
          <cell r="AW21">
            <v>8764.1156267887818</v>
          </cell>
          <cell r="AX21">
            <v>428.16256439610765</v>
          </cell>
          <cell r="AY21">
            <v>829.65750810913948</v>
          </cell>
          <cell r="AZ21">
            <v>16586.385231825992</v>
          </cell>
          <cell r="BA21">
            <v>430.55806334668966</v>
          </cell>
          <cell r="BB21">
            <v>5387.0311009349371</v>
          </cell>
          <cell r="BC21">
            <v>48873.395498950595</v>
          </cell>
          <cell r="BD21">
            <v>15204.88599503912</v>
          </cell>
          <cell r="BE21">
            <v>6800.3099408509834</v>
          </cell>
          <cell r="BF21">
            <v>418.50028620492282</v>
          </cell>
          <cell r="BG21">
            <v>398.39738962030157</v>
          </cell>
          <cell r="BH21">
            <v>45625.167452585403</v>
          </cell>
          <cell r="BM21">
            <v>20</v>
          </cell>
          <cell r="BN21">
            <v>20</v>
          </cell>
          <cell r="BO21" t="str">
            <v>Power Grids supply failure.</v>
          </cell>
          <cell r="BQ21">
            <v>41644</v>
          </cell>
        </row>
        <row r="22">
          <cell r="A22" t="str">
            <v>F446008</v>
          </cell>
          <cell r="B22">
            <v>46008</v>
          </cell>
          <cell r="C22" t="str">
            <v>Mr.Ganesh Ghosh Ji</v>
          </cell>
          <cell r="D22">
            <v>52.019999999999996</v>
          </cell>
          <cell r="E22">
            <v>0.25000000000000711</v>
          </cell>
          <cell r="F22">
            <v>52.27</v>
          </cell>
          <cell r="G22">
            <v>21.720000000000002</v>
          </cell>
          <cell r="H22">
            <v>10.119999999999999</v>
          </cell>
          <cell r="I22">
            <v>40.68</v>
          </cell>
          <cell r="J22">
            <v>1.41</v>
          </cell>
          <cell r="K22">
            <v>22.32</v>
          </cell>
          <cell r="L22">
            <v>4.6500000000000004</v>
          </cell>
          <cell r="M22">
            <v>17.88</v>
          </cell>
          <cell r="N22">
            <v>0.66</v>
          </cell>
          <cell r="O22">
            <v>8</v>
          </cell>
          <cell r="P22">
            <v>95.093000000000004</v>
          </cell>
          <cell r="Q22">
            <v>31.027999999999999</v>
          </cell>
          <cell r="R22">
            <v>38</v>
          </cell>
          <cell r="S22">
            <v>28</v>
          </cell>
          <cell r="T22">
            <v>28</v>
          </cell>
          <cell r="U22">
            <v>94</v>
          </cell>
          <cell r="V22">
            <v>1.8280084582852751</v>
          </cell>
          <cell r="W22">
            <v>53.89</v>
          </cell>
          <cell r="X22">
            <v>0.96529968454258663</v>
          </cell>
          <cell r="Y22" t="str">
            <v>40/8</v>
          </cell>
          <cell r="Z22">
            <v>36.739999999999995</v>
          </cell>
          <cell r="AA22">
            <v>7.3899999999999988</v>
          </cell>
          <cell r="AB22">
            <v>0</v>
          </cell>
          <cell r="AC22">
            <v>355.53940173010392</v>
          </cell>
          <cell r="AD22">
            <v>406.64763563629378</v>
          </cell>
          <cell r="AE22">
            <v>1.0333594482416877</v>
          </cell>
          <cell r="AF22">
            <v>0.90348490389011626</v>
          </cell>
          <cell r="AG22">
            <v>397.96778392925796</v>
          </cell>
          <cell r="AH22">
            <v>327.85132210688204</v>
          </cell>
          <cell r="AI22">
            <v>0.68157124855665718</v>
          </cell>
          <cell r="AJ22">
            <v>0.65394221808483077</v>
          </cell>
          <cell r="AK22" t="str">
            <v>25/50</v>
          </cell>
          <cell r="AL22">
            <v>4.6328335255670899E-2</v>
          </cell>
          <cell r="AM22">
            <v>144.80000000000001</v>
          </cell>
          <cell r="AN22">
            <v>5.7770000000000001</v>
          </cell>
          <cell r="AO22">
            <v>2.8945982314494425</v>
          </cell>
          <cell r="AP22">
            <v>20.518953581973733</v>
          </cell>
          <cell r="AQ22">
            <v>0.98907103825136633</v>
          </cell>
          <cell r="AR22">
            <v>2.0690000000000004</v>
          </cell>
          <cell r="AS22">
            <v>0.78666707741101927</v>
          </cell>
          <cell r="AT22">
            <v>531.21064814814815</v>
          </cell>
          <cell r="AU22">
            <v>216.66666666666666</v>
          </cell>
          <cell r="AV22">
            <v>13365.333910034602</v>
          </cell>
          <cell r="AW22">
            <v>8216.0034602076139</v>
          </cell>
          <cell r="AX22">
            <v>373.70242214532874</v>
          </cell>
          <cell r="AY22">
            <v>518.95328719723193</v>
          </cell>
          <cell r="AZ22">
            <v>16933.399653979239</v>
          </cell>
          <cell r="BA22">
            <v>394.07392733564018</v>
          </cell>
          <cell r="BB22">
            <v>5499.7366397539408</v>
          </cell>
          <cell r="BC22">
            <v>45301.203300653593</v>
          </cell>
          <cell r="BD22">
            <v>15275.998615916958</v>
          </cell>
          <cell r="BE22">
            <v>6824.6370242214543</v>
          </cell>
          <cell r="BF22">
            <v>437.96808919646293</v>
          </cell>
          <cell r="BG22">
            <v>399.90956670511349</v>
          </cell>
          <cell r="BH22">
            <v>45890.602876970399</v>
          </cell>
          <cell r="BO22" t="str">
            <v>NIL</v>
          </cell>
          <cell r="BQ22">
            <v>41644</v>
          </cell>
        </row>
        <row r="23">
          <cell r="A23" t="str">
            <v>F446009</v>
          </cell>
          <cell r="B23">
            <v>46009</v>
          </cell>
          <cell r="C23" t="str">
            <v>Mr.Ganesh Ghosh Ji</v>
          </cell>
          <cell r="D23">
            <v>52.695</v>
          </cell>
          <cell r="E23">
            <v>0</v>
          </cell>
          <cell r="F23">
            <v>52.695</v>
          </cell>
          <cell r="G23">
            <v>21.72</v>
          </cell>
          <cell r="H23">
            <v>10.4375</v>
          </cell>
          <cell r="I23">
            <v>40.250000000000007</v>
          </cell>
          <cell r="J23">
            <v>1.3975</v>
          </cell>
          <cell r="K23">
            <v>22.199999999999996</v>
          </cell>
          <cell r="L23">
            <v>4.6325000000000003</v>
          </cell>
          <cell r="M23">
            <v>17.8825</v>
          </cell>
          <cell r="N23">
            <v>0.66500000000000004</v>
          </cell>
          <cell r="O23">
            <v>8</v>
          </cell>
          <cell r="P23">
            <v>95.072999999999993</v>
          </cell>
          <cell r="Q23">
            <v>31.041999999999998</v>
          </cell>
          <cell r="R23">
            <v>36</v>
          </cell>
          <cell r="S23">
            <v>28</v>
          </cell>
          <cell r="T23">
            <v>30</v>
          </cell>
          <cell r="U23">
            <v>94</v>
          </cell>
          <cell r="V23">
            <v>1.8042129234272699</v>
          </cell>
          <cell r="W23">
            <v>54.324999999999996</v>
          </cell>
          <cell r="X23">
            <v>0.96999539806718826</v>
          </cell>
          <cell r="Y23" t="str">
            <v>40/8</v>
          </cell>
          <cell r="Z23">
            <v>37.28</v>
          </cell>
          <cell r="AA23">
            <v>7.4599999999999991</v>
          </cell>
          <cell r="AB23">
            <v>0</v>
          </cell>
          <cell r="AC23">
            <v>466.66400760983015</v>
          </cell>
          <cell r="AD23">
            <v>401.32196917734126</v>
          </cell>
          <cell r="AE23">
            <v>0.79886169475425195</v>
          </cell>
          <cell r="AF23">
            <v>0.9289299580688104</v>
          </cell>
          <cell r="AG23">
            <v>198.63668545402788</v>
          </cell>
          <cell r="AH23">
            <v>323.80574418825319</v>
          </cell>
          <cell r="AI23">
            <v>0.80981556767348972</v>
          </cell>
          <cell r="AJ23">
            <v>0.70539664565087867</v>
          </cell>
          <cell r="AL23">
            <v>0</v>
          </cell>
          <cell r="AM23">
            <v>144.9</v>
          </cell>
          <cell r="AN23">
            <v>5.8490000000000002</v>
          </cell>
          <cell r="AO23">
            <v>2.8607837555745328</v>
          </cell>
          <cell r="AP23">
            <v>20.515178221239193</v>
          </cell>
          <cell r="AQ23">
            <v>0.98975409836065598</v>
          </cell>
          <cell r="AR23">
            <v>2.0630000000000002</v>
          </cell>
          <cell r="AS23">
            <v>0</v>
          </cell>
          <cell r="AT23">
            <v>577.59837962962968</v>
          </cell>
          <cell r="AU23">
            <v>225</v>
          </cell>
          <cell r="AV23">
            <v>17581.629566372521</v>
          </cell>
          <cell r="AW23">
            <v>4012.3450042698551</v>
          </cell>
          <cell r="AX23">
            <v>394.42072302875033</v>
          </cell>
          <cell r="AY23">
            <v>1134.3951038998007</v>
          </cell>
          <cell r="AZ23">
            <v>16735.584970111016</v>
          </cell>
          <cell r="BA23">
            <v>398.58375367681947</v>
          </cell>
          <cell r="BB23">
            <v>5435.4891355916125</v>
          </cell>
          <cell r="BC23">
            <v>45692.448256950382</v>
          </cell>
          <cell r="BD23">
            <v>15075.094373280197</v>
          </cell>
          <cell r="BE23">
            <v>6741.0724357149629</v>
          </cell>
          <cell r="BF23">
            <v>437.49217193282095</v>
          </cell>
          <cell r="BG23">
            <v>401.23639054938803</v>
          </cell>
          <cell r="BH23">
            <v>45960.364581079797</v>
          </cell>
          <cell r="BO23" t="str">
            <v>NIL</v>
          </cell>
          <cell r="BQ23">
            <v>41644</v>
          </cell>
        </row>
        <row r="24">
          <cell r="A24" t="str">
            <v>F446010</v>
          </cell>
          <cell r="B24">
            <v>46010</v>
          </cell>
          <cell r="C24" t="str">
            <v>Mr.Ganesh Ghosh Ji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</v>
          </cell>
          <cell r="P24">
            <v>0</v>
          </cell>
          <cell r="Q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Q24">
            <v>41644</v>
          </cell>
        </row>
        <row r="25">
          <cell r="A25" t="str">
            <v>F446011</v>
          </cell>
          <cell r="B25">
            <v>46011</v>
          </cell>
          <cell r="C25" t="str">
            <v>Mr.Ganesh Ghosh Ji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</v>
          </cell>
          <cell r="P25">
            <v>0</v>
          </cell>
          <cell r="Q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Q25">
            <v>41644</v>
          </cell>
        </row>
        <row r="26">
          <cell r="A26" t="str">
            <v>F446012</v>
          </cell>
          <cell r="B26">
            <v>46012</v>
          </cell>
          <cell r="C26" t="str">
            <v>Mr.Ganesh Ghosh Ji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</v>
          </cell>
          <cell r="P26">
            <v>0</v>
          </cell>
          <cell r="Q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Q26">
            <v>41644</v>
          </cell>
        </row>
        <row r="27">
          <cell r="A27" t="str">
            <v>F446013</v>
          </cell>
          <cell r="B27">
            <v>46013</v>
          </cell>
          <cell r="C27" t="str">
            <v>Mr.Ganesh Ghosh Ji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</v>
          </cell>
          <cell r="P27">
            <v>0</v>
          </cell>
          <cell r="Q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Q27">
            <v>41644</v>
          </cell>
        </row>
        <row r="28">
          <cell r="A28" t="str">
            <v>F446014</v>
          </cell>
          <cell r="B28">
            <v>46014</v>
          </cell>
          <cell r="C28" t="str">
            <v>Mr.Ganesh Ghosh Ji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8</v>
          </cell>
          <cell r="P28">
            <v>0</v>
          </cell>
          <cell r="Q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Q28">
            <v>41644</v>
          </cell>
        </row>
        <row r="29">
          <cell r="A29" t="str">
            <v>F446015</v>
          </cell>
          <cell r="B29">
            <v>46015</v>
          </cell>
          <cell r="C29" t="str">
            <v>Mr.Ganesh Ghosh Ji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8</v>
          </cell>
          <cell r="P29">
            <v>0</v>
          </cell>
          <cell r="Q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Q29">
            <v>41644</v>
          </cell>
        </row>
        <row r="30">
          <cell r="A30" t="str">
            <v>F446016</v>
          </cell>
          <cell r="B30">
            <v>46016</v>
          </cell>
          <cell r="C30" t="str">
            <v>Mr.Ganesh Ghosh Ji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</v>
          </cell>
          <cell r="P30">
            <v>0</v>
          </cell>
          <cell r="Q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Q30">
            <v>41644</v>
          </cell>
        </row>
        <row r="31">
          <cell r="A31" t="str">
            <v>F446017</v>
          </cell>
          <cell r="B31">
            <v>46017</v>
          </cell>
          <cell r="C31" t="str">
            <v>Mr.Ganesh Ghosh Ji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</v>
          </cell>
          <cell r="P31">
            <v>0</v>
          </cell>
          <cell r="Q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Q31">
            <v>41644</v>
          </cell>
        </row>
        <row r="32">
          <cell r="A32" t="str">
            <v>F446018</v>
          </cell>
          <cell r="B32">
            <v>46018</v>
          </cell>
          <cell r="C32" t="str">
            <v>Mr.Ganesh Ghosh Ji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</v>
          </cell>
          <cell r="P32">
            <v>0</v>
          </cell>
          <cell r="Q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Q32">
            <v>41644</v>
          </cell>
        </row>
        <row r="33">
          <cell r="A33" t="str">
            <v>F446019</v>
          </cell>
          <cell r="B33">
            <v>46019</v>
          </cell>
          <cell r="C33" t="str">
            <v>Mr.Ganesh Ghosh Ji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12</v>
          </cell>
          <cell r="P33">
            <v>0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Q33">
            <v>41644</v>
          </cell>
        </row>
        <row r="34">
          <cell r="A34" t="str">
            <v>F446020</v>
          </cell>
          <cell r="B34">
            <v>46020</v>
          </cell>
          <cell r="C34" t="str">
            <v>Mr.Ganesh Ghosh Ji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12</v>
          </cell>
          <cell r="P34">
            <v>0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Q34">
            <v>41644</v>
          </cell>
        </row>
        <row r="35">
          <cell r="A35" t="str">
            <v>F446021</v>
          </cell>
          <cell r="B35">
            <v>46021</v>
          </cell>
          <cell r="C35" t="str">
            <v>Mr.Ganesh Ghosh Ji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13</v>
          </cell>
          <cell r="P35">
            <v>0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Q35">
            <v>41644</v>
          </cell>
        </row>
        <row r="36">
          <cell r="A36" t="str">
            <v>F446022</v>
          </cell>
          <cell r="B36">
            <v>46022</v>
          </cell>
          <cell r="C36" t="str">
            <v>Mr.Ganesh Ghosh Ji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12</v>
          </cell>
          <cell r="P36">
            <v>0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Q36">
            <v>41644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">
          <cell r="AR1" t="str">
            <v>F145992</v>
          </cell>
          <cell r="AS1" t="str">
            <v>F145993</v>
          </cell>
          <cell r="AT1" t="str">
            <v>F145994</v>
          </cell>
          <cell r="AU1" t="str">
            <v>F145995</v>
          </cell>
          <cell r="AV1" t="str">
            <v>F145996</v>
          </cell>
          <cell r="AW1" t="str">
            <v>F145997</v>
          </cell>
          <cell r="AX1" t="str">
            <v>F145998</v>
          </cell>
          <cell r="AY1" t="str">
            <v>F145999</v>
          </cell>
          <cell r="AZ1" t="str">
            <v>F146000</v>
          </cell>
          <cell r="BA1" t="str">
            <v>F146001</v>
          </cell>
          <cell r="BB1" t="str">
            <v>F146002</v>
          </cell>
          <cell r="BC1" t="str">
            <v>F146003</v>
          </cell>
          <cell r="BD1" t="str">
            <v>F146004</v>
          </cell>
          <cell r="BE1" t="str">
            <v>F146005</v>
          </cell>
          <cell r="BF1" t="str">
            <v>F146006</v>
          </cell>
          <cell r="BG1" t="str">
            <v>F146007</v>
          </cell>
          <cell r="BH1" t="str">
            <v>F146008</v>
          </cell>
          <cell r="BI1" t="str">
            <v>F146009</v>
          </cell>
          <cell r="BJ1" t="str">
            <v>F146010</v>
          </cell>
          <cell r="BK1" t="str">
            <v>F146011</v>
          </cell>
          <cell r="BL1" t="str">
            <v>F146012</v>
          </cell>
          <cell r="BM1" t="str">
            <v>F146013</v>
          </cell>
          <cell r="BN1" t="str">
            <v>F146014</v>
          </cell>
          <cell r="BO1" t="str">
            <v>F146015</v>
          </cell>
          <cell r="BP1" t="str">
            <v>F146016</v>
          </cell>
          <cell r="BQ1" t="str">
            <v>F146017</v>
          </cell>
          <cell r="BR1" t="str">
            <v>F146018</v>
          </cell>
          <cell r="BS1" t="str">
            <v>F146019</v>
          </cell>
          <cell r="BT1" t="str">
            <v>F146020</v>
          </cell>
          <cell r="BU1" t="str">
            <v>F146021</v>
          </cell>
          <cell r="BV1" t="str">
            <v>F146022</v>
          </cell>
          <cell r="CL1" t="str">
            <v>F145992</v>
          </cell>
          <cell r="CM1" t="str">
            <v>F145993</v>
          </cell>
          <cell r="CN1" t="str">
            <v>F145994</v>
          </cell>
          <cell r="CO1" t="str">
            <v>F145995</v>
          </cell>
          <cell r="CP1" t="str">
            <v>F145996</v>
          </cell>
          <cell r="CQ1" t="str">
            <v>F145997</v>
          </cell>
          <cell r="CR1" t="str">
            <v>F145998</v>
          </cell>
          <cell r="CS1" t="str">
            <v>F145999</v>
          </cell>
          <cell r="CT1" t="str">
            <v>F146000</v>
          </cell>
          <cell r="CU1" t="str">
            <v>F146001</v>
          </cell>
          <cell r="CV1" t="str">
            <v>F146002</v>
          </cell>
          <cell r="CW1" t="str">
            <v>F146003</v>
          </cell>
          <cell r="CX1" t="str">
            <v>F146004</v>
          </cell>
          <cell r="CY1" t="str">
            <v>F146005</v>
          </cell>
          <cell r="CZ1" t="str">
            <v>F146006</v>
          </cell>
          <cell r="DA1" t="str">
            <v>F146007</v>
          </cell>
          <cell r="DB1" t="str">
            <v>F146008</v>
          </cell>
          <cell r="DC1" t="str">
            <v>F146009</v>
          </cell>
          <cell r="DD1" t="str">
            <v>F146010</v>
          </cell>
          <cell r="DE1" t="str">
            <v>F146011</v>
          </cell>
          <cell r="DF1" t="str">
            <v>F146012</v>
          </cell>
          <cell r="DG1" t="str">
            <v>F146013</v>
          </cell>
          <cell r="DH1" t="str">
            <v>F146014</v>
          </cell>
          <cell r="DI1" t="str">
            <v>F146015</v>
          </cell>
          <cell r="DJ1" t="str">
            <v>F146016</v>
          </cell>
          <cell r="DK1" t="str">
            <v>F146017</v>
          </cell>
          <cell r="DL1" t="str">
            <v>F146018</v>
          </cell>
          <cell r="DM1" t="str">
            <v>F146019</v>
          </cell>
          <cell r="DN1" t="str">
            <v>F146020</v>
          </cell>
          <cell r="DO1" t="str">
            <v>F146021</v>
          </cell>
          <cell r="DP1" t="str">
            <v>F146022</v>
          </cell>
        </row>
        <row r="2">
          <cell r="AR2">
            <v>45992</v>
          </cell>
          <cell r="AS2">
            <v>45993</v>
          </cell>
          <cell r="AT2">
            <v>45994</v>
          </cell>
          <cell r="AU2">
            <v>45995</v>
          </cell>
          <cell r="AV2">
            <v>45996</v>
          </cell>
          <cell r="AW2">
            <v>45997</v>
          </cell>
          <cell r="AX2">
            <v>45998</v>
          </cell>
          <cell r="AY2">
            <v>45999</v>
          </cell>
          <cell r="AZ2">
            <v>46000</v>
          </cell>
          <cell r="BA2">
            <v>46001</v>
          </cell>
          <cell r="BB2">
            <v>46002</v>
          </cell>
          <cell r="BC2">
            <v>46003</v>
          </cell>
          <cell r="BD2">
            <v>46004</v>
          </cell>
          <cell r="BE2">
            <v>46005</v>
          </cell>
          <cell r="BF2">
            <v>46006</v>
          </cell>
          <cell r="BG2">
            <v>46007</v>
          </cell>
          <cell r="BH2">
            <v>46008</v>
          </cell>
          <cell r="BI2">
            <v>46009</v>
          </cell>
          <cell r="BJ2">
            <v>46010</v>
          </cell>
          <cell r="BK2">
            <v>46011</v>
          </cell>
          <cell r="BL2">
            <v>46012</v>
          </cell>
          <cell r="BM2">
            <v>46013</v>
          </cell>
          <cell r="BN2">
            <v>46014</v>
          </cell>
          <cell r="BO2">
            <v>46015</v>
          </cell>
          <cell r="BP2">
            <v>46016</v>
          </cell>
          <cell r="BQ2">
            <v>46017</v>
          </cell>
          <cell r="BR2">
            <v>46018</v>
          </cell>
          <cell r="BS2">
            <v>46019</v>
          </cell>
          <cell r="BT2">
            <v>46020</v>
          </cell>
          <cell r="BU2">
            <v>46021</v>
          </cell>
          <cell r="BV2">
            <v>46022</v>
          </cell>
          <cell r="CL2">
            <v>45992</v>
          </cell>
          <cell r="CM2">
            <v>45993</v>
          </cell>
          <cell r="CN2">
            <v>45994</v>
          </cell>
          <cell r="CO2">
            <v>45995</v>
          </cell>
          <cell r="CP2">
            <v>45996</v>
          </cell>
          <cell r="CQ2">
            <v>45997</v>
          </cell>
          <cell r="CR2">
            <v>45998</v>
          </cell>
          <cell r="CS2">
            <v>45999</v>
          </cell>
          <cell r="CT2">
            <v>46000</v>
          </cell>
          <cell r="CU2">
            <v>46001</v>
          </cell>
          <cell r="CV2">
            <v>46002</v>
          </cell>
          <cell r="CW2">
            <v>46003</v>
          </cell>
          <cell r="CX2">
            <v>46004</v>
          </cell>
          <cell r="CY2">
            <v>46005</v>
          </cell>
          <cell r="CZ2">
            <v>46006</v>
          </cell>
          <cell r="DA2">
            <v>46007</v>
          </cell>
          <cell r="DB2">
            <v>46008</v>
          </cell>
          <cell r="DC2">
            <v>46009</v>
          </cell>
          <cell r="DD2">
            <v>46010</v>
          </cell>
          <cell r="DE2">
            <v>46011</v>
          </cell>
          <cell r="DF2">
            <v>46012</v>
          </cell>
          <cell r="DG2">
            <v>46013</v>
          </cell>
          <cell r="DH2">
            <v>46014</v>
          </cell>
          <cell r="DI2">
            <v>46015</v>
          </cell>
          <cell r="DJ2">
            <v>46016</v>
          </cell>
          <cell r="DK2">
            <v>46017</v>
          </cell>
          <cell r="DL2">
            <v>46018</v>
          </cell>
          <cell r="DM2">
            <v>46019</v>
          </cell>
          <cell r="DN2">
            <v>46020</v>
          </cell>
          <cell r="DO2">
            <v>46021</v>
          </cell>
          <cell r="DP2">
            <v>46022</v>
          </cell>
        </row>
        <row r="3">
          <cell r="CL3">
            <v>24.895</v>
          </cell>
          <cell r="CM3">
            <v>23.245000000000001</v>
          </cell>
          <cell r="CN3">
            <v>23.94</v>
          </cell>
          <cell r="CO3">
            <v>23.7</v>
          </cell>
          <cell r="CP3">
            <v>23.425000000000001</v>
          </cell>
          <cell r="CQ3">
            <v>23.41</v>
          </cell>
          <cell r="CR3">
            <v>22.885000000000002</v>
          </cell>
          <cell r="CS3">
            <v>23.36</v>
          </cell>
          <cell r="CT3">
            <v>23.44</v>
          </cell>
          <cell r="CU3">
            <v>24.82</v>
          </cell>
          <cell r="CV3">
            <v>23.16</v>
          </cell>
          <cell r="CW3">
            <v>21.479999999999997</v>
          </cell>
          <cell r="CX3">
            <v>20.024999999999999</v>
          </cell>
          <cell r="CY3">
            <v>15.135</v>
          </cell>
          <cell r="CZ3">
            <v>20.77</v>
          </cell>
          <cell r="DA3">
            <v>20.13</v>
          </cell>
          <cell r="DB3">
            <v>20.09</v>
          </cell>
          <cell r="DC3">
            <v>20.74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</row>
        <row r="4">
          <cell r="CL4">
            <v>40.221249999999998</v>
          </cell>
          <cell r="CM4">
            <v>40.177499999999995</v>
          </cell>
          <cell r="CN4">
            <v>40.172499999999999</v>
          </cell>
          <cell r="CO4">
            <v>40.182500000000005</v>
          </cell>
          <cell r="CP4">
            <v>40.1875</v>
          </cell>
          <cell r="CQ4">
            <v>40.186250000000001</v>
          </cell>
          <cell r="CR4">
            <v>40.155000000000001</v>
          </cell>
          <cell r="CS4">
            <v>40.157500000000006</v>
          </cell>
          <cell r="CT4">
            <v>40.184999999999995</v>
          </cell>
          <cell r="CU4">
            <v>40.138750000000002</v>
          </cell>
          <cell r="CV4">
            <v>39.928750000000001</v>
          </cell>
          <cell r="CW4">
            <v>39.592500000000001</v>
          </cell>
          <cell r="CX4">
            <v>39.866250000000008</v>
          </cell>
          <cell r="CY4">
            <v>52.648333333333333</v>
          </cell>
          <cell r="CZ4">
            <v>55.092500000000001</v>
          </cell>
          <cell r="DA4">
            <v>54.888750000000009</v>
          </cell>
          <cell r="DB4">
            <v>54.931250000000006</v>
          </cell>
          <cell r="DC4">
            <v>55.007499999999993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</row>
        <row r="5">
          <cell r="CL5">
            <v>54</v>
          </cell>
          <cell r="CM5">
            <v>54</v>
          </cell>
          <cell r="CN5">
            <v>56</v>
          </cell>
          <cell r="CO5">
            <v>54</v>
          </cell>
          <cell r="CP5">
            <v>54</v>
          </cell>
          <cell r="CQ5">
            <v>54</v>
          </cell>
          <cell r="CR5">
            <v>54</v>
          </cell>
          <cell r="CS5">
            <v>54</v>
          </cell>
          <cell r="CT5">
            <v>54</v>
          </cell>
          <cell r="CU5">
            <v>55</v>
          </cell>
          <cell r="CV5">
            <v>54</v>
          </cell>
          <cell r="CW5">
            <v>94</v>
          </cell>
          <cell r="CX5">
            <v>70</v>
          </cell>
          <cell r="CY5">
            <v>39</v>
          </cell>
          <cell r="CZ5">
            <v>49</v>
          </cell>
          <cell r="DA5">
            <v>44</v>
          </cell>
          <cell r="DB5">
            <v>45</v>
          </cell>
          <cell r="DC5">
            <v>46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</row>
        <row r="6"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 t="e">
            <v>#DIV/0!</v>
          </cell>
          <cell r="BK6" t="e">
            <v>#DIV/0!</v>
          </cell>
          <cell r="BL6" t="e">
            <v>#DIV/0!</v>
          </cell>
          <cell r="BM6" t="e">
            <v>#DIV/0!</v>
          </cell>
          <cell r="BN6" t="e">
            <v>#DIV/0!</v>
          </cell>
          <cell r="BO6" t="e">
            <v>#DIV/0!</v>
          </cell>
          <cell r="BP6" t="e">
            <v>#DIV/0!</v>
          </cell>
          <cell r="BQ6" t="e">
            <v>#DIV/0!</v>
          </cell>
          <cell r="BR6" t="e">
            <v>#DIV/0!</v>
          </cell>
          <cell r="BS6" t="e">
            <v>#DIV/0!</v>
          </cell>
          <cell r="BT6" t="e">
            <v>#DIV/0!</v>
          </cell>
          <cell r="BU6" t="e">
            <v>#DIV/0!</v>
          </cell>
          <cell r="BV6" t="e">
            <v>#DIV/0!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</row>
        <row r="7">
          <cell r="AR7">
            <v>262.10082345852584</v>
          </cell>
          <cell r="AS7">
            <v>280.57646805764682</v>
          </cell>
          <cell r="AT7">
            <v>282.03842940685041</v>
          </cell>
          <cell r="AU7">
            <v>274.30379746835445</v>
          </cell>
          <cell r="AV7">
            <v>281.49413020277478</v>
          </cell>
          <cell r="AW7">
            <v>267.74882528833831</v>
          </cell>
          <cell r="AX7">
            <v>262.48634476731479</v>
          </cell>
          <cell r="AY7">
            <v>255.47945205479451</v>
          </cell>
          <cell r="AZ7">
            <v>254.47952218430032</v>
          </cell>
          <cell r="BA7">
            <v>244.35938759065272</v>
          </cell>
          <cell r="BB7">
            <v>258.63557858376515</v>
          </cell>
          <cell r="BC7">
            <v>247.99813780260709</v>
          </cell>
          <cell r="BD7">
            <v>293.48314606741576</v>
          </cell>
          <cell r="BE7">
            <v>195.90353485298976</v>
          </cell>
          <cell r="BF7">
            <v>165.81608088589311</v>
          </cell>
          <cell r="BG7">
            <v>154.39642324888229</v>
          </cell>
          <cell r="BH7">
            <v>154.10652065704332</v>
          </cell>
          <cell r="BI7">
            <v>157.32883317261332</v>
          </cell>
          <cell r="BJ7" t="e">
            <v>#DIV/0!</v>
          </cell>
          <cell r="BK7" t="e">
            <v>#DIV/0!</v>
          </cell>
          <cell r="BL7" t="e">
            <v>#DIV/0!</v>
          </cell>
          <cell r="BM7" t="e">
            <v>#DIV/0!</v>
          </cell>
          <cell r="BN7" t="e">
            <v>#DIV/0!</v>
          </cell>
          <cell r="BO7" t="e">
            <v>#DIV/0!</v>
          </cell>
          <cell r="BP7" t="e">
            <v>#DIV/0!</v>
          </cell>
          <cell r="BQ7" t="e">
            <v>#DIV/0!</v>
          </cell>
          <cell r="BR7" t="e">
            <v>#DIV/0!</v>
          </cell>
          <cell r="BS7" t="e">
            <v>#DIV/0!</v>
          </cell>
          <cell r="BT7" t="e">
            <v>#DIV/0!</v>
          </cell>
          <cell r="BU7" t="e">
            <v>#DIV/0!</v>
          </cell>
          <cell r="BV7" t="e">
            <v>#DIV/0!</v>
          </cell>
          <cell r="CL7">
            <v>120.83333333333333</v>
          </cell>
          <cell r="CM7">
            <v>120.77777777777777</v>
          </cell>
          <cell r="CN7">
            <v>120.57142857142857</v>
          </cell>
          <cell r="CO7">
            <v>120.38888888888889</v>
          </cell>
          <cell r="CP7">
            <v>122.11111111111111</v>
          </cell>
          <cell r="CQ7">
            <v>116.07407407407406</v>
          </cell>
          <cell r="CR7">
            <v>111.24074074074073</v>
          </cell>
          <cell r="CS7">
            <v>110.51851851851852</v>
          </cell>
          <cell r="CT7">
            <v>110.46296296296296</v>
          </cell>
          <cell r="CU7">
            <v>110.27272727272728</v>
          </cell>
          <cell r="CV7">
            <v>110.92592592592592</v>
          </cell>
          <cell r="CW7">
            <v>56.670212765957444</v>
          </cell>
          <cell r="CX7">
            <v>83.957142857142856</v>
          </cell>
          <cell r="CY7">
            <v>76.025641025641022</v>
          </cell>
          <cell r="CZ7">
            <v>70.285714285714278</v>
          </cell>
          <cell r="DA7">
            <v>70.63636363636364</v>
          </cell>
          <cell r="DB7">
            <v>68.8</v>
          </cell>
          <cell r="DC7">
            <v>70.934782608695656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</row>
        <row r="8"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 t="e">
            <v>#DIV/0!</v>
          </cell>
          <cell r="BK8" t="e">
            <v>#DIV/0!</v>
          </cell>
          <cell r="BL8" t="e">
            <v>#DIV/0!</v>
          </cell>
          <cell r="BM8" t="e">
            <v>#DIV/0!</v>
          </cell>
          <cell r="BN8" t="e">
            <v>#DIV/0!</v>
          </cell>
          <cell r="BO8" t="e">
            <v>#DIV/0!</v>
          </cell>
          <cell r="BP8" t="e">
            <v>#DIV/0!</v>
          </cell>
          <cell r="BQ8" t="e">
            <v>#DIV/0!</v>
          </cell>
          <cell r="BR8" t="e">
            <v>#DIV/0!</v>
          </cell>
          <cell r="BS8" t="e">
            <v>#DIV/0!</v>
          </cell>
          <cell r="BT8" t="e">
            <v>#DIV/0!</v>
          </cell>
          <cell r="BU8" t="e">
            <v>#DIV/0!</v>
          </cell>
          <cell r="BV8" t="e">
            <v>#DIV/0!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</row>
        <row r="9">
          <cell r="AR9">
            <v>293.43241614782085</v>
          </cell>
          <cell r="AS9">
            <v>314.21811142181116</v>
          </cell>
          <cell r="AT9">
            <v>282.03842940685041</v>
          </cell>
          <cell r="AU9">
            <v>308.1434599156118</v>
          </cell>
          <cell r="AV9">
            <v>311.54749199573104</v>
          </cell>
          <cell r="AW9">
            <v>312.30243485689874</v>
          </cell>
          <cell r="AX9">
            <v>320.29713786322918</v>
          </cell>
          <cell r="AY9">
            <v>312.5</v>
          </cell>
          <cell r="AZ9">
            <v>311.47610921501706</v>
          </cell>
          <cell r="BA9">
            <v>299.3150684931507</v>
          </cell>
          <cell r="BB9">
            <v>315.71675302245251</v>
          </cell>
          <cell r="BC9">
            <v>334.82309124767227</v>
          </cell>
          <cell r="BD9">
            <v>478.90137328339574</v>
          </cell>
          <cell r="BE9">
            <v>582.88734720845719</v>
          </cell>
          <cell r="BF9">
            <v>533.36543090996622</v>
          </cell>
          <cell r="BG9">
            <v>494.43616492796821</v>
          </cell>
          <cell r="BH9">
            <v>489.89547038327532</v>
          </cell>
          <cell r="BI9">
            <v>488.76567020250729</v>
          </cell>
          <cell r="BJ9" t="e">
            <v>#DIV/0!</v>
          </cell>
          <cell r="BK9" t="e">
            <v>#DIV/0!</v>
          </cell>
          <cell r="BL9" t="e">
            <v>#DIV/0!</v>
          </cell>
          <cell r="BM9" t="e">
            <v>#DIV/0!</v>
          </cell>
          <cell r="BN9" t="e">
            <v>#DIV/0!</v>
          </cell>
          <cell r="BO9" t="e">
            <v>#DIV/0!</v>
          </cell>
          <cell r="BP9" t="e">
            <v>#DIV/0!</v>
          </cell>
          <cell r="BQ9" t="e">
            <v>#DIV/0!</v>
          </cell>
          <cell r="BR9" t="e">
            <v>#DIV/0!</v>
          </cell>
          <cell r="BS9" t="e">
            <v>#DIV/0!</v>
          </cell>
          <cell r="BT9" t="e">
            <v>#DIV/0!</v>
          </cell>
          <cell r="BU9" t="e">
            <v>#DIV/0!</v>
          </cell>
          <cell r="BV9" t="e">
            <v>#DIV/0!</v>
          </cell>
          <cell r="CL9">
            <v>135.27777777777777</v>
          </cell>
          <cell r="CM9">
            <v>135.25925925925927</v>
          </cell>
          <cell r="CN9">
            <v>120.57142857142857</v>
          </cell>
          <cell r="CO9">
            <v>135.24074074074073</v>
          </cell>
          <cell r="CP9">
            <v>135.14814814814815</v>
          </cell>
          <cell r="CQ9">
            <v>135.38888888888889</v>
          </cell>
          <cell r="CR9">
            <v>135.74074074074073</v>
          </cell>
          <cell r="CS9">
            <v>135.18518518518519</v>
          </cell>
          <cell r="CT9">
            <v>135.20370370370372</v>
          </cell>
          <cell r="CU9">
            <v>135.07272727272729</v>
          </cell>
          <cell r="CV9">
            <v>135.40740740740742</v>
          </cell>
          <cell r="CW9">
            <v>76.510638297872347</v>
          </cell>
          <cell r="CX9">
            <v>137</v>
          </cell>
          <cell r="CY9">
            <v>226.2051282051282</v>
          </cell>
          <cell r="CZ9">
            <v>226.08163265306123</v>
          </cell>
          <cell r="DA9">
            <v>226.20454545454544</v>
          </cell>
          <cell r="DB9">
            <v>218.71111111111114</v>
          </cell>
          <cell r="DC9">
            <v>220.36956521739131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</row>
        <row r="10"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 t="e">
            <v>#DIV/0!</v>
          </cell>
          <cell r="BK10" t="e">
            <v>#DIV/0!</v>
          </cell>
          <cell r="BL10" t="e">
            <v>#DIV/0!</v>
          </cell>
          <cell r="BM10" t="e">
            <v>#DIV/0!</v>
          </cell>
          <cell r="BN10" t="e">
            <v>#DIV/0!</v>
          </cell>
          <cell r="BO10" t="e">
            <v>#DIV/0!</v>
          </cell>
          <cell r="BP10" t="e">
            <v>#DIV/0!</v>
          </cell>
          <cell r="BQ10" t="e">
            <v>#DIV/0!</v>
          </cell>
          <cell r="BR10" t="e">
            <v>#DIV/0!</v>
          </cell>
          <cell r="BS10" t="e">
            <v>#DIV/0!</v>
          </cell>
          <cell r="BT10" t="e">
            <v>#DIV/0!</v>
          </cell>
          <cell r="BU10" t="e">
            <v>#DIV/0!</v>
          </cell>
          <cell r="BV10" t="e">
            <v>#DIV/0!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</row>
        <row r="11"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380.37453183520603</v>
          </cell>
          <cell r="BE11">
            <v>861.77733729765441</v>
          </cell>
          <cell r="BF11">
            <v>788.34857968223389</v>
          </cell>
          <cell r="BG11">
            <v>731.04818678589163</v>
          </cell>
          <cell r="BH11">
            <v>735.63962170233947</v>
          </cell>
          <cell r="BI11">
            <v>751.1571841851495</v>
          </cell>
          <cell r="BJ11" t="e">
            <v>#DIV/0!</v>
          </cell>
          <cell r="BK11" t="e">
            <v>#DIV/0!</v>
          </cell>
          <cell r="BL11" t="e">
            <v>#DIV/0!</v>
          </cell>
          <cell r="BM11" t="e">
            <v>#DIV/0!</v>
          </cell>
          <cell r="BN11" t="e">
            <v>#DIV/0!</v>
          </cell>
          <cell r="BO11" t="e">
            <v>#DIV/0!</v>
          </cell>
          <cell r="BP11" t="e">
            <v>#DIV/0!</v>
          </cell>
          <cell r="BQ11" t="e">
            <v>#DIV/0!</v>
          </cell>
          <cell r="BR11" t="e">
            <v>#DIV/0!</v>
          </cell>
          <cell r="BS11" t="e">
            <v>#DIV/0!</v>
          </cell>
          <cell r="BT11" t="e">
            <v>#DIV/0!</v>
          </cell>
          <cell r="BU11" t="e">
            <v>#DIV/0!</v>
          </cell>
          <cell r="BV11" t="e">
            <v>#DIV/0!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108.81428571428572</v>
          </cell>
          <cell r="CY11">
            <v>334.4358974358974</v>
          </cell>
          <cell r="CZ11">
            <v>334.16326530612247</v>
          </cell>
          <cell r="DA11">
            <v>334.45454545454544</v>
          </cell>
          <cell r="DB11">
            <v>328.42222222222222</v>
          </cell>
          <cell r="DC11">
            <v>338.67391304347825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</row>
        <row r="12"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 t="e">
            <v>#DIV/0!</v>
          </cell>
          <cell r="BK12" t="e">
            <v>#DIV/0!</v>
          </cell>
          <cell r="BL12" t="e">
            <v>#DIV/0!</v>
          </cell>
          <cell r="BM12" t="e">
            <v>#DIV/0!</v>
          </cell>
          <cell r="BN12" t="e">
            <v>#DIV/0!</v>
          </cell>
          <cell r="BO12" t="e">
            <v>#DIV/0!</v>
          </cell>
          <cell r="BP12" t="e">
            <v>#DIV/0!</v>
          </cell>
          <cell r="BQ12" t="e">
            <v>#DIV/0!</v>
          </cell>
          <cell r="BR12" t="e">
            <v>#DIV/0!</v>
          </cell>
          <cell r="BS12" t="e">
            <v>#DIV/0!</v>
          </cell>
          <cell r="BT12" t="e">
            <v>#DIV/0!</v>
          </cell>
          <cell r="BU12" t="e">
            <v>#DIV/0!</v>
          </cell>
          <cell r="BV12" t="e">
            <v>#DIV/0!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</row>
        <row r="13"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 t="e">
            <v>#DIV/0!</v>
          </cell>
          <cell r="BK13" t="e">
            <v>#DIV/0!</v>
          </cell>
          <cell r="BL13" t="e">
            <v>#DIV/0!</v>
          </cell>
          <cell r="BM13" t="e">
            <v>#DIV/0!</v>
          </cell>
          <cell r="BN13" t="e">
            <v>#DIV/0!</v>
          </cell>
          <cell r="BO13" t="e">
            <v>#DIV/0!</v>
          </cell>
          <cell r="BP13" t="e">
            <v>#DIV/0!</v>
          </cell>
          <cell r="BQ13" t="e">
            <v>#DIV/0!</v>
          </cell>
          <cell r="BR13" t="e">
            <v>#DIV/0!</v>
          </cell>
          <cell r="BS13" t="e">
            <v>#DIV/0!</v>
          </cell>
          <cell r="BT13" t="e">
            <v>#DIV/0!</v>
          </cell>
          <cell r="BU13" t="e">
            <v>#DIV/0!</v>
          </cell>
          <cell r="BV13" t="e">
            <v>#DIV/0!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</row>
        <row r="14"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 t="e">
            <v>#DIV/0!</v>
          </cell>
          <cell r="BK14" t="e">
            <v>#DIV/0!</v>
          </cell>
          <cell r="BL14" t="e">
            <v>#DIV/0!</v>
          </cell>
          <cell r="BM14" t="e">
            <v>#DIV/0!</v>
          </cell>
          <cell r="BN14" t="e">
            <v>#DIV/0!</v>
          </cell>
          <cell r="BO14" t="e">
            <v>#DIV/0!</v>
          </cell>
          <cell r="BP14" t="e">
            <v>#DIV/0!</v>
          </cell>
          <cell r="BQ14" t="e">
            <v>#DIV/0!</v>
          </cell>
          <cell r="BR14" t="e">
            <v>#DIV/0!</v>
          </cell>
          <cell r="BS14" t="e">
            <v>#DIV/0!</v>
          </cell>
          <cell r="BT14" t="e">
            <v>#DIV/0!</v>
          </cell>
          <cell r="BU14" t="e">
            <v>#DIV/0!</v>
          </cell>
          <cell r="BV14" t="e">
            <v>#DIV/0!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</row>
        <row r="15">
          <cell r="AR15">
            <v>147.33882305683875</v>
          </cell>
          <cell r="AS15">
            <v>157.88341578834155</v>
          </cell>
          <cell r="AT15">
            <v>159.06432748538009</v>
          </cell>
          <cell r="AU15">
            <v>154.81012658227849</v>
          </cell>
          <cell r="AV15">
            <v>156.79829242262539</v>
          </cell>
          <cell r="AW15">
            <v>156.85604442545923</v>
          </cell>
          <cell r="AX15">
            <v>160.58553637753985</v>
          </cell>
          <cell r="AY15">
            <v>157.06335616438358</v>
          </cell>
          <cell r="AZ15">
            <v>156.61262798634812</v>
          </cell>
          <cell r="BA15">
            <v>150.68493150684932</v>
          </cell>
          <cell r="BB15">
            <v>158.29015544041451</v>
          </cell>
          <cell r="BC15">
            <v>168.85474860335196</v>
          </cell>
          <cell r="BD15">
            <v>283.59550561797761</v>
          </cell>
          <cell r="BE15">
            <v>399.14106375949785</v>
          </cell>
          <cell r="BF15">
            <v>361.53105440539241</v>
          </cell>
          <cell r="BG15">
            <v>334.67461500248385</v>
          </cell>
          <cell r="BH15">
            <v>343.10602289696368</v>
          </cell>
          <cell r="BI15">
            <v>359.30568948891033</v>
          </cell>
          <cell r="BJ15" t="e">
            <v>#DIV/0!</v>
          </cell>
          <cell r="BK15" t="e">
            <v>#DIV/0!</v>
          </cell>
          <cell r="BL15" t="e">
            <v>#DIV/0!</v>
          </cell>
          <cell r="BM15" t="e">
            <v>#DIV/0!</v>
          </cell>
          <cell r="BN15" t="e">
            <v>#DIV/0!</v>
          </cell>
          <cell r="BO15" t="e">
            <v>#DIV/0!</v>
          </cell>
          <cell r="BP15" t="e">
            <v>#DIV/0!</v>
          </cell>
          <cell r="BQ15" t="e">
            <v>#DIV/0!</v>
          </cell>
          <cell r="BR15" t="e">
            <v>#DIV/0!</v>
          </cell>
          <cell r="BS15" t="e">
            <v>#DIV/0!</v>
          </cell>
          <cell r="BT15" t="e">
            <v>#DIV/0!</v>
          </cell>
          <cell r="BU15" t="e">
            <v>#DIV/0!</v>
          </cell>
          <cell r="BV15" t="e">
            <v>#DIV/0!</v>
          </cell>
          <cell r="CL15">
            <v>67.925925925925938</v>
          </cell>
          <cell r="CM15">
            <v>67.962962962962962</v>
          </cell>
          <cell r="CN15">
            <v>67.999999999999986</v>
          </cell>
          <cell r="CO15">
            <v>67.944444444444443</v>
          </cell>
          <cell r="CP15">
            <v>68.018518518518519</v>
          </cell>
          <cell r="CQ15">
            <v>68</v>
          </cell>
          <cell r="CR15">
            <v>68.055555555555543</v>
          </cell>
          <cell r="CS15">
            <v>67.944444444444443</v>
          </cell>
          <cell r="CT15">
            <v>67.981481481481481</v>
          </cell>
          <cell r="CU15">
            <v>68</v>
          </cell>
          <cell r="CV15">
            <v>67.888888888888886</v>
          </cell>
          <cell r="CW15">
            <v>38.585106382978722</v>
          </cell>
          <cell r="CX15">
            <v>81.128571428571433</v>
          </cell>
          <cell r="CY15">
            <v>154.89743589743591</v>
          </cell>
          <cell r="CZ15">
            <v>153.24489795918367</v>
          </cell>
          <cell r="DA15">
            <v>153.11363636363637</v>
          </cell>
          <cell r="DB15">
            <v>153.17777777777778</v>
          </cell>
          <cell r="DC15">
            <v>162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</row>
        <row r="16"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379.31533269045326</v>
          </cell>
          <cell r="BJ16" t="e">
            <v>#DIV/0!</v>
          </cell>
          <cell r="BK16" t="e">
            <v>#DIV/0!</v>
          </cell>
          <cell r="BL16" t="e">
            <v>#DIV/0!</v>
          </cell>
          <cell r="BM16" t="e">
            <v>#DIV/0!</v>
          </cell>
          <cell r="BN16" t="e">
            <v>#DIV/0!</v>
          </cell>
          <cell r="BO16" t="e">
            <v>#DIV/0!</v>
          </cell>
          <cell r="BP16" t="e">
            <v>#DIV/0!</v>
          </cell>
          <cell r="BQ16" t="e">
            <v>#DIV/0!</v>
          </cell>
          <cell r="BR16" t="e">
            <v>#DIV/0!</v>
          </cell>
          <cell r="BS16" t="e">
            <v>#DIV/0!</v>
          </cell>
          <cell r="BT16" t="e">
            <v>#DIV/0!</v>
          </cell>
          <cell r="BU16" t="e">
            <v>#DIV/0!</v>
          </cell>
          <cell r="BV16" t="e">
            <v>#DIV/0!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</row>
        <row r="17"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183.57053682896381</v>
          </cell>
          <cell r="BE17">
            <v>418.36802114304595</v>
          </cell>
          <cell r="BF17">
            <v>412.95137217140103</v>
          </cell>
          <cell r="BG17">
            <v>397.46646795827121</v>
          </cell>
          <cell r="BH17">
            <v>394.67396714783479</v>
          </cell>
          <cell r="BI17">
            <v>379.31533269045326</v>
          </cell>
          <cell r="BJ17" t="e">
            <v>#DIV/0!</v>
          </cell>
          <cell r="BK17" t="e">
            <v>#DIV/0!</v>
          </cell>
          <cell r="BL17" t="e">
            <v>#DIV/0!</v>
          </cell>
          <cell r="BM17" t="e">
            <v>#DIV/0!</v>
          </cell>
          <cell r="BN17" t="e">
            <v>#DIV/0!</v>
          </cell>
          <cell r="BO17" t="e">
            <v>#DIV/0!</v>
          </cell>
          <cell r="BP17" t="e">
            <v>#DIV/0!</v>
          </cell>
          <cell r="BQ17" t="e">
            <v>#DIV/0!</v>
          </cell>
          <cell r="BR17" t="e">
            <v>#DIV/0!</v>
          </cell>
          <cell r="BS17" t="e">
            <v>#DIV/0!</v>
          </cell>
          <cell r="BT17" t="e">
            <v>#DIV/0!</v>
          </cell>
          <cell r="BU17" t="e">
            <v>#DIV/0!</v>
          </cell>
          <cell r="BV17" t="e">
            <v>#DIV/0!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52.514285714285712</v>
          </cell>
          <cell r="CY17">
            <v>162.35897435897436</v>
          </cell>
          <cell r="CZ17">
            <v>175.04081632653063</v>
          </cell>
          <cell r="DA17">
            <v>181.84090909090909</v>
          </cell>
          <cell r="DB17">
            <v>176.2</v>
          </cell>
          <cell r="DC17">
            <v>171.02173913043478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</row>
        <row r="18">
          <cell r="AR18">
            <v>488.53183370154653</v>
          </cell>
          <cell r="AS18">
            <v>523.42439234243921</v>
          </cell>
          <cell r="AT18">
            <v>527.15121136173764</v>
          </cell>
          <cell r="AU18">
            <v>513.08016877637135</v>
          </cell>
          <cell r="AV18">
            <v>518.80469583778006</v>
          </cell>
          <cell r="AW18">
            <v>519.00897052541654</v>
          </cell>
          <cell r="AX18">
            <v>532.05156215861916</v>
          </cell>
          <cell r="AY18">
            <v>520.50513698630141</v>
          </cell>
          <cell r="AZ18">
            <v>518.85665529010237</v>
          </cell>
          <cell r="BA18">
            <v>498.79129734085421</v>
          </cell>
          <cell r="BB18">
            <v>525.7772020725389</v>
          </cell>
          <cell r="BC18">
            <v>557.58845437616401</v>
          </cell>
          <cell r="BD18">
            <v>401.69787765293393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 t="e">
            <v>#DIV/0!</v>
          </cell>
          <cell r="BK18" t="e">
            <v>#DIV/0!</v>
          </cell>
          <cell r="BL18" t="e">
            <v>#DIV/0!</v>
          </cell>
          <cell r="BM18" t="e">
            <v>#DIV/0!</v>
          </cell>
          <cell r="BN18" t="e">
            <v>#DIV/0!</v>
          </cell>
          <cell r="BO18" t="e">
            <v>#DIV/0!</v>
          </cell>
          <cell r="BP18" t="e">
            <v>#DIV/0!</v>
          </cell>
          <cell r="BQ18" t="e">
            <v>#DIV/0!</v>
          </cell>
          <cell r="BR18" t="e">
            <v>#DIV/0!</v>
          </cell>
          <cell r="BS18" t="e">
            <v>#DIV/0!</v>
          </cell>
          <cell r="BT18" t="e">
            <v>#DIV/0!</v>
          </cell>
          <cell r="BU18" t="e">
            <v>#DIV/0!</v>
          </cell>
          <cell r="BV18" t="e">
            <v>#DIV/0!</v>
          </cell>
          <cell r="CL18">
            <v>225.22222222222223</v>
          </cell>
          <cell r="CM18">
            <v>225.31481481481481</v>
          </cell>
          <cell r="CN18">
            <v>225.35714285714283</v>
          </cell>
          <cell r="CO18">
            <v>225.18518518518519</v>
          </cell>
          <cell r="CP18">
            <v>225.05555555555557</v>
          </cell>
          <cell r="CQ18">
            <v>225</v>
          </cell>
          <cell r="CR18">
            <v>225.48148148148147</v>
          </cell>
          <cell r="CS18">
            <v>225.16666666666669</v>
          </cell>
          <cell r="CT18">
            <v>225.22222222222223</v>
          </cell>
          <cell r="CU18">
            <v>225.09090909090909</v>
          </cell>
          <cell r="CV18">
            <v>225.5</v>
          </cell>
          <cell r="CW18">
            <v>127.41489361702126</v>
          </cell>
          <cell r="CX18">
            <v>114.91428571428573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</row>
        <row r="19"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 t="e">
            <v>#DIV/0!</v>
          </cell>
          <cell r="BK19" t="e">
            <v>#DIV/0!</v>
          </cell>
          <cell r="BL19" t="e">
            <v>#DIV/0!</v>
          </cell>
          <cell r="BM19" t="e">
            <v>#DIV/0!</v>
          </cell>
          <cell r="BN19" t="e">
            <v>#DIV/0!</v>
          </cell>
          <cell r="BO19" t="e">
            <v>#DIV/0!</v>
          </cell>
          <cell r="BP19" t="e">
            <v>#DIV/0!</v>
          </cell>
          <cell r="BQ19" t="e">
            <v>#DIV/0!</v>
          </cell>
          <cell r="BR19" t="e">
            <v>#DIV/0!</v>
          </cell>
          <cell r="BS19" t="e">
            <v>#DIV/0!</v>
          </cell>
          <cell r="BT19" t="e">
            <v>#DIV/0!</v>
          </cell>
          <cell r="BU19" t="e">
            <v>#DIV/0!</v>
          </cell>
          <cell r="BV19" t="e">
            <v>#DIV/0!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</row>
        <row r="20">
          <cell r="AR20">
            <v>781.88391243221531</v>
          </cell>
          <cell r="AS20">
            <v>836.95418369541835</v>
          </cell>
          <cell r="AT20">
            <v>842.73182957393476</v>
          </cell>
          <cell r="AU20">
            <v>820.80168776371306</v>
          </cell>
          <cell r="AV20">
            <v>830.05336179295614</v>
          </cell>
          <cell r="AW20">
            <v>831.18325501922254</v>
          </cell>
          <cell r="AX20">
            <v>851.38737164081283</v>
          </cell>
          <cell r="AY20">
            <v>832.7482876712329</v>
          </cell>
          <cell r="AZ20">
            <v>829.69283276450517</v>
          </cell>
          <cell r="BA20">
            <v>797.94520547945206</v>
          </cell>
          <cell r="BB20">
            <v>840.88946459412784</v>
          </cell>
          <cell r="BC20">
            <v>891.48044692737449</v>
          </cell>
          <cell r="BD20">
            <v>628.46441947565552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 t="e">
            <v>#DIV/0!</v>
          </cell>
          <cell r="BK20" t="e">
            <v>#DIV/0!</v>
          </cell>
          <cell r="BL20" t="e">
            <v>#DIV/0!</v>
          </cell>
          <cell r="BM20" t="e">
            <v>#DIV/0!</v>
          </cell>
          <cell r="BN20" t="e">
            <v>#DIV/0!</v>
          </cell>
          <cell r="BO20" t="e">
            <v>#DIV/0!</v>
          </cell>
          <cell r="BP20" t="e">
            <v>#DIV/0!</v>
          </cell>
          <cell r="BQ20" t="e">
            <v>#DIV/0!</v>
          </cell>
          <cell r="BR20" t="e">
            <v>#DIV/0!</v>
          </cell>
          <cell r="BS20" t="e">
            <v>#DIV/0!</v>
          </cell>
          <cell r="BT20" t="e">
            <v>#DIV/0!</v>
          </cell>
          <cell r="BU20" t="e">
            <v>#DIV/0!</v>
          </cell>
          <cell r="BV20" t="e">
            <v>#DIV/0!</v>
          </cell>
          <cell r="CL20">
            <v>360.46296296296299</v>
          </cell>
          <cell r="CM20">
            <v>360.27777777777777</v>
          </cell>
          <cell r="CN20">
            <v>360.26785714285717</v>
          </cell>
          <cell r="CO20">
            <v>360.24074074074076</v>
          </cell>
          <cell r="CP20">
            <v>360.07407407407402</v>
          </cell>
          <cell r="CQ20">
            <v>360.33333333333326</v>
          </cell>
          <cell r="CR20">
            <v>360.81481481481484</v>
          </cell>
          <cell r="CS20">
            <v>360.24074074074076</v>
          </cell>
          <cell r="CT20">
            <v>360.14814814814815</v>
          </cell>
          <cell r="CU20">
            <v>360.09090909090907</v>
          </cell>
          <cell r="CV20">
            <v>360.64814814814815</v>
          </cell>
          <cell r="CW20">
            <v>203.71276595744681</v>
          </cell>
          <cell r="CX20">
            <v>179.78571428571431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</row>
        <row r="21"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 t="e">
            <v>#DIV/0!</v>
          </cell>
          <cell r="BK21" t="e">
            <v>#DIV/0!</v>
          </cell>
          <cell r="BL21" t="e">
            <v>#DIV/0!</v>
          </cell>
          <cell r="BM21" t="e">
            <v>#DIV/0!</v>
          </cell>
          <cell r="BN21" t="e">
            <v>#DIV/0!</v>
          </cell>
          <cell r="BO21" t="e">
            <v>#DIV/0!</v>
          </cell>
          <cell r="BP21" t="e">
            <v>#DIV/0!</v>
          </cell>
          <cell r="BQ21" t="e">
            <v>#DIV/0!</v>
          </cell>
          <cell r="BR21" t="e">
            <v>#DIV/0!</v>
          </cell>
          <cell r="BS21" t="e">
            <v>#DIV/0!</v>
          </cell>
          <cell r="BT21" t="e">
            <v>#DIV/0!</v>
          </cell>
          <cell r="BU21" t="e">
            <v>#DIV/0!</v>
          </cell>
          <cell r="BV21" t="e">
            <v>#DIV/0!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</row>
        <row r="22"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 t="e">
            <v>#DIV/0!</v>
          </cell>
          <cell r="BK22" t="e">
            <v>#DIV/0!</v>
          </cell>
          <cell r="BL22" t="e">
            <v>#DIV/0!</v>
          </cell>
          <cell r="BM22" t="e">
            <v>#DIV/0!</v>
          </cell>
          <cell r="BN22" t="e">
            <v>#DIV/0!</v>
          </cell>
          <cell r="BO22" t="e">
            <v>#DIV/0!</v>
          </cell>
          <cell r="BP22" t="e">
            <v>#DIV/0!</v>
          </cell>
          <cell r="BQ22" t="e">
            <v>#DIV/0!</v>
          </cell>
          <cell r="BR22" t="e">
            <v>#DIV/0!</v>
          </cell>
          <cell r="BS22" t="e">
            <v>#DIV/0!</v>
          </cell>
          <cell r="BT22" t="e">
            <v>#DIV/0!</v>
          </cell>
          <cell r="BU22" t="e">
            <v>#DIV/0!</v>
          </cell>
          <cell r="BV22" t="e">
            <v>#DIV/0!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</row>
        <row r="23">
          <cell r="AR23">
            <v>1711.1869853384212</v>
          </cell>
          <cell r="AS23">
            <v>1832.48010324801</v>
          </cell>
          <cell r="AT23">
            <v>1810.9857978279031</v>
          </cell>
          <cell r="AU23">
            <v>1796.8354430379745</v>
          </cell>
          <cell r="AV23">
            <v>1817.2038420490928</v>
          </cell>
          <cell r="AW23">
            <v>1819.3507048269971</v>
          </cell>
          <cell r="AX23">
            <v>1864.3216080402008</v>
          </cell>
          <cell r="AY23">
            <v>1822.816780821918</v>
          </cell>
          <cell r="AZ23">
            <v>1816.6382252559727</v>
          </cell>
          <cell r="BA23">
            <v>1746.7365028203062</v>
          </cell>
          <cell r="BB23">
            <v>1840.6735751295337</v>
          </cell>
          <cell r="BC23">
            <v>1952.7467411545626</v>
          </cell>
          <cell r="BD23">
            <v>1840.6735751295337</v>
          </cell>
          <cell r="BE23">
            <v>1952.7467411545626</v>
          </cell>
          <cell r="BF23">
            <v>2356.6042446941328</v>
          </cell>
          <cell r="BG23">
            <v>2262.1737694086551</v>
          </cell>
          <cell r="BH23">
            <v>2096.1964371689937</v>
          </cell>
          <cell r="BI23">
            <v>1957.625434674615</v>
          </cell>
          <cell r="BJ23">
            <v>1963.3150821304134</v>
          </cell>
          <cell r="BK23">
            <v>1978.5438765670203</v>
          </cell>
          <cell r="BL23" t="e">
            <v>#DIV/0!</v>
          </cell>
          <cell r="BM23" t="e">
            <v>#DIV/0!</v>
          </cell>
          <cell r="BN23" t="e">
            <v>#DIV/0!</v>
          </cell>
          <cell r="BO23" t="e">
            <v>#DIV/0!</v>
          </cell>
          <cell r="BP23" t="e">
            <v>#DIV/0!</v>
          </cell>
          <cell r="BQ23" t="e">
            <v>#DIV/0!</v>
          </cell>
          <cell r="BR23" t="e">
            <v>#DIV/0!</v>
          </cell>
          <cell r="BS23" t="e">
            <v>#DIV/0!</v>
          </cell>
          <cell r="BT23" t="e">
            <v>#DIV/0!</v>
          </cell>
          <cell r="BU23" t="e">
            <v>#DIV/0!</v>
          </cell>
          <cell r="BV23" t="e">
            <v>#DIV/0!</v>
          </cell>
          <cell r="CL23">
            <v>909.72222222222217</v>
          </cell>
          <cell r="CM23">
            <v>909.59259259259261</v>
          </cell>
          <cell r="CN23">
            <v>894.76785714285711</v>
          </cell>
          <cell r="CO23">
            <v>909</v>
          </cell>
          <cell r="CP23">
            <v>910.40740740740739</v>
          </cell>
          <cell r="CQ23">
            <v>904.79629629629619</v>
          </cell>
          <cell r="CR23">
            <v>901.33333333333326</v>
          </cell>
          <cell r="CS23">
            <v>899.05555555555554</v>
          </cell>
          <cell r="CT23">
            <v>899.01851851851859</v>
          </cell>
          <cell r="CU23">
            <v>898.5272727272727</v>
          </cell>
          <cell r="CV23">
            <v>900.37037037037032</v>
          </cell>
          <cell r="CW23">
            <v>502.89361702127655</v>
          </cell>
          <cell r="CX23">
            <v>758.11428571428587</v>
          </cell>
          <cell r="CY23">
            <v>953.92307692307691</v>
          </cell>
          <cell r="CZ23">
            <v>958.81632653061229</v>
          </cell>
          <cell r="DA23">
            <v>966.25</v>
          </cell>
          <cell r="DB23">
            <v>945.31111111111113</v>
          </cell>
          <cell r="DC23">
            <v>963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</row>
        <row r="25"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 t="e">
            <v>#DIV/0!</v>
          </cell>
          <cell r="BK25" t="e">
            <v>#DIV/0!</v>
          </cell>
          <cell r="BL25" t="e">
            <v>#DIV/0!</v>
          </cell>
          <cell r="BM25" t="e">
            <v>#DIV/0!</v>
          </cell>
          <cell r="BN25" t="e">
            <v>#DIV/0!</v>
          </cell>
          <cell r="BO25" t="e">
            <v>#DIV/0!</v>
          </cell>
          <cell r="BP25" t="e">
            <v>#DIV/0!</v>
          </cell>
          <cell r="BQ25" t="e">
            <v>#DIV/0!</v>
          </cell>
          <cell r="BR25" t="e">
            <v>#DIV/0!</v>
          </cell>
          <cell r="BS25" t="e">
            <v>#DIV/0!</v>
          </cell>
          <cell r="BT25" t="e">
            <v>#DIV/0!</v>
          </cell>
          <cell r="BU25" t="e">
            <v>#DIV/0!</v>
          </cell>
          <cell r="BV25" t="e">
            <v>#DIV/0!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</row>
        <row r="26"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 t="e">
            <v>#DIV/0!</v>
          </cell>
          <cell r="BK26" t="e">
            <v>#DIV/0!</v>
          </cell>
          <cell r="BL26" t="e">
            <v>#DIV/0!</v>
          </cell>
          <cell r="BM26" t="e">
            <v>#DIV/0!</v>
          </cell>
          <cell r="BN26" t="e">
            <v>#DIV/0!</v>
          </cell>
          <cell r="BO26" t="e">
            <v>#DIV/0!</v>
          </cell>
          <cell r="BP26" t="e">
            <v>#DIV/0!</v>
          </cell>
          <cell r="BQ26" t="e">
            <v>#DIV/0!</v>
          </cell>
          <cell r="BR26" t="e">
            <v>#DIV/0!</v>
          </cell>
          <cell r="BS26" t="e">
            <v>#DIV/0!</v>
          </cell>
          <cell r="BT26" t="e">
            <v>#DIV/0!</v>
          </cell>
          <cell r="BU26" t="e">
            <v>#DIV/0!</v>
          </cell>
          <cell r="BV26" t="e">
            <v>#DIV/0!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</row>
        <row r="27">
          <cell r="AR27">
            <v>441.37376983329983</v>
          </cell>
          <cell r="AS27">
            <v>482.38330823833076</v>
          </cell>
          <cell r="AT27">
            <v>487.38512949039261</v>
          </cell>
          <cell r="AU27">
            <v>464.72573839662448</v>
          </cell>
          <cell r="AV27">
            <v>468.0469583778015</v>
          </cell>
          <cell r="AW27">
            <v>476.24946604015372</v>
          </cell>
          <cell r="AX27">
            <v>516.49552108367925</v>
          </cell>
          <cell r="AY27">
            <v>477.1832191780822</v>
          </cell>
          <cell r="AZ27">
            <v>470.136518771331</v>
          </cell>
          <cell r="BA27">
            <v>447.78404512489925</v>
          </cell>
          <cell r="BB27">
            <v>512.86701208981003</v>
          </cell>
          <cell r="BC27">
            <v>547.85847299813793</v>
          </cell>
          <cell r="BD27">
            <v>672.60923845193508</v>
          </cell>
          <cell r="BE27">
            <v>582.22662702345553</v>
          </cell>
          <cell r="BF27">
            <v>520.60664419836314</v>
          </cell>
          <cell r="BG27">
            <v>474.06855439642328</v>
          </cell>
          <cell r="BH27">
            <v>459.98008959681431</v>
          </cell>
          <cell r="BI27">
            <v>472.17936354869818</v>
          </cell>
          <cell r="BJ27" t="e">
            <v>#DIV/0!</v>
          </cell>
          <cell r="BK27" t="e">
            <v>#DIV/0!</v>
          </cell>
          <cell r="BL27" t="e">
            <v>#DIV/0!</v>
          </cell>
          <cell r="BM27" t="e">
            <v>#DIV/0!</v>
          </cell>
          <cell r="BN27" t="e">
            <v>#DIV/0!</v>
          </cell>
          <cell r="BO27" t="e">
            <v>#DIV/0!</v>
          </cell>
          <cell r="BP27" t="e">
            <v>#DIV/0!</v>
          </cell>
          <cell r="BQ27" t="e">
            <v>#DIV/0!</v>
          </cell>
          <cell r="BR27" t="e">
            <v>#DIV/0!</v>
          </cell>
          <cell r="BS27" t="e">
            <v>#DIV/0!</v>
          </cell>
          <cell r="BT27" t="e">
            <v>#DIV/0!</v>
          </cell>
          <cell r="BU27" t="e">
            <v>#DIV/0!</v>
          </cell>
          <cell r="BV27" t="e">
            <v>#DIV/0!</v>
          </cell>
          <cell r="CL27">
            <v>203.4814814814815</v>
          </cell>
          <cell r="CM27">
            <v>207.64814814814812</v>
          </cell>
          <cell r="CN27">
            <v>208.35714285714286</v>
          </cell>
          <cell r="CO27">
            <v>203.96296296296296</v>
          </cell>
          <cell r="CP27">
            <v>203.03703703703704</v>
          </cell>
          <cell r="CQ27">
            <v>206.46296296296296</v>
          </cell>
          <cell r="CR27">
            <v>218.88888888888889</v>
          </cell>
          <cell r="CS27">
            <v>206.42592592592592</v>
          </cell>
          <cell r="CT27">
            <v>204.07407407407408</v>
          </cell>
          <cell r="CU27">
            <v>202.07272727272729</v>
          </cell>
          <cell r="CV27">
            <v>219.96296296296296</v>
          </cell>
          <cell r="CW27">
            <v>125.19148936170212</v>
          </cell>
          <cell r="CX27">
            <v>192.41428571428571</v>
          </cell>
          <cell r="CY27">
            <v>225.94871794871793</v>
          </cell>
          <cell r="CZ27">
            <v>220.67346938775512</v>
          </cell>
          <cell r="DA27">
            <v>216.88636363636363</v>
          </cell>
          <cell r="DB27">
            <v>205.35555555555555</v>
          </cell>
          <cell r="DC27">
            <v>212.89130434782606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</row>
        <row r="28"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68.863920099875159</v>
          </cell>
          <cell r="BE28">
            <v>158.57284440039643</v>
          </cell>
          <cell r="BF28">
            <v>141.79104477611941</v>
          </cell>
          <cell r="BG28">
            <v>131.64431197218082</v>
          </cell>
          <cell r="BH28">
            <v>128.67098058735689</v>
          </cell>
          <cell r="BI28">
            <v>122.61330761812923</v>
          </cell>
          <cell r="BJ28" t="e">
            <v>#DIV/0!</v>
          </cell>
          <cell r="BK28" t="e">
            <v>#DIV/0!</v>
          </cell>
          <cell r="BL28" t="e">
            <v>#DIV/0!</v>
          </cell>
          <cell r="BM28" t="e">
            <v>#DIV/0!</v>
          </cell>
          <cell r="BN28" t="e">
            <v>#DIV/0!</v>
          </cell>
          <cell r="BO28" t="e">
            <v>#DIV/0!</v>
          </cell>
          <cell r="BP28" t="e">
            <v>#DIV/0!</v>
          </cell>
          <cell r="BQ28" t="e">
            <v>#DIV/0!</v>
          </cell>
          <cell r="BR28" t="e">
            <v>#DIV/0!</v>
          </cell>
          <cell r="BS28" t="e">
            <v>#DIV/0!</v>
          </cell>
          <cell r="BT28" t="e">
            <v>#DIV/0!</v>
          </cell>
          <cell r="BU28" t="e">
            <v>#DIV/0!</v>
          </cell>
          <cell r="BV28" t="e">
            <v>#DIV/0!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19.7</v>
          </cell>
          <cell r="CY28">
            <v>61.538461538461533</v>
          </cell>
          <cell r="CZ28">
            <v>60.102040816326529</v>
          </cell>
          <cell r="DA28">
            <v>60.227272727272727</v>
          </cell>
          <cell r="DB28">
            <v>57.444444444444443</v>
          </cell>
          <cell r="DC28">
            <v>55.282608695652179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</row>
        <row r="29"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 t="e">
            <v>#DIV/0!</v>
          </cell>
          <cell r="BK29" t="e">
            <v>#DIV/0!</v>
          </cell>
          <cell r="BL29" t="e">
            <v>#DIV/0!</v>
          </cell>
          <cell r="BM29" t="e">
            <v>#DIV/0!</v>
          </cell>
          <cell r="BN29" t="e">
            <v>#DIV/0!</v>
          </cell>
          <cell r="BO29" t="e">
            <v>#DIV/0!</v>
          </cell>
          <cell r="BP29" t="e">
            <v>#DIV/0!</v>
          </cell>
          <cell r="BQ29" t="e">
            <v>#DIV/0!</v>
          </cell>
          <cell r="BR29" t="e">
            <v>#DIV/0!</v>
          </cell>
          <cell r="BS29" t="e">
            <v>#DIV/0!</v>
          </cell>
          <cell r="BT29" t="e">
            <v>#DIV/0!</v>
          </cell>
          <cell r="BU29" t="e">
            <v>#DIV/0!</v>
          </cell>
          <cell r="BV29" t="e">
            <v>#DIV/0!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</row>
        <row r="30">
          <cell r="AR30">
            <v>109.01787507531633</v>
          </cell>
          <cell r="AS30">
            <v>116.84233168423317</v>
          </cell>
          <cell r="AT30">
            <v>117.62740183792813</v>
          </cell>
          <cell r="AU30">
            <v>111.85654008438819</v>
          </cell>
          <cell r="AV30">
            <v>108.43116328708645</v>
          </cell>
          <cell r="AW30">
            <v>108.54335753951302</v>
          </cell>
          <cell r="AX30">
            <v>111.8636661568713</v>
          </cell>
          <cell r="AY30">
            <v>108.94691780821918</v>
          </cell>
          <cell r="AZ30">
            <v>106.99658703071673</v>
          </cell>
          <cell r="BA30">
            <v>104.51248992747783</v>
          </cell>
          <cell r="BB30">
            <v>113.38514680483591</v>
          </cell>
          <cell r="BC30">
            <v>145.99627560521418</v>
          </cell>
          <cell r="BD30">
            <v>114.20724094881399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 t="e">
            <v>#DIV/0!</v>
          </cell>
          <cell r="BK30" t="e">
            <v>#DIV/0!</v>
          </cell>
          <cell r="BL30" t="e">
            <v>#DIV/0!</v>
          </cell>
          <cell r="BM30" t="e">
            <v>#DIV/0!</v>
          </cell>
          <cell r="BN30" t="e">
            <v>#DIV/0!</v>
          </cell>
          <cell r="BO30" t="e">
            <v>#DIV/0!</v>
          </cell>
          <cell r="BP30" t="e">
            <v>#DIV/0!</v>
          </cell>
          <cell r="BQ30" t="e">
            <v>#DIV/0!</v>
          </cell>
          <cell r="BR30" t="e">
            <v>#DIV/0!</v>
          </cell>
          <cell r="BS30" t="e">
            <v>#DIV/0!</v>
          </cell>
          <cell r="BT30" t="e">
            <v>#DIV/0!</v>
          </cell>
          <cell r="BU30" t="e">
            <v>#DIV/0!</v>
          </cell>
          <cell r="BV30" t="e">
            <v>#DIV/0!</v>
          </cell>
          <cell r="CL30">
            <v>50.25925925925926</v>
          </cell>
          <cell r="CM30">
            <v>50.296296296296298</v>
          </cell>
          <cell r="CN30">
            <v>50.285714285714278</v>
          </cell>
          <cell r="CO30">
            <v>49.092592592592588</v>
          </cell>
          <cell r="CP30">
            <v>47.037037037037038</v>
          </cell>
          <cell r="CQ30">
            <v>47.05555555555555</v>
          </cell>
          <cell r="CR30">
            <v>47.407407407407405</v>
          </cell>
          <cell r="CS30">
            <v>47.129629629629626</v>
          </cell>
          <cell r="CT30">
            <v>46.44444444444445</v>
          </cell>
          <cell r="CU30">
            <v>47.163636363636357</v>
          </cell>
          <cell r="CV30">
            <v>48.629629629629626</v>
          </cell>
          <cell r="CW30">
            <v>33.361702127659576</v>
          </cell>
          <cell r="CX30">
            <v>32.671428571428571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</row>
        <row r="31"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 t="e">
            <v>#DIV/0!</v>
          </cell>
          <cell r="BK31" t="e">
            <v>#DIV/0!</v>
          </cell>
          <cell r="BL31" t="e">
            <v>#DIV/0!</v>
          </cell>
          <cell r="BM31" t="e">
            <v>#DIV/0!</v>
          </cell>
          <cell r="BN31" t="e">
            <v>#DIV/0!</v>
          </cell>
          <cell r="BO31" t="e">
            <v>#DIV/0!</v>
          </cell>
          <cell r="BP31" t="e">
            <v>#DIV/0!</v>
          </cell>
          <cell r="BQ31" t="e">
            <v>#DIV/0!</v>
          </cell>
          <cell r="BR31" t="e">
            <v>#DIV/0!</v>
          </cell>
          <cell r="BS31" t="e">
            <v>#DIV/0!</v>
          </cell>
          <cell r="BT31" t="e">
            <v>#DIV/0!</v>
          </cell>
          <cell r="BU31" t="e">
            <v>#DIV/0!</v>
          </cell>
          <cell r="BV31" t="e">
            <v>#DIV/0!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</row>
        <row r="32"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 t="e">
            <v>#DIV/0!</v>
          </cell>
          <cell r="BK32" t="e">
            <v>#DIV/0!</v>
          </cell>
          <cell r="BL32" t="e">
            <v>#DIV/0!</v>
          </cell>
          <cell r="BM32" t="e">
            <v>#DIV/0!</v>
          </cell>
          <cell r="BN32" t="e">
            <v>#DIV/0!</v>
          </cell>
          <cell r="BO32" t="e">
            <v>#DIV/0!</v>
          </cell>
          <cell r="BP32" t="e">
            <v>#DIV/0!</v>
          </cell>
          <cell r="BQ32" t="e">
            <v>#DIV/0!</v>
          </cell>
          <cell r="BR32" t="e">
            <v>#DIV/0!</v>
          </cell>
          <cell r="BS32" t="e">
            <v>#DIV/0!</v>
          </cell>
          <cell r="BT32" t="e">
            <v>#DIV/0!</v>
          </cell>
          <cell r="BU32" t="e">
            <v>#DIV/0!</v>
          </cell>
          <cell r="BV32" t="e">
            <v>#DIV/0!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</row>
        <row r="33">
          <cell r="AR33">
            <v>550.39164490861629</v>
          </cell>
          <cell r="AS33">
            <v>599.22563992256391</v>
          </cell>
          <cell r="AT33">
            <v>605.01253132832062</v>
          </cell>
          <cell r="AU33">
            <v>576.58227848101262</v>
          </cell>
          <cell r="AV33">
            <v>576.47812166488802</v>
          </cell>
          <cell r="AW33">
            <v>584.79282357966679</v>
          </cell>
          <cell r="AX33">
            <v>628.35918724055057</v>
          </cell>
          <cell r="AY33">
            <v>586.1301369863013</v>
          </cell>
          <cell r="AZ33">
            <v>577.13310580204768</v>
          </cell>
          <cell r="BA33">
            <v>552.29653505237707</v>
          </cell>
          <cell r="BB33">
            <v>626.25215889464596</v>
          </cell>
          <cell r="BC33">
            <v>693.85474860335205</v>
          </cell>
          <cell r="BD33">
            <v>626.25215889464596</v>
          </cell>
          <cell r="BE33">
            <v>693.85474860335205</v>
          </cell>
          <cell r="BF33">
            <v>855.68039950062416</v>
          </cell>
          <cell r="BG33">
            <v>740.79947142385197</v>
          </cell>
          <cell r="BH33">
            <v>662.39768897448243</v>
          </cell>
          <cell r="BI33">
            <v>605.71286636860407</v>
          </cell>
          <cell r="BJ33">
            <v>588.65107018417132</v>
          </cell>
          <cell r="BK33">
            <v>594.79267116682729</v>
          </cell>
          <cell r="BL33" t="e">
            <v>#DIV/0!</v>
          </cell>
          <cell r="BM33" t="e">
            <v>#DIV/0!</v>
          </cell>
          <cell r="BN33" t="e">
            <v>#DIV/0!</v>
          </cell>
          <cell r="BO33" t="e">
            <v>#DIV/0!</v>
          </cell>
          <cell r="BP33" t="e">
            <v>#DIV/0!</v>
          </cell>
          <cell r="BQ33" t="e">
            <v>#DIV/0!</v>
          </cell>
          <cell r="BR33" t="e">
            <v>#DIV/0!</v>
          </cell>
          <cell r="BS33" t="e">
            <v>#DIV/0!</v>
          </cell>
          <cell r="BT33" t="e">
            <v>#DIV/0!</v>
          </cell>
          <cell r="BU33" t="e">
            <v>#DIV/0!</v>
          </cell>
          <cell r="BV33" t="e">
            <v>#DIV/0!</v>
          </cell>
          <cell r="CL33">
            <v>253.74074074074076</v>
          </cell>
          <cell r="CM33">
            <v>257.9444444444444</v>
          </cell>
          <cell r="CN33">
            <v>258.64285714285711</v>
          </cell>
          <cell r="CO33">
            <v>253.05555555555554</v>
          </cell>
          <cell r="CP33">
            <v>250.07407407407408</v>
          </cell>
          <cell r="CQ33">
            <v>253.5185185185185</v>
          </cell>
          <cell r="CR33">
            <v>266.2962962962963</v>
          </cell>
          <cell r="CS33">
            <v>253.55555555555554</v>
          </cell>
          <cell r="CT33">
            <v>250.51851851851853</v>
          </cell>
          <cell r="CU33">
            <v>249.23636363636365</v>
          </cell>
          <cell r="CV33">
            <v>268.59259259259261</v>
          </cell>
          <cell r="CW33">
            <v>158.55319148936169</v>
          </cell>
          <cell r="CX33">
            <v>244.78571428571428</v>
          </cell>
          <cell r="CY33">
            <v>287.48717948717945</v>
          </cell>
          <cell r="CZ33">
            <v>280.77551020408163</v>
          </cell>
          <cell r="DA33">
            <v>277.11363636363637</v>
          </cell>
          <cell r="DB33">
            <v>262.8</v>
          </cell>
          <cell r="DC33">
            <v>268.17391304347825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</row>
        <row r="35">
          <cell r="AR35">
            <v>195.70194818236595</v>
          </cell>
          <cell r="AS35">
            <v>200.64530006453001</v>
          </cell>
          <cell r="AT35">
            <v>192.52297410192145</v>
          </cell>
          <cell r="AU35">
            <v>194.72573839662448</v>
          </cell>
          <cell r="AV35">
            <v>196.11526147278548</v>
          </cell>
          <cell r="AW35">
            <v>191.2857753096967</v>
          </cell>
          <cell r="AX35">
            <v>189.60017478697839</v>
          </cell>
          <cell r="AY35">
            <v>199.01541095890411</v>
          </cell>
          <cell r="AZ35">
            <v>196.11774744027304</v>
          </cell>
          <cell r="BA35">
            <v>188.51732473811444</v>
          </cell>
          <cell r="BB35">
            <v>199.09326424870466</v>
          </cell>
          <cell r="BC35">
            <v>234.59031657355681</v>
          </cell>
          <cell r="BD35">
            <v>194.35705368289638</v>
          </cell>
          <cell r="BE35">
            <v>59.266600594648168</v>
          </cell>
          <cell r="BF35">
            <v>3.0332209918151181</v>
          </cell>
          <cell r="BG35">
            <v>5.1167411823149527</v>
          </cell>
          <cell r="BH35">
            <v>24.390243902439025</v>
          </cell>
          <cell r="BI35">
            <v>18.852459016393443</v>
          </cell>
          <cell r="BJ35" t="e">
            <v>#DIV/0!</v>
          </cell>
          <cell r="BK35" t="e">
            <v>#DIV/0!</v>
          </cell>
          <cell r="BL35" t="e">
            <v>#DIV/0!</v>
          </cell>
          <cell r="BM35" t="e">
            <v>#DIV/0!</v>
          </cell>
          <cell r="BN35" t="e">
            <v>#DIV/0!</v>
          </cell>
          <cell r="BO35" t="e">
            <v>#DIV/0!</v>
          </cell>
          <cell r="BP35" t="e">
            <v>#DIV/0!</v>
          </cell>
          <cell r="BQ35" t="e">
            <v>#DIV/0!</v>
          </cell>
          <cell r="BR35" t="e">
            <v>#DIV/0!</v>
          </cell>
          <cell r="BS35" t="e">
            <v>#DIV/0!</v>
          </cell>
          <cell r="BT35" t="e">
            <v>#DIV/0!</v>
          </cell>
          <cell r="BU35" t="e">
            <v>#DIV/0!</v>
          </cell>
          <cell r="BV35" t="e">
            <v>#DIV/0!</v>
          </cell>
          <cell r="CL35">
            <v>90.222222222222214</v>
          </cell>
          <cell r="CM35">
            <v>86.370370370370367</v>
          </cell>
          <cell r="CN35">
            <v>82.303571428571431</v>
          </cell>
          <cell r="CO35">
            <v>85.462962962962962</v>
          </cell>
          <cell r="CP35">
            <v>85.074074074074076</v>
          </cell>
          <cell r="CQ35">
            <v>82.925925925925924</v>
          </cell>
          <cell r="CR35">
            <v>80.351851851851862</v>
          </cell>
          <cell r="CS35">
            <v>86.092592592592595</v>
          </cell>
          <cell r="CT35">
            <v>85.129629629629633</v>
          </cell>
          <cell r="CU35">
            <v>85.072727272727278</v>
          </cell>
          <cell r="CV35">
            <v>85.388888888888886</v>
          </cell>
          <cell r="CW35">
            <v>53.606382978723403</v>
          </cell>
          <cell r="CX35">
            <v>55.599999999999994</v>
          </cell>
          <cell r="CY35">
            <v>23</v>
          </cell>
          <cell r="CZ35">
            <v>1.2857142857142856</v>
          </cell>
          <cell r="DA35">
            <v>2.3409090909090908</v>
          </cell>
          <cell r="DB35">
            <v>10.888888888888889</v>
          </cell>
          <cell r="DC35">
            <v>8.5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</row>
        <row r="36"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 t="e">
            <v>#DIV/0!</v>
          </cell>
          <cell r="BK36" t="e">
            <v>#DIV/0!</v>
          </cell>
          <cell r="BL36" t="e">
            <v>#DIV/0!</v>
          </cell>
          <cell r="BM36" t="e">
            <v>#DIV/0!</v>
          </cell>
          <cell r="BN36" t="e">
            <v>#DIV/0!</v>
          </cell>
          <cell r="BO36" t="e">
            <v>#DIV/0!</v>
          </cell>
          <cell r="BP36" t="e">
            <v>#DIV/0!</v>
          </cell>
          <cell r="BQ36" t="e">
            <v>#DIV/0!</v>
          </cell>
          <cell r="BR36" t="e">
            <v>#DIV/0!</v>
          </cell>
          <cell r="BS36" t="e">
            <v>#DIV/0!</v>
          </cell>
          <cell r="BT36" t="e">
            <v>#DIV/0!</v>
          </cell>
          <cell r="BU36" t="e">
            <v>#DIV/0!</v>
          </cell>
          <cell r="BV36" t="e">
            <v>#DIV/0!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</row>
        <row r="37">
          <cell r="AR37">
            <v>531.51235187788711</v>
          </cell>
          <cell r="AS37">
            <v>570.27317702731773</v>
          </cell>
          <cell r="AT37">
            <v>574.14369256474515</v>
          </cell>
          <cell r="AU37">
            <v>558.48101265822788</v>
          </cell>
          <cell r="AV37">
            <v>564.90928495197431</v>
          </cell>
          <cell r="AW37">
            <v>571.80692011960696</v>
          </cell>
          <cell r="AX37">
            <v>597.77146602578102</v>
          </cell>
          <cell r="AY37">
            <v>566.69520547945206</v>
          </cell>
          <cell r="AZ37">
            <v>570.90443686006824</v>
          </cell>
          <cell r="BA37">
            <v>542.86865431103945</v>
          </cell>
          <cell r="BB37">
            <v>583.37651122625209</v>
          </cell>
          <cell r="BC37">
            <v>615.22346368715102</v>
          </cell>
          <cell r="BD37">
            <v>749.76279650436959</v>
          </cell>
          <cell r="BE37">
            <v>760.68714899240172</v>
          </cell>
          <cell r="BF37">
            <v>684.49687048627823</v>
          </cell>
          <cell r="BG37">
            <v>634.57526080476896</v>
          </cell>
          <cell r="BH37">
            <v>635.39074166251874</v>
          </cell>
          <cell r="BI37">
            <v>653.18225650916122</v>
          </cell>
          <cell r="BJ37" t="e">
            <v>#DIV/0!</v>
          </cell>
          <cell r="BK37" t="e">
            <v>#DIV/0!</v>
          </cell>
          <cell r="BL37" t="e">
            <v>#DIV/0!</v>
          </cell>
          <cell r="BM37" t="e">
            <v>#DIV/0!</v>
          </cell>
          <cell r="BN37" t="e">
            <v>#DIV/0!</v>
          </cell>
          <cell r="BO37" t="e">
            <v>#DIV/0!</v>
          </cell>
          <cell r="BP37" t="e">
            <v>#DIV/0!</v>
          </cell>
          <cell r="BQ37" t="e">
            <v>#DIV/0!</v>
          </cell>
          <cell r="BR37" t="e">
            <v>#DIV/0!</v>
          </cell>
          <cell r="BS37" t="e">
            <v>#DIV/0!</v>
          </cell>
          <cell r="BT37" t="e">
            <v>#DIV/0!</v>
          </cell>
          <cell r="BU37" t="e">
            <v>#DIV/0!</v>
          </cell>
          <cell r="BV37" t="e">
            <v>#DIV/0!</v>
          </cell>
          <cell r="CL37">
            <v>245.03703703703704</v>
          </cell>
          <cell r="CM37">
            <v>245.4814814814815</v>
          </cell>
          <cell r="CN37">
            <v>245.44642857142856</v>
          </cell>
          <cell r="CO37">
            <v>245.11111111111111</v>
          </cell>
          <cell r="CP37">
            <v>245.05555555555554</v>
          </cell>
          <cell r="CQ37">
            <v>247.88888888888889</v>
          </cell>
          <cell r="CR37">
            <v>253.33333333333334</v>
          </cell>
          <cell r="CS37">
            <v>245.14814814814815</v>
          </cell>
          <cell r="CT37">
            <v>247.81481481481481</v>
          </cell>
          <cell r="CU37">
            <v>244.9818181818182</v>
          </cell>
          <cell r="CV37">
            <v>250.2037037037037</v>
          </cell>
          <cell r="CW37">
            <v>140.58510638297872</v>
          </cell>
          <cell r="CX37">
            <v>214.48571428571427</v>
          </cell>
          <cell r="CY37">
            <v>295.20512820512818</v>
          </cell>
          <cell r="CZ37">
            <v>290.14285714285717</v>
          </cell>
          <cell r="DA37">
            <v>290.31818181818181</v>
          </cell>
          <cell r="DB37">
            <v>283.66666666666669</v>
          </cell>
          <cell r="DC37">
            <v>294.50000000000006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</row>
        <row r="38">
          <cell r="AR38">
            <v>727.21430006025298</v>
          </cell>
          <cell r="AS38">
            <v>770.91847709184776</v>
          </cell>
          <cell r="AT38">
            <v>766.66666666666663</v>
          </cell>
          <cell r="AU38">
            <v>753.20675105485236</v>
          </cell>
          <cell r="AV38">
            <v>761.02454642475993</v>
          </cell>
          <cell r="AW38">
            <v>763.0926954293036</v>
          </cell>
          <cell r="AX38">
            <v>787.37164081275932</v>
          </cell>
          <cell r="AY38">
            <v>765.71061643835628</v>
          </cell>
          <cell r="AZ38">
            <v>767.02218430034122</v>
          </cell>
          <cell r="BA38">
            <v>731.38597904915378</v>
          </cell>
          <cell r="BB38">
            <v>782.4697754749568</v>
          </cell>
          <cell r="BC38">
            <v>849.81378026070763</v>
          </cell>
          <cell r="BD38">
            <v>782.4697754749568</v>
          </cell>
          <cell r="BE38">
            <v>849.81378026070763</v>
          </cell>
          <cell r="BF38">
            <v>944.11985018726591</v>
          </cell>
          <cell r="BG38">
            <v>819.95374958704997</v>
          </cell>
          <cell r="BH38">
            <v>687.53009147809348</v>
          </cell>
          <cell r="BI38">
            <v>639.69200198708393</v>
          </cell>
          <cell r="BJ38">
            <v>659.78098556495775</v>
          </cell>
          <cell r="BK38">
            <v>672.03471552555459</v>
          </cell>
          <cell r="BL38" t="e">
            <v>#DIV/0!</v>
          </cell>
          <cell r="BM38" t="e">
            <v>#DIV/0!</v>
          </cell>
          <cell r="BN38" t="e">
            <v>#DIV/0!</v>
          </cell>
          <cell r="BO38" t="e">
            <v>#DIV/0!</v>
          </cell>
          <cell r="BP38" t="e">
            <v>#DIV/0!</v>
          </cell>
          <cell r="BQ38" t="e">
            <v>#DIV/0!</v>
          </cell>
          <cell r="BR38" t="e">
            <v>#DIV/0!</v>
          </cell>
          <cell r="BS38" t="e">
            <v>#DIV/0!</v>
          </cell>
          <cell r="BT38" t="e">
            <v>#DIV/0!</v>
          </cell>
          <cell r="BU38" t="e">
            <v>#DIV/0!</v>
          </cell>
          <cell r="BV38" t="e">
            <v>#DIV/0!</v>
          </cell>
          <cell r="CL38">
            <v>335.25925925925924</v>
          </cell>
          <cell r="CM38">
            <v>331.85185185185185</v>
          </cell>
          <cell r="CN38">
            <v>327.75</v>
          </cell>
          <cell r="CO38">
            <v>330.57407407407408</v>
          </cell>
          <cell r="CP38">
            <v>330.12962962962962</v>
          </cell>
          <cell r="CQ38">
            <v>330.81481481481478</v>
          </cell>
          <cell r="CR38">
            <v>333.68518518518522</v>
          </cell>
          <cell r="CS38">
            <v>331.24074074074076</v>
          </cell>
          <cell r="CT38">
            <v>332.94444444444446</v>
          </cell>
          <cell r="CU38">
            <v>330.05454545454546</v>
          </cell>
          <cell r="CV38">
            <v>335.59259259259261</v>
          </cell>
          <cell r="CW38">
            <v>194.19148936170211</v>
          </cell>
          <cell r="CX38">
            <v>270.08571428571429</v>
          </cell>
          <cell r="CY38">
            <v>318.20512820512818</v>
          </cell>
          <cell r="CZ38">
            <v>291.42857142857144</v>
          </cell>
          <cell r="DA38">
            <v>292.65909090909088</v>
          </cell>
          <cell r="DB38">
            <v>294.5555555555556</v>
          </cell>
          <cell r="DC38">
            <v>303.00000000000006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</row>
      </sheetData>
      <sheetData sheetId="39" refreshError="1"/>
      <sheetData sheetId="40" refreshError="1">
        <row r="1">
          <cell r="AR1" t="str">
            <v>F245992</v>
          </cell>
          <cell r="AS1" t="str">
            <v>F245993</v>
          </cell>
          <cell r="AT1" t="str">
            <v>F245994</v>
          </cell>
          <cell r="AU1" t="str">
            <v>F245995</v>
          </cell>
          <cell r="AV1" t="str">
            <v>F245996</v>
          </cell>
          <cell r="AW1" t="str">
            <v>F245997</v>
          </cell>
          <cell r="AX1" t="str">
            <v>F245998</v>
          </cell>
          <cell r="AY1" t="str">
            <v>F245999</v>
          </cell>
          <cell r="AZ1" t="str">
            <v>F246000</v>
          </cell>
          <cell r="BA1" t="str">
            <v>F246001</v>
          </cell>
          <cell r="BB1" t="str">
            <v>F246002</v>
          </cell>
          <cell r="BC1" t="str">
            <v>F246003</v>
          </cell>
          <cell r="BD1" t="str">
            <v>F246004</v>
          </cell>
          <cell r="BE1" t="str">
            <v>F246005</v>
          </cell>
          <cell r="BF1" t="str">
            <v>F246006</v>
          </cell>
          <cell r="BG1" t="str">
            <v>F246007</v>
          </cell>
          <cell r="BH1" t="str">
            <v>F246008</v>
          </cell>
          <cell r="BI1" t="str">
            <v>F246009</v>
          </cell>
          <cell r="BJ1" t="str">
            <v>F246010</v>
          </cell>
          <cell r="BK1" t="str">
            <v>F246011</v>
          </cell>
          <cell r="BL1" t="str">
            <v>F246012</v>
          </cell>
          <cell r="BM1" t="str">
            <v>F246013</v>
          </cell>
          <cell r="BN1" t="str">
            <v>F246014</v>
          </cell>
          <cell r="BO1" t="str">
            <v>F246015</v>
          </cell>
          <cell r="BP1" t="str">
            <v>F246016</v>
          </cell>
          <cell r="BQ1" t="str">
            <v>F246017</v>
          </cell>
          <cell r="BR1" t="str">
            <v>F246018</v>
          </cell>
          <cell r="BS1" t="str">
            <v>F246019</v>
          </cell>
          <cell r="BT1" t="str">
            <v>F246020</v>
          </cell>
          <cell r="BU1" t="str">
            <v>F246021</v>
          </cell>
          <cell r="BV1" t="str">
            <v>F246022</v>
          </cell>
          <cell r="CI1" t="str">
            <v>F245992</v>
          </cell>
          <cell r="CJ1" t="str">
            <v>F245993</v>
          </cell>
          <cell r="CK1" t="str">
            <v>F245994</v>
          </cell>
          <cell r="CL1" t="str">
            <v>F245995</v>
          </cell>
          <cell r="CM1" t="str">
            <v>F245996</v>
          </cell>
          <cell r="CN1" t="str">
            <v>F245997</v>
          </cell>
          <cell r="CO1" t="str">
            <v>F245998</v>
          </cell>
          <cell r="CP1" t="str">
            <v>F245999</v>
          </cell>
          <cell r="CQ1" t="str">
            <v>F246000</v>
          </cell>
          <cell r="CR1" t="str">
            <v>F246001</v>
          </cell>
          <cell r="CS1" t="str">
            <v>F246002</v>
          </cell>
          <cell r="CT1" t="str">
            <v>F246003</v>
          </cell>
          <cell r="CU1" t="str">
            <v>F246004</v>
          </cell>
          <cell r="CV1" t="str">
            <v>F246005</v>
          </cell>
          <cell r="CW1" t="str">
            <v>F246006</v>
          </cell>
          <cell r="CX1" t="str">
            <v>F246007</v>
          </cell>
          <cell r="CY1" t="str">
            <v>F246008</v>
          </cell>
          <cell r="CZ1" t="str">
            <v>F246009</v>
          </cell>
          <cell r="DA1" t="str">
            <v>F246010</v>
          </cell>
          <cell r="DB1" t="str">
            <v>F246011</v>
          </cell>
          <cell r="DC1" t="str">
            <v>F246012</v>
          </cell>
          <cell r="DD1" t="str">
            <v>F246013</v>
          </cell>
          <cell r="DE1" t="str">
            <v>F246014</v>
          </cell>
          <cell r="DF1" t="str">
            <v>F246015</v>
          </cell>
          <cell r="DG1" t="str">
            <v>F246016</v>
          </cell>
          <cell r="DH1" t="str">
            <v>F246017</v>
          </cell>
          <cell r="DI1" t="str">
            <v>F246018</v>
          </cell>
          <cell r="DJ1" t="str">
            <v>F246019</v>
          </cell>
          <cell r="DK1" t="str">
            <v>F246020</v>
          </cell>
          <cell r="DL1" t="str">
            <v>F246021</v>
          </cell>
          <cell r="DM1" t="str">
            <v>F246022</v>
          </cell>
        </row>
        <row r="2">
          <cell r="AR2">
            <v>45992</v>
          </cell>
          <cell r="AS2">
            <v>45993</v>
          </cell>
          <cell r="AT2">
            <v>45994</v>
          </cell>
          <cell r="AU2">
            <v>45995</v>
          </cell>
          <cell r="AV2">
            <v>45996</v>
          </cell>
          <cell r="AW2">
            <v>45997</v>
          </cell>
          <cell r="AX2">
            <v>45998</v>
          </cell>
          <cell r="AY2">
            <v>45999</v>
          </cell>
          <cell r="AZ2">
            <v>46000</v>
          </cell>
          <cell r="BA2">
            <v>46001</v>
          </cell>
          <cell r="BB2">
            <v>46002</v>
          </cell>
          <cell r="BC2">
            <v>46003</v>
          </cell>
          <cell r="BD2">
            <v>46004</v>
          </cell>
          <cell r="BE2">
            <v>46005</v>
          </cell>
          <cell r="BF2">
            <v>46006</v>
          </cell>
          <cell r="BG2">
            <v>46007</v>
          </cell>
          <cell r="BH2">
            <v>46008</v>
          </cell>
          <cell r="BI2">
            <v>46009</v>
          </cell>
          <cell r="BJ2">
            <v>46010</v>
          </cell>
          <cell r="BK2">
            <v>46011</v>
          </cell>
          <cell r="BL2">
            <v>46012</v>
          </cell>
          <cell r="BM2">
            <v>46013</v>
          </cell>
          <cell r="BN2">
            <v>46014</v>
          </cell>
          <cell r="BO2">
            <v>46015</v>
          </cell>
          <cell r="BP2">
            <v>46016</v>
          </cell>
          <cell r="BQ2">
            <v>46017</v>
          </cell>
          <cell r="BR2">
            <v>46018</v>
          </cell>
          <cell r="BS2">
            <v>46019</v>
          </cell>
          <cell r="BT2">
            <v>46020</v>
          </cell>
          <cell r="BU2">
            <v>46021</v>
          </cell>
          <cell r="BV2">
            <v>46022</v>
          </cell>
          <cell r="CI2">
            <v>45992</v>
          </cell>
          <cell r="CJ2">
            <v>45993</v>
          </cell>
          <cell r="CK2">
            <v>45994</v>
          </cell>
          <cell r="CL2">
            <v>45995</v>
          </cell>
          <cell r="CM2">
            <v>45996</v>
          </cell>
          <cell r="CN2">
            <v>45997</v>
          </cell>
          <cell r="CO2">
            <v>45998</v>
          </cell>
          <cell r="CP2">
            <v>45999</v>
          </cell>
          <cell r="CQ2">
            <v>46000</v>
          </cell>
          <cell r="CR2">
            <v>46001</v>
          </cell>
          <cell r="CS2">
            <v>46002</v>
          </cell>
          <cell r="CT2">
            <v>46003</v>
          </cell>
          <cell r="CU2">
            <v>46004</v>
          </cell>
          <cell r="CV2">
            <v>46005</v>
          </cell>
          <cell r="CW2">
            <v>46006</v>
          </cell>
          <cell r="CX2">
            <v>46007</v>
          </cell>
          <cell r="CY2">
            <v>46008</v>
          </cell>
          <cell r="CZ2">
            <v>46009</v>
          </cell>
          <cell r="DA2">
            <v>46010</v>
          </cell>
          <cell r="DB2">
            <v>46011</v>
          </cell>
          <cell r="DC2">
            <v>46012</v>
          </cell>
          <cell r="DD2">
            <v>46013</v>
          </cell>
          <cell r="DE2">
            <v>46014</v>
          </cell>
          <cell r="DF2">
            <v>46015</v>
          </cell>
          <cell r="DG2">
            <v>46016</v>
          </cell>
          <cell r="DH2">
            <v>46017</v>
          </cell>
          <cell r="DI2">
            <v>46018</v>
          </cell>
          <cell r="DJ2">
            <v>46019</v>
          </cell>
          <cell r="DK2">
            <v>46020</v>
          </cell>
          <cell r="DL2">
            <v>46021</v>
          </cell>
          <cell r="DM2">
            <v>46022</v>
          </cell>
        </row>
        <row r="3">
          <cell r="CI3">
            <v>30.72</v>
          </cell>
          <cell r="CJ3">
            <v>29.63</v>
          </cell>
          <cell r="CK3">
            <v>31.57</v>
          </cell>
          <cell r="CL3">
            <v>31.38</v>
          </cell>
          <cell r="CM3">
            <v>31</v>
          </cell>
          <cell r="CN3">
            <v>30.12</v>
          </cell>
          <cell r="CO3">
            <v>30</v>
          </cell>
          <cell r="CP3">
            <v>30.19</v>
          </cell>
          <cell r="CQ3">
            <v>29.87</v>
          </cell>
          <cell r="CR3">
            <v>31.380000000000003</v>
          </cell>
          <cell r="CS3">
            <v>29.39</v>
          </cell>
          <cell r="CT3">
            <v>31.29</v>
          </cell>
          <cell r="CU3">
            <v>28</v>
          </cell>
          <cell r="CV3">
            <v>24.15</v>
          </cell>
          <cell r="CW3">
            <v>31.09</v>
          </cell>
          <cell r="CX3">
            <v>30.47</v>
          </cell>
          <cell r="CY3">
            <v>31.33</v>
          </cell>
          <cell r="CZ3">
            <v>32.125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</row>
        <row r="4">
          <cell r="CI4">
            <v>55.174444444444447</v>
          </cell>
          <cell r="CJ4">
            <v>55.143333333333331</v>
          </cell>
          <cell r="CK4">
            <v>55.106666666666669</v>
          </cell>
          <cell r="CL4">
            <v>54.712222222222216</v>
          </cell>
          <cell r="CM4">
            <v>55.142222222222216</v>
          </cell>
          <cell r="CN4">
            <v>55.118888888888897</v>
          </cell>
          <cell r="CO4">
            <v>55.142222222222223</v>
          </cell>
          <cell r="CP4">
            <v>54.822222222222223</v>
          </cell>
          <cell r="CQ4">
            <v>55.131111111111103</v>
          </cell>
          <cell r="CR4">
            <v>55.097777777777793</v>
          </cell>
          <cell r="CS4">
            <v>54.818888888888893</v>
          </cell>
          <cell r="CT4">
            <v>54.656666666666666</v>
          </cell>
          <cell r="CU4">
            <v>54.72</v>
          </cell>
          <cell r="CV4">
            <v>54.961428571428577</v>
          </cell>
          <cell r="CW4">
            <v>54.78</v>
          </cell>
          <cell r="CX4">
            <v>54.688888888888897</v>
          </cell>
          <cell r="CY4">
            <v>55.13333333333334</v>
          </cell>
          <cell r="CZ4">
            <v>55.045555555555566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</row>
        <row r="5">
          <cell r="CI5">
            <v>68</v>
          </cell>
          <cell r="CJ5">
            <v>68</v>
          </cell>
          <cell r="CK5">
            <v>70</v>
          </cell>
          <cell r="CL5">
            <v>69</v>
          </cell>
          <cell r="CM5">
            <v>70</v>
          </cell>
          <cell r="CN5">
            <v>69</v>
          </cell>
          <cell r="CO5">
            <v>70</v>
          </cell>
          <cell r="CP5">
            <v>70</v>
          </cell>
          <cell r="CQ5">
            <v>67</v>
          </cell>
          <cell r="CR5">
            <v>70</v>
          </cell>
          <cell r="CS5">
            <v>68</v>
          </cell>
          <cell r="CT5">
            <v>70</v>
          </cell>
          <cell r="CU5">
            <v>68</v>
          </cell>
          <cell r="CV5">
            <v>58</v>
          </cell>
          <cell r="CW5">
            <v>68</v>
          </cell>
          <cell r="CX5">
            <v>68</v>
          </cell>
          <cell r="CY5">
            <v>70</v>
          </cell>
          <cell r="CZ5">
            <v>72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</row>
        <row r="6"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 t="e">
            <v>#DIV/0!</v>
          </cell>
          <cell r="BK6" t="e">
            <v>#DIV/0!</v>
          </cell>
          <cell r="BL6" t="e">
            <v>#DIV/0!</v>
          </cell>
          <cell r="BM6" t="e">
            <v>#DIV/0!</v>
          </cell>
          <cell r="BN6" t="e">
            <v>#DIV/0!</v>
          </cell>
          <cell r="BO6" t="e">
            <v>#DIV/0!</v>
          </cell>
          <cell r="BP6" t="e">
            <v>#DIV/0!</v>
          </cell>
          <cell r="BQ6" t="e">
            <v>#DIV/0!</v>
          </cell>
          <cell r="BR6" t="e">
            <v>#DIV/0!</v>
          </cell>
          <cell r="BS6" t="e">
            <v>#DIV/0!</v>
          </cell>
          <cell r="BT6" t="e">
            <v>#DIV/0!</v>
          </cell>
          <cell r="BU6" t="e">
            <v>#DIV/0!</v>
          </cell>
          <cell r="BV6" t="e">
            <v>#DIV/0!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</row>
        <row r="7">
          <cell r="AR7">
            <v>255.56640625</v>
          </cell>
          <cell r="AS7">
            <v>269.59163010462373</v>
          </cell>
          <cell r="AT7">
            <v>244.02914159011718</v>
          </cell>
          <cell r="AU7">
            <v>232.0905035054175</v>
          </cell>
          <cell r="AV7">
            <v>235.93548387096774</v>
          </cell>
          <cell r="AW7">
            <v>229.38247011952188</v>
          </cell>
          <cell r="AX7">
            <v>215.2</v>
          </cell>
          <cell r="AY7">
            <v>183.40510102683004</v>
          </cell>
          <cell r="AZ7">
            <v>181.01774355540675</v>
          </cell>
          <cell r="BA7">
            <v>179.44550669216062</v>
          </cell>
          <cell r="BB7">
            <v>185.26709765226269</v>
          </cell>
          <cell r="BC7">
            <v>178.97091722595076</v>
          </cell>
          <cell r="BD7">
            <v>194.10714285714283</v>
          </cell>
          <cell r="BE7">
            <v>192.29813664596273</v>
          </cell>
          <cell r="BF7">
            <v>175.00804117079446</v>
          </cell>
          <cell r="BG7">
            <v>178.2408926813259</v>
          </cell>
          <cell r="BH7">
            <v>178.83817427385893</v>
          </cell>
          <cell r="BI7">
            <v>179.33073929961091</v>
          </cell>
          <cell r="BJ7" t="e">
            <v>#DIV/0!</v>
          </cell>
          <cell r="BK7" t="e">
            <v>#DIV/0!</v>
          </cell>
          <cell r="BL7" t="e">
            <v>#DIV/0!</v>
          </cell>
          <cell r="BM7" t="e">
            <v>#DIV/0!</v>
          </cell>
          <cell r="BN7" t="e">
            <v>#DIV/0!</v>
          </cell>
          <cell r="BO7" t="e">
            <v>#DIV/0!</v>
          </cell>
          <cell r="BP7" t="e">
            <v>#DIV/0!</v>
          </cell>
          <cell r="BQ7" t="e">
            <v>#DIV/0!</v>
          </cell>
          <cell r="BR7" t="e">
            <v>#DIV/0!</v>
          </cell>
          <cell r="BS7" t="e">
            <v>#DIV/0!</v>
          </cell>
          <cell r="BT7" t="e">
            <v>#DIV/0!</v>
          </cell>
          <cell r="BU7" t="e">
            <v>#DIV/0!</v>
          </cell>
          <cell r="BV7" t="e">
            <v>#DIV/0!</v>
          </cell>
          <cell r="CI7">
            <v>115.45588235294117</v>
          </cell>
          <cell r="CJ7">
            <v>117.47058823529412</v>
          </cell>
          <cell r="CK7">
            <v>110.05714285714285</v>
          </cell>
          <cell r="CL7">
            <v>105.55072463768117</v>
          </cell>
          <cell r="CM7">
            <v>104.48571428571429</v>
          </cell>
          <cell r="CN7">
            <v>100.13043478260869</v>
          </cell>
          <cell r="CO7">
            <v>92.228571428571442</v>
          </cell>
          <cell r="CP7">
            <v>79.100000000000009</v>
          </cell>
          <cell r="CQ7">
            <v>80.701492537313428</v>
          </cell>
          <cell r="CR7">
            <v>80.44285714285715</v>
          </cell>
          <cell r="CS7">
            <v>80.07352941176471</v>
          </cell>
          <cell r="CT7">
            <v>80</v>
          </cell>
          <cell r="CU7">
            <v>79.92647058823529</v>
          </cell>
          <cell r="CV7">
            <v>80.068965517241381</v>
          </cell>
          <cell r="CW7">
            <v>80.014705882352928</v>
          </cell>
          <cell r="CX7">
            <v>79.867647058823536</v>
          </cell>
          <cell r="CY7">
            <v>80.042857142857144</v>
          </cell>
          <cell r="CZ7">
            <v>80.013888888888886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</row>
        <row r="8"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 t="e">
            <v>#DIV/0!</v>
          </cell>
          <cell r="BK8" t="e">
            <v>#DIV/0!</v>
          </cell>
          <cell r="BL8" t="e">
            <v>#DIV/0!</v>
          </cell>
          <cell r="BM8" t="e">
            <v>#DIV/0!</v>
          </cell>
          <cell r="BN8" t="e">
            <v>#DIV/0!</v>
          </cell>
          <cell r="BO8" t="e">
            <v>#DIV/0!</v>
          </cell>
          <cell r="BP8" t="e">
            <v>#DIV/0!</v>
          </cell>
          <cell r="BQ8" t="e">
            <v>#DIV/0!</v>
          </cell>
          <cell r="BR8" t="e">
            <v>#DIV/0!</v>
          </cell>
          <cell r="BS8" t="e">
            <v>#DIV/0!</v>
          </cell>
          <cell r="BT8" t="e">
            <v>#DIV/0!</v>
          </cell>
          <cell r="BU8" t="e">
            <v>#DIV/0!</v>
          </cell>
          <cell r="BV8" t="e">
            <v>#DIV/0!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</row>
        <row r="9">
          <cell r="AR9">
            <v>489.22526041666669</v>
          </cell>
          <cell r="AS9">
            <v>507.12116098548768</v>
          </cell>
          <cell r="AT9">
            <v>490.05384859043392</v>
          </cell>
          <cell r="AU9">
            <v>489.00573613766733</v>
          </cell>
          <cell r="AV9">
            <v>510.35483870967744</v>
          </cell>
          <cell r="AW9">
            <v>517.76228419654717</v>
          </cell>
          <cell r="AX9">
            <v>527.33333333333337</v>
          </cell>
          <cell r="AY9">
            <v>516.59489897316985</v>
          </cell>
          <cell r="AZ9">
            <v>506.99698694342146</v>
          </cell>
          <cell r="BA9">
            <v>504.65264499681319</v>
          </cell>
          <cell r="BB9">
            <v>523.20517182715207</v>
          </cell>
          <cell r="BC9">
            <v>501.08660914030048</v>
          </cell>
          <cell r="BD9">
            <v>544.78571428571433</v>
          </cell>
          <cell r="BE9">
            <v>542.85714285714278</v>
          </cell>
          <cell r="BF9">
            <v>494.27468639433903</v>
          </cell>
          <cell r="BG9">
            <v>498.85132917623895</v>
          </cell>
          <cell r="BH9">
            <v>491.60548994573895</v>
          </cell>
          <cell r="BI9">
            <v>493.04280155642027</v>
          </cell>
          <cell r="BJ9" t="e">
            <v>#DIV/0!</v>
          </cell>
          <cell r="BK9" t="e">
            <v>#DIV/0!</v>
          </cell>
          <cell r="BL9" t="e">
            <v>#DIV/0!</v>
          </cell>
          <cell r="BM9" t="e">
            <v>#DIV/0!</v>
          </cell>
          <cell r="BN9" t="e">
            <v>#DIV/0!</v>
          </cell>
          <cell r="BO9" t="e">
            <v>#DIV/0!</v>
          </cell>
          <cell r="BP9" t="e">
            <v>#DIV/0!</v>
          </cell>
          <cell r="BQ9" t="e">
            <v>#DIV/0!</v>
          </cell>
          <cell r="BR9" t="e">
            <v>#DIV/0!</v>
          </cell>
          <cell r="BS9" t="e">
            <v>#DIV/0!</v>
          </cell>
          <cell r="BT9" t="e">
            <v>#DIV/0!</v>
          </cell>
          <cell r="BU9" t="e">
            <v>#DIV/0!</v>
          </cell>
          <cell r="BV9" t="e">
            <v>#DIV/0!</v>
          </cell>
          <cell r="CI9">
            <v>221.01470588235296</v>
          </cell>
          <cell r="CJ9">
            <v>220.97058823529412</v>
          </cell>
          <cell r="CK9">
            <v>221.01428571428571</v>
          </cell>
          <cell r="CL9">
            <v>222.39130434782609</v>
          </cell>
          <cell r="CM9">
            <v>226.01428571428573</v>
          </cell>
          <cell r="CN9">
            <v>226.01449275362322</v>
          </cell>
          <cell r="CO9">
            <v>226</v>
          </cell>
          <cell r="CP9">
            <v>222.8</v>
          </cell>
          <cell r="CQ9">
            <v>226.02985074626866</v>
          </cell>
          <cell r="CR9">
            <v>226.22857142857146</v>
          </cell>
          <cell r="CS9">
            <v>226.13235294117649</v>
          </cell>
          <cell r="CT9">
            <v>223.98571428571429</v>
          </cell>
          <cell r="CU9">
            <v>224.3235294117647</v>
          </cell>
          <cell r="CV9">
            <v>226.03448275862067</v>
          </cell>
          <cell r="CW9">
            <v>225.98529411764707</v>
          </cell>
          <cell r="CX9">
            <v>223.52941176470586</v>
          </cell>
          <cell r="CY9">
            <v>220.02857142857141</v>
          </cell>
          <cell r="CZ9">
            <v>219.98611111111111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</row>
        <row r="10"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 t="e">
            <v>#DIV/0!</v>
          </cell>
          <cell r="BK10" t="e">
            <v>#DIV/0!</v>
          </cell>
          <cell r="BL10" t="e">
            <v>#DIV/0!</v>
          </cell>
          <cell r="BM10" t="e">
            <v>#DIV/0!</v>
          </cell>
          <cell r="BN10" t="e">
            <v>#DIV/0!</v>
          </cell>
          <cell r="BO10" t="e">
            <v>#DIV/0!</v>
          </cell>
          <cell r="BP10" t="e">
            <v>#DIV/0!</v>
          </cell>
          <cell r="BQ10" t="e">
            <v>#DIV/0!</v>
          </cell>
          <cell r="BR10" t="e">
            <v>#DIV/0!</v>
          </cell>
          <cell r="BS10" t="e">
            <v>#DIV/0!</v>
          </cell>
          <cell r="BT10" t="e">
            <v>#DIV/0!</v>
          </cell>
          <cell r="BU10" t="e">
            <v>#DIV/0!</v>
          </cell>
          <cell r="BV10" t="e">
            <v>#DIV/0!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</row>
        <row r="11">
          <cell r="AR11">
            <v>757.12890625000011</v>
          </cell>
          <cell r="AS11">
            <v>768.07289908876146</v>
          </cell>
          <cell r="AT11">
            <v>729.45834653151724</v>
          </cell>
          <cell r="AU11">
            <v>723.58189929891648</v>
          </cell>
          <cell r="AV11">
            <v>749.16129032258061</v>
          </cell>
          <cell r="AW11">
            <v>753.48605577689239</v>
          </cell>
          <cell r="AX11">
            <v>767.5333333333333</v>
          </cell>
          <cell r="AY11">
            <v>751.8052335210333</v>
          </cell>
          <cell r="AZ11">
            <v>738.03146970204227</v>
          </cell>
          <cell r="BA11">
            <v>733.84321223709355</v>
          </cell>
          <cell r="BB11">
            <v>761.10922082340926</v>
          </cell>
          <cell r="BC11">
            <v>740.58804729945666</v>
          </cell>
          <cell r="BD11">
            <v>811.21428571428567</v>
          </cell>
          <cell r="BE11">
            <v>801.90476190476193</v>
          </cell>
          <cell r="BF11">
            <v>730.68510775168863</v>
          </cell>
          <cell r="BG11">
            <v>748.99901542500822</v>
          </cell>
          <cell r="BH11">
            <v>755.12288541334192</v>
          </cell>
          <cell r="BI11">
            <v>757.47859922178986</v>
          </cell>
          <cell r="BJ11" t="e">
            <v>#DIV/0!</v>
          </cell>
          <cell r="BK11" t="e">
            <v>#DIV/0!</v>
          </cell>
          <cell r="BL11" t="e">
            <v>#DIV/0!</v>
          </cell>
          <cell r="BM11" t="e">
            <v>#DIV/0!</v>
          </cell>
          <cell r="BN11" t="e">
            <v>#DIV/0!</v>
          </cell>
          <cell r="BO11" t="e">
            <v>#DIV/0!</v>
          </cell>
          <cell r="BP11" t="e">
            <v>#DIV/0!</v>
          </cell>
          <cell r="BQ11" t="e">
            <v>#DIV/0!</v>
          </cell>
          <cell r="BR11" t="e">
            <v>#DIV/0!</v>
          </cell>
          <cell r="BS11" t="e">
            <v>#DIV/0!</v>
          </cell>
          <cell r="BT11" t="e">
            <v>#DIV/0!</v>
          </cell>
          <cell r="BU11" t="e">
            <v>#DIV/0!</v>
          </cell>
          <cell r="BV11" t="e">
            <v>#DIV/0!</v>
          </cell>
          <cell r="CI11">
            <v>342.04411764705884</v>
          </cell>
          <cell r="CJ11">
            <v>334.6764705882353</v>
          </cell>
          <cell r="CK11">
            <v>328.98571428571427</v>
          </cell>
          <cell r="CL11">
            <v>329.07246376811594</v>
          </cell>
          <cell r="CM11">
            <v>331.77142857142854</v>
          </cell>
          <cell r="CN11">
            <v>328.91304347826087</v>
          </cell>
          <cell r="CO11">
            <v>328.94285714285712</v>
          </cell>
          <cell r="CP11">
            <v>324.24285714285713</v>
          </cell>
          <cell r="CQ11">
            <v>329.02985074626866</v>
          </cell>
          <cell r="CR11">
            <v>328.97142857142853</v>
          </cell>
          <cell r="CS11">
            <v>328.95588235294116</v>
          </cell>
          <cell r="CT11">
            <v>331.04285714285714</v>
          </cell>
          <cell r="CU11">
            <v>334.02941176470586</v>
          </cell>
          <cell r="CV11">
            <v>333.89655172413791</v>
          </cell>
          <cell r="CW11">
            <v>334.0735294117647</v>
          </cell>
          <cell r="CX11">
            <v>335.61764705882354</v>
          </cell>
          <cell r="CY11">
            <v>337.97142857142859</v>
          </cell>
          <cell r="CZ11">
            <v>337.97222222222223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</row>
        <row r="12"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 t="e">
            <v>#DIV/0!</v>
          </cell>
          <cell r="BK12" t="e">
            <v>#DIV/0!</v>
          </cell>
          <cell r="BL12" t="e">
            <v>#DIV/0!</v>
          </cell>
          <cell r="BM12" t="e">
            <v>#DIV/0!</v>
          </cell>
          <cell r="BN12" t="e">
            <v>#DIV/0!</v>
          </cell>
          <cell r="BO12" t="e">
            <v>#DIV/0!</v>
          </cell>
          <cell r="BP12" t="e">
            <v>#DIV/0!</v>
          </cell>
          <cell r="BQ12" t="e">
            <v>#DIV/0!</v>
          </cell>
          <cell r="BR12" t="e">
            <v>#DIV/0!</v>
          </cell>
          <cell r="BS12" t="e">
            <v>#DIV/0!</v>
          </cell>
          <cell r="BT12" t="e">
            <v>#DIV/0!</v>
          </cell>
          <cell r="BU12" t="e">
            <v>#DIV/0!</v>
          </cell>
          <cell r="BV12" t="e">
            <v>#DIV/0!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</row>
        <row r="13"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 t="e">
            <v>#DIV/0!</v>
          </cell>
          <cell r="BK13" t="e">
            <v>#DIV/0!</v>
          </cell>
          <cell r="BL13" t="e">
            <v>#DIV/0!</v>
          </cell>
          <cell r="BM13" t="e">
            <v>#DIV/0!</v>
          </cell>
          <cell r="BN13" t="e">
            <v>#DIV/0!</v>
          </cell>
          <cell r="BO13" t="e">
            <v>#DIV/0!</v>
          </cell>
          <cell r="BP13" t="e">
            <v>#DIV/0!</v>
          </cell>
          <cell r="BQ13" t="e">
            <v>#DIV/0!</v>
          </cell>
          <cell r="BR13" t="e">
            <v>#DIV/0!</v>
          </cell>
          <cell r="BS13" t="e">
            <v>#DIV/0!</v>
          </cell>
          <cell r="BT13" t="e">
            <v>#DIV/0!</v>
          </cell>
          <cell r="BU13" t="e">
            <v>#DIV/0!</v>
          </cell>
          <cell r="BV13" t="e">
            <v>#DIV/0!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</row>
        <row r="14"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 t="e">
            <v>#DIV/0!</v>
          </cell>
          <cell r="BK14" t="e">
            <v>#DIV/0!</v>
          </cell>
          <cell r="BL14" t="e">
            <v>#DIV/0!</v>
          </cell>
          <cell r="BM14" t="e">
            <v>#DIV/0!</v>
          </cell>
          <cell r="BN14" t="e">
            <v>#DIV/0!</v>
          </cell>
          <cell r="BO14" t="e">
            <v>#DIV/0!</v>
          </cell>
          <cell r="BP14" t="e">
            <v>#DIV/0!</v>
          </cell>
          <cell r="BQ14" t="e">
            <v>#DIV/0!</v>
          </cell>
          <cell r="BR14" t="e">
            <v>#DIV/0!</v>
          </cell>
          <cell r="BS14" t="e">
            <v>#DIV/0!</v>
          </cell>
          <cell r="BT14" t="e">
            <v>#DIV/0!</v>
          </cell>
          <cell r="BU14" t="e">
            <v>#DIV/0!</v>
          </cell>
          <cell r="BV14" t="e">
            <v>#DIV/0!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</row>
        <row r="15">
          <cell r="AR15">
            <v>318.88020833333331</v>
          </cell>
          <cell r="AS15">
            <v>341.57948025649682</v>
          </cell>
          <cell r="AT15">
            <v>339.11941716819763</v>
          </cell>
          <cell r="AU15">
            <v>336.42447418738055</v>
          </cell>
          <cell r="AV15">
            <v>345.29032258064518</v>
          </cell>
          <cell r="AW15">
            <v>350.265604249668</v>
          </cell>
          <cell r="AX15">
            <v>356.73333333333335</v>
          </cell>
          <cell r="AY15">
            <v>349.22159655515065</v>
          </cell>
          <cell r="AZ15">
            <v>343.05323066622032</v>
          </cell>
          <cell r="BA15">
            <v>340.72657743785851</v>
          </cell>
          <cell r="BB15">
            <v>353.75978223885676</v>
          </cell>
          <cell r="BC15">
            <v>342.34579737935445</v>
          </cell>
          <cell r="BD15">
            <v>371.28571428571433</v>
          </cell>
          <cell r="BE15">
            <v>367.7432712215321</v>
          </cell>
          <cell r="BF15">
            <v>334.38404631714383</v>
          </cell>
          <cell r="BG15">
            <v>349.98359041680345</v>
          </cell>
          <cell r="BH15">
            <v>361.98531758697732</v>
          </cell>
          <cell r="BI15">
            <v>362.33463035019457</v>
          </cell>
          <cell r="BJ15" t="e">
            <v>#DIV/0!</v>
          </cell>
          <cell r="BK15" t="e">
            <v>#DIV/0!</v>
          </cell>
          <cell r="BL15" t="e">
            <v>#DIV/0!</v>
          </cell>
          <cell r="BM15" t="e">
            <v>#DIV/0!</v>
          </cell>
          <cell r="BN15" t="e">
            <v>#DIV/0!</v>
          </cell>
          <cell r="BO15" t="e">
            <v>#DIV/0!</v>
          </cell>
          <cell r="BP15" t="e">
            <v>#DIV/0!</v>
          </cell>
          <cell r="BQ15" t="e">
            <v>#DIV/0!</v>
          </cell>
          <cell r="BR15" t="e">
            <v>#DIV/0!</v>
          </cell>
          <cell r="BS15" t="e">
            <v>#DIV/0!</v>
          </cell>
          <cell r="BT15" t="e">
            <v>#DIV/0!</v>
          </cell>
          <cell r="BU15" t="e">
            <v>#DIV/0!</v>
          </cell>
          <cell r="BV15" t="e">
            <v>#DIV/0!</v>
          </cell>
          <cell r="CI15">
            <v>144.05882352941177</v>
          </cell>
          <cell r="CJ15">
            <v>148.83823529411765</v>
          </cell>
          <cell r="CK15">
            <v>152.94285714285712</v>
          </cell>
          <cell r="CL15">
            <v>153</v>
          </cell>
          <cell r="CM15">
            <v>152.91428571428571</v>
          </cell>
          <cell r="CN15">
            <v>152.89855072463772</v>
          </cell>
          <cell r="CO15">
            <v>152.8857142857143</v>
          </cell>
          <cell r="CP15">
            <v>150.6142857142857</v>
          </cell>
          <cell r="CQ15">
            <v>152.94029850746267</v>
          </cell>
          <cell r="CR15">
            <v>152.74285714285716</v>
          </cell>
          <cell r="CS15">
            <v>152.89705882352942</v>
          </cell>
          <cell r="CT15">
            <v>153.02857142857144</v>
          </cell>
          <cell r="CU15">
            <v>152.88235294117646</v>
          </cell>
          <cell r="CV15">
            <v>153.12068965517241</v>
          </cell>
          <cell r="CW15">
            <v>152.88235294117646</v>
          </cell>
          <cell r="CX15">
            <v>156.8235294117647</v>
          </cell>
          <cell r="CY15">
            <v>162.01428571428571</v>
          </cell>
          <cell r="CZ15">
            <v>161.66666666666669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</row>
        <row r="16"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 t="e">
            <v>#DIV/0!</v>
          </cell>
          <cell r="BK16" t="e">
            <v>#DIV/0!</v>
          </cell>
          <cell r="BL16" t="e">
            <v>#DIV/0!</v>
          </cell>
          <cell r="BM16" t="e">
            <v>#DIV/0!</v>
          </cell>
          <cell r="BN16" t="e">
            <v>#DIV/0!</v>
          </cell>
          <cell r="BO16" t="e">
            <v>#DIV/0!</v>
          </cell>
          <cell r="BP16" t="e">
            <v>#DIV/0!</v>
          </cell>
          <cell r="BQ16" t="e">
            <v>#DIV/0!</v>
          </cell>
          <cell r="BR16" t="e">
            <v>#DIV/0!</v>
          </cell>
          <cell r="BS16" t="e">
            <v>#DIV/0!</v>
          </cell>
          <cell r="BT16" t="e">
            <v>#DIV/0!</v>
          </cell>
          <cell r="BU16" t="e">
            <v>#DIV/0!</v>
          </cell>
          <cell r="BV16" t="e">
            <v>#DIV/0!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</row>
        <row r="17">
          <cell r="AR17">
            <v>378.35286458333331</v>
          </cell>
          <cell r="AS17">
            <v>404.18494768815395</v>
          </cell>
          <cell r="AT17">
            <v>399.33481152993346</v>
          </cell>
          <cell r="AU17">
            <v>352.58126195028683</v>
          </cell>
          <cell r="AV17">
            <v>363.09677419354841</v>
          </cell>
          <cell r="AW17">
            <v>378.51925630810092</v>
          </cell>
          <cell r="AX17">
            <v>385.13333333333333</v>
          </cell>
          <cell r="AY17">
            <v>394.26962570387548</v>
          </cell>
          <cell r="AZ17">
            <v>403.78305992634751</v>
          </cell>
          <cell r="BA17">
            <v>401.68897386870617</v>
          </cell>
          <cell r="BB17">
            <v>416.4681864579789</v>
          </cell>
          <cell r="BC17">
            <v>402.62064557366574</v>
          </cell>
          <cell r="BD17">
            <v>428.82142857142856</v>
          </cell>
          <cell r="BE17">
            <v>420.45548654244305</v>
          </cell>
          <cell r="BF17">
            <v>382.7918944998392</v>
          </cell>
          <cell r="BG17">
            <v>386.74105677715789</v>
          </cell>
          <cell r="BH17">
            <v>382.28534950526654</v>
          </cell>
          <cell r="BI17">
            <v>383.1284046692607</v>
          </cell>
          <cell r="BJ17" t="e">
            <v>#DIV/0!</v>
          </cell>
          <cell r="BK17" t="e">
            <v>#DIV/0!</v>
          </cell>
          <cell r="BL17" t="e">
            <v>#DIV/0!</v>
          </cell>
          <cell r="BM17" t="e">
            <v>#DIV/0!</v>
          </cell>
          <cell r="BN17" t="e">
            <v>#DIV/0!</v>
          </cell>
          <cell r="BO17" t="e">
            <v>#DIV/0!</v>
          </cell>
          <cell r="BP17" t="e">
            <v>#DIV/0!</v>
          </cell>
          <cell r="BQ17" t="e">
            <v>#DIV/0!</v>
          </cell>
          <cell r="BR17" t="e">
            <v>#DIV/0!</v>
          </cell>
          <cell r="BS17" t="e">
            <v>#DIV/0!</v>
          </cell>
          <cell r="BT17" t="e">
            <v>#DIV/0!</v>
          </cell>
          <cell r="BU17" t="e">
            <v>#DIV/0!</v>
          </cell>
          <cell r="BV17" t="e">
            <v>#DIV/0!</v>
          </cell>
          <cell r="CI17">
            <v>170.9264705882353</v>
          </cell>
          <cell r="CJ17">
            <v>176.11764705882354</v>
          </cell>
          <cell r="CK17">
            <v>180.1</v>
          </cell>
          <cell r="CL17">
            <v>160.34782608695653</v>
          </cell>
          <cell r="CM17">
            <v>160.80000000000001</v>
          </cell>
          <cell r="CN17">
            <v>165.231884057971</v>
          </cell>
          <cell r="CO17">
            <v>165.05714285714288</v>
          </cell>
          <cell r="CP17">
            <v>170.04285714285717</v>
          </cell>
          <cell r="CQ17">
            <v>180.01492537313433</v>
          </cell>
          <cell r="CR17">
            <v>180.07142857142858</v>
          </cell>
          <cell r="CS17">
            <v>180</v>
          </cell>
          <cell r="CT17">
            <v>179.97142857142859</v>
          </cell>
          <cell r="CU17">
            <v>176.57352941176472</v>
          </cell>
          <cell r="CV17">
            <v>175.06896551724139</v>
          </cell>
          <cell r="CW17">
            <v>175.01470588235293</v>
          </cell>
          <cell r="CX17">
            <v>173.29411764705881</v>
          </cell>
          <cell r="CY17">
            <v>171.1</v>
          </cell>
          <cell r="CZ17">
            <v>170.94444444444446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</row>
        <row r="18"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 t="e">
            <v>#DIV/0!</v>
          </cell>
          <cell r="BK18" t="e">
            <v>#DIV/0!</v>
          </cell>
          <cell r="BL18" t="e">
            <v>#DIV/0!</v>
          </cell>
          <cell r="BM18" t="e">
            <v>#DIV/0!</v>
          </cell>
          <cell r="BN18" t="e">
            <v>#DIV/0!</v>
          </cell>
          <cell r="BO18" t="e">
            <v>#DIV/0!</v>
          </cell>
          <cell r="BP18" t="e">
            <v>#DIV/0!</v>
          </cell>
          <cell r="BQ18" t="e">
            <v>#DIV/0!</v>
          </cell>
          <cell r="BR18" t="e">
            <v>#DIV/0!</v>
          </cell>
          <cell r="BS18" t="e">
            <v>#DIV/0!</v>
          </cell>
          <cell r="BT18" t="e">
            <v>#DIV/0!</v>
          </cell>
          <cell r="BU18" t="e">
            <v>#DIV/0!</v>
          </cell>
          <cell r="BV18" t="e">
            <v>#DIV/0!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</row>
        <row r="19"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 t="e">
            <v>#DIV/0!</v>
          </cell>
          <cell r="BK19" t="e">
            <v>#DIV/0!</v>
          </cell>
          <cell r="BL19" t="e">
            <v>#DIV/0!</v>
          </cell>
          <cell r="BM19" t="e">
            <v>#DIV/0!</v>
          </cell>
          <cell r="BN19" t="e">
            <v>#DIV/0!</v>
          </cell>
          <cell r="BO19" t="e">
            <v>#DIV/0!</v>
          </cell>
          <cell r="BP19" t="e">
            <v>#DIV/0!</v>
          </cell>
          <cell r="BQ19" t="e">
            <v>#DIV/0!</v>
          </cell>
          <cell r="BR19" t="e">
            <v>#DIV/0!</v>
          </cell>
          <cell r="BS19" t="e">
            <v>#DIV/0!</v>
          </cell>
          <cell r="BT19" t="e">
            <v>#DIV/0!</v>
          </cell>
          <cell r="BU19" t="e">
            <v>#DIV/0!</v>
          </cell>
          <cell r="BV19" t="e">
            <v>#DIV/0!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</row>
        <row r="20"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 t="e">
            <v>#DIV/0!</v>
          </cell>
          <cell r="BK20" t="e">
            <v>#DIV/0!</v>
          </cell>
          <cell r="BL20" t="e">
            <v>#DIV/0!</v>
          </cell>
          <cell r="BM20" t="e">
            <v>#DIV/0!</v>
          </cell>
          <cell r="BN20" t="e">
            <v>#DIV/0!</v>
          </cell>
          <cell r="BO20" t="e">
            <v>#DIV/0!</v>
          </cell>
          <cell r="BP20" t="e">
            <v>#DIV/0!</v>
          </cell>
          <cell r="BQ20" t="e">
            <v>#DIV/0!</v>
          </cell>
          <cell r="BR20" t="e">
            <v>#DIV/0!</v>
          </cell>
          <cell r="BS20" t="e">
            <v>#DIV/0!</v>
          </cell>
          <cell r="BT20" t="e">
            <v>#DIV/0!</v>
          </cell>
          <cell r="BU20" t="e">
            <v>#DIV/0!</v>
          </cell>
          <cell r="BV20" t="e">
            <v>#DIV/0!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</row>
        <row r="21"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 t="e">
            <v>#DIV/0!</v>
          </cell>
          <cell r="BK21" t="e">
            <v>#DIV/0!</v>
          </cell>
          <cell r="BL21" t="e">
            <v>#DIV/0!</v>
          </cell>
          <cell r="BM21" t="e">
            <v>#DIV/0!</v>
          </cell>
          <cell r="BN21" t="e">
            <v>#DIV/0!</v>
          </cell>
          <cell r="BO21" t="e">
            <v>#DIV/0!</v>
          </cell>
          <cell r="BP21" t="e">
            <v>#DIV/0!</v>
          </cell>
          <cell r="BQ21" t="e">
            <v>#DIV/0!</v>
          </cell>
          <cell r="BR21" t="e">
            <v>#DIV/0!</v>
          </cell>
          <cell r="BS21" t="e">
            <v>#DIV/0!</v>
          </cell>
          <cell r="BT21" t="e">
            <v>#DIV/0!</v>
          </cell>
          <cell r="BU21" t="e">
            <v>#DIV/0!</v>
          </cell>
          <cell r="BV21" t="e">
            <v>#DIV/0!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</row>
        <row r="22"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 t="e">
            <v>#DIV/0!</v>
          </cell>
          <cell r="BK22" t="e">
            <v>#DIV/0!</v>
          </cell>
          <cell r="BL22" t="e">
            <v>#DIV/0!</v>
          </cell>
          <cell r="BM22" t="e">
            <v>#DIV/0!</v>
          </cell>
          <cell r="BN22" t="e">
            <v>#DIV/0!</v>
          </cell>
          <cell r="BO22" t="e">
            <v>#DIV/0!</v>
          </cell>
          <cell r="BP22" t="e">
            <v>#DIV/0!</v>
          </cell>
          <cell r="BQ22" t="e">
            <v>#DIV/0!</v>
          </cell>
          <cell r="BR22" t="e">
            <v>#DIV/0!</v>
          </cell>
          <cell r="BS22" t="e">
            <v>#DIV/0!</v>
          </cell>
          <cell r="BT22" t="e">
            <v>#DIV/0!</v>
          </cell>
          <cell r="BU22" t="e">
            <v>#DIV/0!</v>
          </cell>
          <cell r="BV22" t="e">
            <v>#DIV/0!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</row>
        <row r="23">
          <cell r="AR23">
            <v>2199.1536458333335</v>
          </cell>
          <cell r="AS23">
            <v>2290.5501181235236</v>
          </cell>
          <cell r="AT23">
            <v>2201.9955654101996</v>
          </cell>
          <cell r="AU23">
            <v>2133.6838750796687</v>
          </cell>
          <cell r="AV23">
            <v>2203.8387096774195</v>
          </cell>
          <cell r="AW23">
            <v>2229.4156706507301</v>
          </cell>
          <cell r="AX23">
            <v>2251.9333333333334</v>
          </cell>
          <cell r="AY23">
            <v>2195.2964557800592</v>
          </cell>
          <cell r="AZ23">
            <v>2172.8824907934381</v>
          </cell>
          <cell r="BA23">
            <v>2160.3569152326318</v>
          </cell>
          <cell r="BB23">
            <v>2239.8094589996599</v>
          </cell>
          <cell r="BC23">
            <v>2165.6120166187284</v>
          </cell>
          <cell r="BD23">
            <v>2350.2142857142853</v>
          </cell>
          <cell r="BE23">
            <v>2325.2587991718424</v>
          </cell>
          <cell r="BF23">
            <v>2117.1437761338052</v>
          </cell>
          <cell r="BG23">
            <v>2162.8158844765344</v>
          </cell>
          <cell r="BH23">
            <v>2169.8372167251837</v>
          </cell>
          <cell r="BI23">
            <v>2175.3151750972766</v>
          </cell>
          <cell r="BJ23" t="e">
            <v>#DIV/0!</v>
          </cell>
          <cell r="BK23" t="e">
            <v>#DIV/0!</v>
          </cell>
          <cell r="BL23" t="e">
            <v>#DIV/0!</v>
          </cell>
          <cell r="BM23" t="e">
            <v>#DIV/0!</v>
          </cell>
          <cell r="BN23" t="e">
            <v>#DIV/0!</v>
          </cell>
          <cell r="BO23" t="e">
            <v>#DIV/0!</v>
          </cell>
          <cell r="BP23" t="e">
            <v>#DIV/0!</v>
          </cell>
          <cell r="BQ23" t="e">
            <v>#DIV/0!</v>
          </cell>
          <cell r="BR23" t="e">
            <v>#DIV/0!</v>
          </cell>
          <cell r="BS23" t="e">
            <v>#DIV/0!</v>
          </cell>
          <cell r="BT23" t="e">
            <v>#DIV/0!</v>
          </cell>
          <cell r="BU23" t="e">
            <v>#DIV/0!</v>
          </cell>
          <cell r="BV23" t="e">
            <v>#DIV/0!</v>
          </cell>
          <cell r="CI23">
            <v>993.5</v>
          </cell>
          <cell r="CJ23">
            <v>998.07352941176475</v>
          </cell>
          <cell r="CK23">
            <v>993.1</v>
          </cell>
          <cell r="CL23">
            <v>970.36231884057975</v>
          </cell>
          <cell r="CM23">
            <v>975.98571428571427</v>
          </cell>
          <cell r="CN23">
            <v>973.1884057971015</v>
          </cell>
          <cell r="CO23">
            <v>965.11428571428587</v>
          </cell>
          <cell r="CP23">
            <v>946.8</v>
          </cell>
          <cell r="CQ23">
            <v>968.71641791044772</v>
          </cell>
          <cell r="CR23">
            <v>968.4571428571428</v>
          </cell>
          <cell r="CS23">
            <v>968.05882352941182</v>
          </cell>
          <cell r="CT23">
            <v>968.02857142857147</v>
          </cell>
          <cell r="CU23">
            <v>967.73529411764707</v>
          </cell>
          <cell r="CV23">
            <v>968.18965517241384</v>
          </cell>
          <cell r="CW23">
            <v>967.97058823529403</v>
          </cell>
          <cell r="CX23">
            <v>969.13235294117635</v>
          </cell>
          <cell r="CY23">
            <v>971.15714285714296</v>
          </cell>
          <cell r="CZ23">
            <v>970.58333333333337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</row>
        <row r="25"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 t="e">
            <v>#DIV/0!</v>
          </cell>
          <cell r="BK25" t="e">
            <v>#DIV/0!</v>
          </cell>
          <cell r="BL25" t="e">
            <v>#DIV/0!</v>
          </cell>
          <cell r="BM25" t="e">
            <v>#DIV/0!</v>
          </cell>
          <cell r="BN25" t="e">
            <v>#DIV/0!</v>
          </cell>
          <cell r="BO25" t="e">
            <v>#DIV/0!</v>
          </cell>
          <cell r="BP25" t="e">
            <v>#DIV/0!</v>
          </cell>
          <cell r="BQ25" t="e">
            <v>#DIV/0!</v>
          </cell>
          <cell r="BR25" t="e">
            <v>#DIV/0!</v>
          </cell>
          <cell r="BS25" t="e">
            <v>#DIV/0!</v>
          </cell>
          <cell r="BT25" t="e">
            <v>#DIV/0!</v>
          </cell>
          <cell r="BU25" t="e">
            <v>#DIV/0!</v>
          </cell>
          <cell r="BV25" t="e">
            <v>#DIV/0!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</row>
        <row r="26"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17.035714285714285</v>
          </cell>
          <cell r="BE26">
            <v>106.50103519668738</v>
          </cell>
          <cell r="BF26">
            <v>98.423930524284344</v>
          </cell>
          <cell r="BG26">
            <v>100.3610108303249</v>
          </cell>
          <cell r="BH26">
            <v>103.7663581232046</v>
          </cell>
          <cell r="BI26">
            <v>100.85603112840468</v>
          </cell>
          <cell r="BJ26" t="e">
            <v>#DIV/0!</v>
          </cell>
          <cell r="BK26" t="e">
            <v>#DIV/0!</v>
          </cell>
          <cell r="BL26" t="e">
            <v>#DIV/0!</v>
          </cell>
          <cell r="BM26" t="e">
            <v>#DIV/0!</v>
          </cell>
          <cell r="BN26" t="e">
            <v>#DIV/0!</v>
          </cell>
          <cell r="BO26" t="e">
            <v>#DIV/0!</v>
          </cell>
          <cell r="BP26" t="e">
            <v>#DIV/0!</v>
          </cell>
          <cell r="BQ26" t="e">
            <v>#DIV/0!</v>
          </cell>
          <cell r="BR26" t="e">
            <v>#DIV/0!</v>
          </cell>
          <cell r="BS26" t="e">
            <v>#DIV/0!</v>
          </cell>
          <cell r="BT26" t="e">
            <v>#DIV/0!</v>
          </cell>
          <cell r="BU26" t="e">
            <v>#DIV/0!</v>
          </cell>
          <cell r="BV26" t="e">
            <v>#DIV/0!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7.0147058823529411</v>
          </cell>
          <cell r="CV26">
            <v>44.344827586206897</v>
          </cell>
          <cell r="CW26">
            <v>45</v>
          </cell>
          <cell r="CX26">
            <v>44.970588235294116</v>
          </cell>
          <cell r="CY26">
            <v>46.442857142857143</v>
          </cell>
          <cell r="CZ26">
            <v>45.000000000000007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</row>
        <row r="27">
          <cell r="AR27">
            <v>492.1875</v>
          </cell>
          <cell r="AS27">
            <v>506.64866689166388</v>
          </cell>
          <cell r="AT27">
            <v>495.37535635096606</v>
          </cell>
          <cell r="AU27">
            <v>492.28808158062463</v>
          </cell>
          <cell r="AV27">
            <v>503.06451612903226</v>
          </cell>
          <cell r="AW27">
            <v>538.2470119521912</v>
          </cell>
          <cell r="AX27">
            <v>558.33333333333337</v>
          </cell>
          <cell r="AY27">
            <v>534.48161642928119</v>
          </cell>
          <cell r="AZ27">
            <v>530.96752594576492</v>
          </cell>
          <cell r="BA27">
            <v>495.8572339069471</v>
          </cell>
          <cell r="BB27">
            <v>499.79584892820691</v>
          </cell>
          <cell r="BC27">
            <v>469.83061681048258</v>
          </cell>
          <cell r="BD27">
            <v>525.75</v>
          </cell>
          <cell r="BE27">
            <v>496.89440993788827</v>
          </cell>
          <cell r="BF27">
            <v>448.37568349951749</v>
          </cell>
          <cell r="BG27">
            <v>449.62257958647848</v>
          </cell>
          <cell r="BH27">
            <v>448.67539099904246</v>
          </cell>
          <cell r="BI27">
            <v>453.19844357976655</v>
          </cell>
          <cell r="BJ27" t="e">
            <v>#DIV/0!</v>
          </cell>
          <cell r="BK27" t="e">
            <v>#DIV/0!</v>
          </cell>
          <cell r="BL27" t="e">
            <v>#DIV/0!</v>
          </cell>
          <cell r="BM27" t="e">
            <v>#DIV/0!</v>
          </cell>
          <cell r="BN27" t="e">
            <v>#DIV/0!</v>
          </cell>
          <cell r="BO27" t="e">
            <v>#DIV/0!</v>
          </cell>
          <cell r="BP27" t="e">
            <v>#DIV/0!</v>
          </cell>
          <cell r="BQ27" t="e">
            <v>#DIV/0!</v>
          </cell>
          <cell r="BR27" t="e">
            <v>#DIV/0!</v>
          </cell>
          <cell r="BS27" t="e">
            <v>#DIV/0!</v>
          </cell>
          <cell r="BT27" t="e">
            <v>#DIV/0!</v>
          </cell>
          <cell r="BU27" t="e">
            <v>#DIV/0!</v>
          </cell>
          <cell r="BV27" t="e">
            <v>#DIV/0!</v>
          </cell>
          <cell r="CI27">
            <v>222.35294117647058</v>
          </cell>
          <cell r="CJ27">
            <v>220.76470588235296</v>
          </cell>
          <cell r="CK27">
            <v>223.41428571428571</v>
          </cell>
          <cell r="CL27">
            <v>223.8840579710145</v>
          </cell>
          <cell r="CM27">
            <v>222.78571428571428</v>
          </cell>
          <cell r="CN27">
            <v>234.95652173913044</v>
          </cell>
          <cell r="CO27">
            <v>239.28571428571431</v>
          </cell>
          <cell r="CP27">
            <v>230.51428571428571</v>
          </cell>
          <cell r="CQ27">
            <v>236.71641791044775</v>
          </cell>
          <cell r="CR27">
            <v>222.28571428571428</v>
          </cell>
          <cell r="CS27">
            <v>216.01470588235293</v>
          </cell>
          <cell r="CT27">
            <v>210.01428571428571</v>
          </cell>
          <cell r="CU27">
            <v>216.48529411764704</v>
          </cell>
          <cell r="CV27">
            <v>206.89655172413794</v>
          </cell>
          <cell r="CW27">
            <v>205</v>
          </cell>
          <cell r="CX27">
            <v>201.47058823529409</v>
          </cell>
          <cell r="CY27">
            <v>200.81428571428572</v>
          </cell>
          <cell r="CZ27">
            <v>202.20833333333331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</row>
        <row r="28">
          <cell r="AR28">
            <v>134.50520833333331</v>
          </cell>
          <cell r="AS28">
            <v>140.3307458656767</v>
          </cell>
          <cell r="AT28">
            <v>144.12416851441239</v>
          </cell>
          <cell r="AU28">
            <v>139.16507329509241</v>
          </cell>
          <cell r="AV28">
            <v>142.48387096774192</v>
          </cell>
          <cell r="AW28">
            <v>142.49667994687914</v>
          </cell>
          <cell r="AX28">
            <v>150.46666666666667</v>
          </cell>
          <cell r="AY28">
            <v>148.59224908910235</v>
          </cell>
          <cell r="AZ28">
            <v>131.63709407432205</v>
          </cell>
          <cell r="BA28">
            <v>127.40599107711917</v>
          </cell>
          <cell r="BB28">
            <v>131.94964273562437</v>
          </cell>
          <cell r="BC28">
            <v>127.51677852348995</v>
          </cell>
          <cell r="BD28">
            <v>138.39285714285714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 t="e">
            <v>#DIV/0!</v>
          </cell>
          <cell r="BK28" t="e">
            <v>#DIV/0!</v>
          </cell>
          <cell r="BL28" t="e">
            <v>#DIV/0!</v>
          </cell>
          <cell r="BM28" t="e">
            <v>#DIV/0!</v>
          </cell>
          <cell r="BN28" t="e">
            <v>#DIV/0!</v>
          </cell>
          <cell r="BO28" t="e">
            <v>#DIV/0!</v>
          </cell>
          <cell r="BP28" t="e">
            <v>#DIV/0!</v>
          </cell>
          <cell r="BQ28" t="e">
            <v>#DIV/0!</v>
          </cell>
          <cell r="BR28" t="e">
            <v>#DIV/0!</v>
          </cell>
          <cell r="BS28" t="e">
            <v>#DIV/0!</v>
          </cell>
          <cell r="BT28" t="e">
            <v>#DIV/0!</v>
          </cell>
          <cell r="BU28" t="e">
            <v>#DIV/0!</v>
          </cell>
          <cell r="BV28" t="e">
            <v>#DIV/0!</v>
          </cell>
          <cell r="CI28">
            <v>60.764705882352935</v>
          </cell>
          <cell r="CJ28">
            <v>61.147058823529413</v>
          </cell>
          <cell r="CK28">
            <v>65</v>
          </cell>
          <cell r="CL28">
            <v>63.289855072463766</v>
          </cell>
          <cell r="CM28">
            <v>63.1</v>
          </cell>
          <cell r="CN28">
            <v>62.202898550724633</v>
          </cell>
          <cell r="CO28">
            <v>64.48571428571428</v>
          </cell>
          <cell r="CP28">
            <v>64.085714285714289</v>
          </cell>
          <cell r="CQ28">
            <v>58.686567164179102</v>
          </cell>
          <cell r="CR28">
            <v>57.114285714285714</v>
          </cell>
          <cell r="CS28">
            <v>57.029411764705884</v>
          </cell>
          <cell r="CT28">
            <v>57</v>
          </cell>
          <cell r="CU28">
            <v>56.985294117647058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</row>
        <row r="29"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10.428571428571427</v>
          </cell>
          <cell r="BE29">
            <v>60.745341614906842</v>
          </cell>
          <cell r="BF29">
            <v>54.519137986490833</v>
          </cell>
          <cell r="BG29">
            <v>55.792582868395144</v>
          </cell>
          <cell r="BH29">
            <v>55.857006064474945</v>
          </cell>
          <cell r="BI29">
            <v>56.031128404669261</v>
          </cell>
          <cell r="BJ29" t="e">
            <v>#DIV/0!</v>
          </cell>
          <cell r="BK29" t="e">
            <v>#DIV/0!</v>
          </cell>
          <cell r="BL29" t="e">
            <v>#DIV/0!</v>
          </cell>
          <cell r="BM29" t="e">
            <v>#DIV/0!</v>
          </cell>
          <cell r="BN29" t="e">
            <v>#DIV/0!</v>
          </cell>
          <cell r="BO29" t="e">
            <v>#DIV/0!</v>
          </cell>
          <cell r="BP29" t="e">
            <v>#DIV/0!</v>
          </cell>
          <cell r="BQ29" t="e">
            <v>#DIV/0!</v>
          </cell>
          <cell r="BR29" t="e">
            <v>#DIV/0!</v>
          </cell>
          <cell r="BS29" t="e">
            <v>#DIV/0!</v>
          </cell>
          <cell r="BT29" t="e">
            <v>#DIV/0!</v>
          </cell>
          <cell r="BU29" t="e">
            <v>#DIV/0!</v>
          </cell>
          <cell r="BV29" t="e">
            <v>#DIV/0!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4.2941176470588234</v>
          </cell>
          <cell r="CV29">
            <v>25.293103448275865</v>
          </cell>
          <cell r="CW29">
            <v>24.926470588235297</v>
          </cell>
          <cell r="CX29">
            <v>24.999999999999996</v>
          </cell>
          <cell r="CY29">
            <v>25</v>
          </cell>
          <cell r="CZ29">
            <v>25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</row>
        <row r="30"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 t="e">
            <v>#DIV/0!</v>
          </cell>
          <cell r="BK30" t="e">
            <v>#DIV/0!</v>
          </cell>
          <cell r="BL30" t="e">
            <v>#DIV/0!</v>
          </cell>
          <cell r="BM30" t="e">
            <v>#DIV/0!</v>
          </cell>
          <cell r="BN30" t="e">
            <v>#DIV/0!</v>
          </cell>
          <cell r="BO30" t="e">
            <v>#DIV/0!</v>
          </cell>
          <cell r="BP30" t="e">
            <v>#DIV/0!</v>
          </cell>
          <cell r="BQ30" t="e">
            <v>#DIV/0!</v>
          </cell>
          <cell r="BR30" t="e">
            <v>#DIV/0!</v>
          </cell>
          <cell r="BS30" t="e">
            <v>#DIV/0!</v>
          </cell>
          <cell r="BT30" t="e">
            <v>#DIV/0!</v>
          </cell>
          <cell r="BU30" t="e">
            <v>#DIV/0!</v>
          </cell>
          <cell r="BV30" t="e">
            <v>#DIV/0!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</row>
        <row r="31"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 t="e">
            <v>#DIV/0!</v>
          </cell>
          <cell r="BK31" t="e">
            <v>#DIV/0!</v>
          </cell>
          <cell r="BL31" t="e">
            <v>#DIV/0!</v>
          </cell>
          <cell r="BM31" t="e">
            <v>#DIV/0!</v>
          </cell>
          <cell r="BN31" t="e">
            <v>#DIV/0!</v>
          </cell>
          <cell r="BO31" t="e">
            <v>#DIV/0!</v>
          </cell>
          <cell r="BP31" t="e">
            <v>#DIV/0!</v>
          </cell>
          <cell r="BQ31" t="e">
            <v>#DIV/0!</v>
          </cell>
          <cell r="BR31" t="e">
            <v>#DIV/0!</v>
          </cell>
          <cell r="BS31" t="e">
            <v>#DIV/0!</v>
          </cell>
          <cell r="BT31" t="e">
            <v>#DIV/0!</v>
          </cell>
          <cell r="BU31" t="e">
            <v>#DIV/0!</v>
          </cell>
          <cell r="BV31" t="e">
            <v>#DIV/0!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</row>
        <row r="32"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 t="e">
            <v>#DIV/0!</v>
          </cell>
          <cell r="BK32" t="e">
            <v>#DIV/0!</v>
          </cell>
          <cell r="BL32" t="e">
            <v>#DIV/0!</v>
          </cell>
          <cell r="BM32" t="e">
            <v>#DIV/0!</v>
          </cell>
          <cell r="BN32" t="e">
            <v>#DIV/0!</v>
          </cell>
          <cell r="BO32" t="e">
            <v>#DIV/0!</v>
          </cell>
          <cell r="BP32" t="e">
            <v>#DIV/0!</v>
          </cell>
          <cell r="BQ32" t="e">
            <v>#DIV/0!</v>
          </cell>
          <cell r="BR32" t="e">
            <v>#DIV/0!</v>
          </cell>
          <cell r="BS32" t="e">
            <v>#DIV/0!</v>
          </cell>
          <cell r="BT32" t="e">
            <v>#DIV/0!</v>
          </cell>
          <cell r="BU32" t="e">
            <v>#DIV/0!</v>
          </cell>
          <cell r="BV32" t="e">
            <v>#DIV/0!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</row>
        <row r="33">
          <cell r="AR33">
            <v>626.69270833333326</v>
          </cell>
          <cell r="AS33">
            <v>646.97941275734058</v>
          </cell>
          <cell r="AT33">
            <v>639.49952486537848</v>
          </cell>
          <cell r="AU33">
            <v>631.45315487571702</v>
          </cell>
          <cell r="AV33">
            <v>645.54838709677415</v>
          </cell>
          <cell r="AW33">
            <v>680.74369189907031</v>
          </cell>
          <cell r="AX33">
            <v>708.80000000000007</v>
          </cell>
          <cell r="AY33">
            <v>683.07386551838351</v>
          </cell>
          <cell r="AZ33">
            <v>662.60462002008694</v>
          </cell>
          <cell r="BA33">
            <v>623.26322498406626</v>
          </cell>
          <cell r="BB33">
            <v>631.74549166383122</v>
          </cell>
          <cell r="BC33">
            <v>597.34739533397249</v>
          </cell>
          <cell r="BD33">
            <v>691.60714285714289</v>
          </cell>
          <cell r="BE33">
            <v>664.14078674948246</v>
          </cell>
          <cell r="BF33">
            <v>601.31875201029266</v>
          </cell>
          <cell r="BG33">
            <v>605.77617328519852</v>
          </cell>
          <cell r="BH33">
            <v>608.29875518672202</v>
          </cell>
          <cell r="BI33">
            <v>610.08560311284054</v>
          </cell>
          <cell r="BJ33" t="e">
            <v>#DIV/0!</v>
          </cell>
          <cell r="BK33" t="e">
            <v>#DIV/0!</v>
          </cell>
          <cell r="BL33" t="e">
            <v>#DIV/0!</v>
          </cell>
          <cell r="BM33" t="e">
            <v>#DIV/0!</v>
          </cell>
          <cell r="BN33" t="e">
            <v>#DIV/0!</v>
          </cell>
          <cell r="BO33" t="e">
            <v>#DIV/0!</v>
          </cell>
          <cell r="BP33" t="e">
            <v>#DIV/0!</v>
          </cell>
          <cell r="BQ33" t="e">
            <v>#DIV/0!</v>
          </cell>
          <cell r="BR33" t="e">
            <v>#DIV/0!</v>
          </cell>
          <cell r="BS33" t="e">
            <v>#DIV/0!</v>
          </cell>
          <cell r="BT33" t="e">
            <v>#DIV/0!</v>
          </cell>
          <cell r="BU33" t="e">
            <v>#DIV/0!</v>
          </cell>
          <cell r="BV33" t="e">
            <v>#DIV/0!</v>
          </cell>
          <cell r="CI33">
            <v>283.11764705882354</v>
          </cell>
          <cell r="CJ33">
            <v>281.91176470588238</v>
          </cell>
          <cell r="CK33">
            <v>288.41428571428571</v>
          </cell>
          <cell r="CL33">
            <v>287.17391304347825</v>
          </cell>
          <cell r="CM33">
            <v>285.8857142857143</v>
          </cell>
          <cell r="CN33">
            <v>297.15942028985506</v>
          </cell>
          <cell r="CO33">
            <v>303.7714285714286</v>
          </cell>
          <cell r="CP33">
            <v>294.60000000000002</v>
          </cell>
          <cell r="CQ33">
            <v>295.40298507462683</v>
          </cell>
          <cell r="CR33">
            <v>279.39999999999998</v>
          </cell>
          <cell r="CS33">
            <v>273.04411764705878</v>
          </cell>
          <cell r="CT33">
            <v>267.01428571428573</v>
          </cell>
          <cell r="CU33">
            <v>277.76470588235293</v>
          </cell>
          <cell r="CV33">
            <v>232.18965517241381</v>
          </cell>
          <cell r="CW33">
            <v>229.9264705882353</v>
          </cell>
          <cell r="CX33">
            <v>226.47058823529409</v>
          </cell>
          <cell r="CY33">
            <v>225.81428571428572</v>
          </cell>
          <cell r="CZ33">
            <v>227.20833333333331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</row>
        <row r="35">
          <cell r="AR35">
            <v>0</v>
          </cell>
          <cell r="AS35">
            <v>0</v>
          </cell>
          <cell r="AT35">
            <v>0</v>
          </cell>
          <cell r="AU35">
            <v>3.2186105799872533</v>
          </cell>
          <cell r="AV35">
            <v>9.258064516129032</v>
          </cell>
          <cell r="AW35">
            <v>7.1713147410358564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 t="e">
            <v>#DIV/0!</v>
          </cell>
          <cell r="BK35" t="e">
            <v>#DIV/0!</v>
          </cell>
          <cell r="BL35" t="e">
            <v>#DIV/0!</v>
          </cell>
          <cell r="BM35" t="e">
            <v>#DIV/0!</v>
          </cell>
          <cell r="BN35" t="e">
            <v>#DIV/0!</v>
          </cell>
          <cell r="BO35" t="e">
            <v>#DIV/0!</v>
          </cell>
          <cell r="BP35" t="e">
            <v>#DIV/0!</v>
          </cell>
          <cell r="BQ35" t="e">
            <v>#DIV/0!</v>
          </cell>
          <cell r="BR35" t="e">
            <v>#DIV/0!</v>
          </cell>
          <cell r="BS35" t="e">
            <v>#DIV/0!</v>
          </cell>
          <cell r="BT35" t="e">
            <v>#DIV/0!</v>
          </cell>
          <cell r="BU35" t="e">
            <v>#DIV/0!</v>
          </cell>
          <cell r="BV35" t="e">
            <v>#DIV/0!</v>
          </cell>
          <cell r="CI35">
            <v>0</v>
          </cell>
          <cell r="CJ35">
            <v>0</v>
          </cell>
          <cell r="CK35">
            <v>0</v>
          </cell>
          <cell r="CL35">
            <v>1.463768115942029</v>
          </cell>
          <cell r="CM35">
            <v>4.0999999999999996</v>
          </cell>
          <cell r="CN35">
            <v>3.1304347826086958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</row>
        <row r="36"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 t="e">
            <v>#DIV/0!</v>
          </cell>
          <cell r="BK36" t="e">
            <v>#DIV/0!</v>
          </cell>
          <cell r="BL36" t="e">
            <v>#DIV/0!</v>
          </cell>
          <cell r="BM36" t="e">
            <v>#DIV/0!</v>
          </cell>
          <cell r="BN36" t="e">
            <v>#DIV/0!</v>
          </cell>
          <cell r="BO36" t="e">
            <v>#DIV/0!</v>
          </cell>
          <cell r="BP36" t="e">
            <v>#DIV/0!</v>
          </cell>
          <cell r="BQ36" t="e">
            <v>#DIV/0!</v>
          </cell>
          <cell r="BR36" t="e">
            <v>#DIV/0!</v>
          </cell>
          <cell r="BS36" t="e">
            <v>#DIV/0!</v>
          </cell>
          <cell r="BT36" t="e">
            <v>#DIV/0!</v>
          </cell>
          <cell r="BU36" t="e">
            <v>#DIV/0!</v>
          </cell>
          <cell r="BV36" t="e">
            <v>#DIV/0!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</row>
        <row r="37">
          <cell r="AR37">
            <v>616.56901041666663</v>
          </cell>
          <cell r="AS37">
            <v>650.65811677354031</v>
          </cell>
          <cell r="AT37">
            <v>636.68039277795378</v>
          </cell>
          <cell r="AU37">
            <v>626.73677501593386</v>
          </cell>
          <cell r="AV37">
            <v>658</v>
          </cell>
          <cell r="AW37">
            <v>667.92828685258951</v>
          </cell>
          <cell r="AX37">
            <v>691.30000000000007</v>
          </cell>
          <cell r="AY37">
            <v>679.03279231533622</v>
          </cell>
          <cell r="AZ37">
            <v>681.98861734181446</v>
          </cell>
          <cell r="BA37">
            <v>677.18291905672402</v>
          </cell>
          <cell r="BB37">
            <v>689.35011908812521</v>
          </cell>
          <cell r="BC37">
            <v>648.83349312879511</v>
          </cell>
          <cell r="BD37">
            <v>704.25</v>
          </cell>
          <cell r="BE37">
            <v>696.48033126294001</v>
          </cell>
          <cell r="BF37">
            <v>634.28755226761018</v>
          </cell>
          <cell r="BG37">
            <v>647.25959960617013</v>
          </cell>
          <cell r="BH37">
            <v>643.02585381423557</v>
          </cell>
          <cell r="BI37">
            <v>643.79766536964974</v>
          </cell>
          <cell r="BJ37" t="e">
            <v>#DIV/0!</v>
          </cell>
          <cell r="BK37" t="e">
            <v>#DIV/0!</v>
          </cell>
          <cell r="BL37" t="e">
            <v>#DIV/0!</v>
          </cell>
          <cell r="BM37" t="e">
            <v>#DIV/0!</v>
          </cell>
          <cell r="BN37" t="e">
            <v>#DIV/0!</v>
          </cell>
          <cell r="BO37" t="e">
            <v>#DIV/0!</v>
          </cell>
          <cell r="BP37" t="e">
            <v>#DIV/0!</v>
          </cell>
          <cell r="BQ37" t="e">
            <v>#DIV/0!</v>
          </cell>
          <cell r="BR37" t="e">
            <v>#DIV/0!</v>
          </cell>
          <cell r="BS37" t="e">
            <v>#DIV/0!</v>
          </cell>
          <cell r="BT37" t="e">
            <v>#DIV/0!</v>
          </cell>
          <cell r="BU37" t="e">
            <v>#DIV/0!</v>
          </cell>
          <cell r="BV37" t="e">
            <v>#DIV/0!</v>
          </cell>
          <cell r="CI37">
            <v>278.54411764705884</v>
          </cell>
          <cell r="CJ37">
            <v>283.51470588235293</v>
          </cell>
          <cell r="CK37">
            <v>287.14285714285717</v>
          </cell>
          <cell r="CL37">
            <v>285.02898550724643</v>
          </cell>
          <cell r="CM37">
            <v>291.39999999999998</v>
          </cell>
          <cell r="CN37">
            <v>291.56521739130432</v>
          </cell>
          <cell r="CO37">
            <v>296.2714285714286</v>
          </cell>
          <cell r="CP37">
            <v>292.85714285714289</v>
          </cell>
          <cell r="CQ37">
            <v>304.04477611940297</v>
          </cell>
          <cell r="CR37">
            <v>303.57142857142856</v>
          </cell>
          <cell r="CS37">
            <v>297.94117647058829</v>
          </cell>
          <cell r="CT37">
            <v>290.02857142857141</v>
          </cell>
          <cell r="CU37">
            <v>289.98529411764707</v>
          </cell>
          <cell r="CV37">
            <v>290</v>
          </cell>
          <cell r="CW37">
            <v>290</v>
          </cell>
          <cell r="CX37">
            <v>290.02941176470591</v>
          </cell>
          <cell r="CY37">
            <v>287.8</v>
          </cell>
          <cell r="CZ37">
            <v>287.25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</row>
        <row r="38">
          <cell r="AR38">
            <v>616.56901041666663</v>
          </cell>
          <cell r="AS38">
            <v>650.65811677354031</v>
          </cell>
          <cell r="AT38">
            <v>636.68039277795378</v>
          </cell>
          <cell r="AU38">
            <v>629.95538559592114</v>
          </cell>
          <cell r="AV38">
            <v>667.25806451612902</v>
          </cell>
          <cell r="AW38">
            <v>675.09960159362538</v>
          </cell>
          <cell r="AX38">
            <v>691.30000000000007</v>
          </cell>
          <cell r="AY38">
            <v>679.03279231533622</v>
          </cell>
          <cell r="AZ38">
            <v>681.98861734181446</v>
          </cell>
          <cell r="BA38">
            <v>677.18291905672402</v>
          </cell>
          <cell r="BB38">
            <v>689.35011908812521</v>
          </cell>
          <cell r="BC38">
            <v>648.83349312879511</v>
          </cell>
          <cell r="BD38">
            <v>704.25</v>
          </cell>
          <cell r="BE38">
            <v>696.48033126294001</v>
          </cell>
          <cell r="BF38">
            <v>634.28755226761018</v>
          </cell>
          <cell r="BG38">
            <v>647.25959960617013</v>
          </cell>
          <cell r="BH38">
            <v>643.02585381423557</v>
          </cell>
          <cell r="BI38">
            <v>643.79766536964974</v>
          </cell>
          <cell r="BJ38" t="e">
            <v>#DIV/0!</v>
          </cell>
          <cell r="BK38" t="e">
            <v>#DIV/0!</v>
          </cell>
          <cell r="BL38" t="e">
            <v>#DIV/0!</v>
          </cell>
          <cell r="BM38" t="e">
            <v>#DIV/0!</v>
          </cell>
          <cell r="BN38" t="e">
            <v>#DIV/0!</v>
          </cell>
          <cell r="BO38" t="e">
            <v>#DIV/0!</v>
          </cell>
          <cell r="BP38" t="e">
            <v>#DIV/0!</v>
          </cell>
          <cell r="BQ38" t="e">
            <v>#DIV/0!</v>
          </cell>
          <cell r="BR38" t="e">
            <v>#DIV/0!</v>
          </cell>
          <cell r="BS38" t="e">
            <v>#DIV/0!</v>
          </cell>
          <cell r="BT38" t="e">
            <v>#DIV/0!</v>
          </cell>
          <cell r="BU38" t="e">
            <v>#DIV/0!</v>
          </cell>
          <cell r="BV38" t="e">
            <v>#DIV/0!</v>
          </cell>
          <cell r="CI38">
            <v>278.54411764705884</v>
          </cell>
          <cell r="CJ38">
            <v>283.51470588235293</v>
          </cell>
          <cell r="CK38">
            <v>287.14285714285717</v>
          </cell>
          <cell r="CL38">
            <v>286.49275362318843</v>
          </cell>
          <cell r="CM38">
            <v>295.5</v>
          </cell>
          <cell r="CN38">
            <v>294.695652173913</v>
          </cell>
          <cell r="CO38">
            <v>296.2714285714286</v>
          </cell>
          <cell r="CP38">
            <v>292.85714285714289</v>
          </cell>
          <cell r="CQ38">
            <v>304.04477611940297</v>
          </cell>
          <cell r="CR38">
            <v>303.57142857142856</v>
          </cell>
          <cell r="CS38">
            <v>297.94117647058829</v>
          </cell>
          <cell r="CT38">
            <v>290.02857142857141</v>
          </cell>
          <cell r="CU38">
            <v>289.98529411764707</v>
          </cell>
          <cell r="CV38">
            <v>290</v>
          </cell>
          <cell r="CW38">
            <v>290</v>
          </cell>
          <cell r="CX38">
            <v>290.02941176470591</v>
          </cell>
          <cell r="CY38">
            <v>287.8</v>
          </cell>
          <cell r="CZ38">
            <v>287.25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</row>
      </sheetData>
      <sheetData sheetId="41" refreshError="1"/>
      <sheetData sheetId="42" refreshError="1">
        <row r="1">
          <cell r="AS1" t="str">
            <v>F345992</v>
          </cell>
          <cell r="AT1" t="str">
            <v>F345993</v>
          </cell>
          <cell r="AU1" t="str">
            <v>F345994</v>
          </cell>
          <cell r="AV1" t="str">
            <v>F345995</v>
          </cell>
          <cell r="AW1" t="str">
            <v>F345996</v>
          </cell>
          <cell r="AX1" t="str">
            <v>F345997</v>
          </cell>
          <cell r="AY1" t="str">
            <v>F345998</v>
          </cell>
          <cell r="AZ1" t="str">
            <v>F345999</v>
          </cell>
          <cell r="BA1" t="str">
            <v>F346000</v>
          </cell>
          <cell r="BB1" t="str">
            <v>F346001</v>
          </cell>
          <cell r="BC1" t="str">
            <v>F346002</v>
          </cell>
          <cell r="BD1" t="str">
            <v>F346003</v>
          </cell>
          <cell r="BE1" t="str">
            <v>F346004</v>
          </cell>
          <cell r="BF1" t="str">
            <v>F346005</v>
          </cell>
          <cell r="BG1" t="str">
            <v>F346006</v>
          </cell>
          <cell r="BH1" t="str">
            <v>F346007</v>
          </cell>
          <cell r="BI1" t="str">
            <v>F346008</v>
          </cell>
          <cell r="BJ1" t="str">
            <v>F346009</v>
          </cell>
          <cell r="BK1" t="str">
            <v>F346010</v>
          </cell>
          <cell r="BL1" t="str">
            <v>F346011</v>
          </cell>
          <cell r="BM1" t="str">
            <v>F346012</v>
          </cell>
          <cell r="BN1" t="str">
            <v>F346013</v>
          </cell>
          <cell r="BO1" t="str">
            <v>F346014</v>
          </cell>
          <cell r="BP1" t="str">
            <v>F346015</v>
          </cell>
          <cell r="BQ1" t="str">
            <v>F346016</v>
          </cell>
          <cell r="BR1" t="str">
            <v>F346017</v>
          </cell>
          <cell r="BS1" t="str">
            <v>F346018</v>
          </cell>
          <cell r="BT1" t="str">
            <v>F346019</v>
          </cell>
          <cell r="BU1" t="str">
            <v>F346020</v>
          </cell>
          <cell r="BV1" t="str">
            <v>F346021</v>
          </cell>
          <cell r="BW1" t="str">
            <v>F346022</v>
          </cell>
          <cell r="CK1" t="str">
            <v>F345992</v>
          </cell>
          <cell r="CL1" t="str">
            <v>F345993</v>
          </cell>
          <cell r="CM1" t="str">
            <v>F345994</v>
          </cell>
          <cell r="CN1" t="str">
            <v>F345995</v>
          </cell>
          <cell r="CO1" t="str">
            <v>F345996</v>
          </cell>
          <cell r="CP1" t="str">
            <v>F345997</v>
          </cell>
          <cell r="CQ1" t="str">
            <v>F345998</v>
          </cell>
          <cell r="CR1" t="str">
            <v>F345999</v>
          </cell>
          <cell r="CS1" t="str">
            <v>F346000</v>
          </cell>
          <cell r="CT1" t="str">
            <v>F346001</v>
          </cell>
          <cell r="CU1" t="str">
            <v>F346002</v>
          </cell>
          <cell r="CV1" t="str">
            <v>F346003</v>
          </cell>
          <cell r="CW1" t="str">
            <v>F346004</v>
          </cell>
          <cell r="CX1" t="str">
            <v>F346005</v>
          </cell>
          <cell r="CY1" t="str">
            <v>F346006</v>
          </cell>
          <cell r="CZ1" t="str">
            <v>F346007</v>
          </cell>
          <cell r="DA1" t="str">
            <v>F346008</v>
          </cell>
          <cell r="DB1" t="str">
            <v>F346009</v>
          </cell>
          <cell r="DC1" t="str">
            <v>F346010</v>
          </cell>
          <cell r="DD1" t="str">
            <v>F346011</v>
          </cell>
          <cell r="DE1" t="str">
            <v>F346012</v>
          </cell>
          <cell r="DF1" t="str">
            <v>F346013</v>
          </cell>
          <cell r="DG1" t="str">
            <v>F346014</v>
          </cell>
          <cell r="DH1" t="str">
            <v>F346015</v>
          </cell>
          <cell r="DI1" t="str">
            <v>F346016</v>
          </cell>
          <cell r="DJ1" t="str">
            <v>F346017</v>
          </cell>
          <cell r="DK1" t="str">
            <v>F346018</v>
          </cell>
          <cell r="DL1" t="str">
            <v>F346019</v>
          </cell>
          <cell r="DM1" t="str">
            <v>F346020</v>
          </cell>
          <cell r="DN1" t="str">
            <v>F346021</v>
          </cell>
          <cell r="DO1" t="str">
            <v>F346022</v>
          </cell>
        </row>
        <row r="2">
          <cell r="AR2" t="str">
            <v>Batch</v>
          </cell>
          <cell r="AS2">
            <v>45992</v>
          </cell>
          <cell r="AT2">
            <v>45993</v>
          </cell>
          <cell r="AU2">
            <v>45994</v>
          </cell>
          <cell r="AV2">
            <v>45995</v>
          </cell>
          <cell r="AW2">
            <v>45996</v>
          </cell>
          <cell r="AX2">
            <v>45997</v>
          </cell>
          <cell r="AY2">
            <v>45998</v>
          </cell>
          <cell r="AZ2">
            <v>45999</v>
          </cell>
          <cell r="BA2">
            <v>46000</v>
          </cell>
          <cell r="BB2">
            <v>46001</v>
          </cell>
          <cell r="BC2">
            <v>46002</v>
          </cell>
          <cell r="BD2">
            <v>46003</v>
          </cell>
          <cell r="BE2">
            <v>46004</v>
          </cell>
          <cell r="BF2">
            <v>46005</v>
          </cell>
          <cell r="BG2">
            <v>46006</v>
          </cell>
          <cell r="BH2">
            <v>46007</v>
          </cell>
          <cell r="BI2">
            <v>46008</v>
          </cell>
          <cell r="BJ2">
            <v>46009</v>
          </cell>
          <cell r="BK2">
            <v>46010</v>
          </cell>
          <cell r="BL2">
            <v>46011</v>
          </cell>
          <cell r="BM2">
            <v>46012</v>
          </cell>
          <cell r="BN2">
            <v>46013</v>
          </cell>
          <cell r="BO2">
            <v>46014</v>
          </cell>
          <cell r="BP2">
            <v>46015</v>
          </cell>
          <cell r="BQ2">
            <v>46016</v>
          </cell>
          <cell r="BR2">
            <v>46017</v>
          </cell>
          <cell r="BS2">
            <v>46018</v>
          </cell>
          <cell r="BT2">
            <v>46019</v>
          </cell>
          <cell r="BU2">
            <v>46020</v>
          </cell>
          <cell r="BV2">
            <v>46021</v>
          </cell>
          <cell r="BW2">
            <v>46022</v>
          </cell>
          <cell r="CK2">
            <v>45992</v>
          </cell>
          <cell r="CL2">
            <v>45993</v>
          </cell>
          <cell r="CM2">
            <v>45994</v>
          </cell>
          <cell r="CN2">
            <v>45995</v>
          </cell>
          <cell r="CO2">
            <v>45996</v>
          </cell>
          <cell r="CP2">
            <v>45997</v>
          </cell>
          <cell r="CQ2">
            <v>45998</v>
          </cell>
          <cell r="CR2">
            <v>45999</v>
          </cell>
          <cell r="CS2">
            <v>46000</v>
          </cell>
          <cell r="CT2">
            <v>46001</v>
          </cell>
          <cell r="CU2">
            <v>46002</v>
          </cell>
          <cell r="CV2">
            <v>46003</v>
          </cell>
          <cell r="CW2">
            <v>46004</v>
          </cell>
          <cell r="CX2">
            <v>46005</v>
          </cell>
          <cell r="CY2">
            <v>46006</v>
          </cell>
          <cell r="CZ2">
            <v>46007</v>
          </cell>
          <cell r="DA2">
            <v>46008</v>
          </cell>
          <cell r="DB2">
            <v>46009</v>
          </cell>
          <cell r="DC2">
            <v>46010</v>
          </cell>
          <cell r="DD2">
            <v>46011</v>
          </cell>
          <cell r="DE2">
            <v>46012</v>
          </cell>
          <cell r="DF2">
            <v>46013</v>
          </cell>
          <cell r="DG2">
            <v>46014</v>
          </cell>
          <cell r="DH2">
            <v>46015</v>
          </cell>
          <cell r="DI2">
            <v>46016</v>
          </cell>
          <cell r="DJ2">
            <v>46017</v>
          </cell>
          <cell r="DK2">
            <v>46018</v>
          </cell>
          <cell r="DL2">
            <v>46019</v>
          </cell>
          <cell r="DM2">
            <v>46020</v>
          </cell>
          <cell r="DN2">
            <v>46021</v>
          </cell>
          <cell r="DO2">
            <v>46022</v>
          </cell>
        </row>
        <row r="3">
          <cell r="AR3" t="str">
            <v>19-28</v>
          </cell>
          <cell r="CK3">
            <v>37.305</v>
          </cell>
          <cell r="CL3">
            <v>35.71</v>
          </cell>
          <cell r="CM3">
            <v>38.229999999999997</v>
          </cell>
          <cell r="CN3">
            <v>36.589999999999996</v>
          </cell>
          <cell r="CO3">
            <v>37.410000000000004</v>
          </cell>
          <cell r="CP3">
            <v>37.68</v>
          </cell>
          <cell r="CQ3">
            <v>36.97</v>
          </cell>
          <cell r="CR3">
            <v>37.139999999999993</v>
          </cell>
          <cell r="CS3">
            <v>36.19</v>
          </cell>
          <cell r="CT3">
            <v>36.959999999999994</v>
          </cell>
          <cell r="CU3">
            <v>38.21</v>
          </cell>
          <cell r="CV3">
            <v>37.72</v>
          </cell>
          <cell r="CW3">
            <v>34.220000000000006</v>
          </cell>
          <cell r="CX3">
            <v>21.61</v>
          </cell>
          <cell r="CY3">
            <v>37.92</v>
          </cell>
          <cell r="CZ3">
            <v>36.42</v>
          </cell>
          <cell r="DA3">
            <v>37.314999999999998</v>
          </cell>
          <cell r="DB3">
            <v>37.82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</row>
        <row r="4">
          <cell r="CK4">
            <v>59.882500000000007</v>
          </cell>
          <cell r="CL4">
            <v>59.482499999999995</v>
          </cell>
          <cell r="CM4">
            <v>59.731250000000003</v>
          </cell>
          <cell r="CN4">
            <v>59.528750000000002</v>
          </cell>
          <cell r="CO4">
            <v>59.886250000000004</v>
          </cell>
          <cell r="CP4">
            <v>59.763750000000009</v>
          </cell>
          <cell r="CQ4">
            <v>59.364999999999995</v>
          </cell>
          <cell r="CR4">
            <v>59.569999999999993</v>
          </cell>
          <cell r="CS4">
            <v>59.764999999999993</v>
          </cell>
          <cell r="CT4">
            <v>59.641249999999999</v>
          </cell>
          <cell r="CU4">
            <v>59.784999999999997</v>
          </cell>
          <cell r="CV4">
            <v>59.742500000000007</v>
          </cell>
          <cell r="CW4">
            <v>59.830375000000004</v>
          </cell>
          <cell r="CX4">
            <v>59.515000000000001</v>
          </cell>
          <cell r="CY4">
            <v>59.796250000000001</v>
          </cell>
          <cell r="CZ4">
            <v>59.341250000000002</v>
          </cell>
          <cell r="DA4">
            <v>58.993750000000006</v>
          </cell>
          <cell r="DB4">
            <v>59.669999999999995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</row>
        <row r="5">
          <cell r="CK5">
            <v>73</v>
          </cell>
          <cell r="CL5">
            <v>70</v>
          </cell>
          <cell r="CM5">
            <v>74</v>
          </cell>
          <cell r="CN5">
            <v>75</v>
          </cell>
          <cell r="CO5">
            <v>72</v>
          </cell>
          <cell r="CP5">
            <v>75</v>
          </cell>
          <cell r="CQ5">
            <v>74</v>
          </cell>
          <cell r="CR5">
            <v>74</v>
          </cell>
          <cell r="CS5">
            <v>74</v>
          </cell>
          <cell r="CT5">
            <v>72</v>
          </cell>
          <cell r="CU5">
            <v>75</v>
          </cell>
          <cell r="CV5">
            <v>74</v>
          </cell>
          <cell r="CW5">
            <v>66</v>
          </cell>
          <cell r="CX5">
            <v>48</v>
          </cell>
          <cell r="CY5">
            <v>72</v>
          </cell>
          <cell r="CZ5">
            <v>68</v>
          </cell>
          <cell r="DA5">
            <v>68</v>
          </cell>
          <cell r="DB5">
            <v>68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</row>
        <row r="6"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e">
            <v>#DIV/0!</v>
          </cell>
          <cell r="BL6" t="e">
            <v>#DIV/0!</v>
          </cell>
          <cell r="BM6" t="e">
            <v>#DIV/0!</v>
          </cell>
          <cell r="BN6" t="e">
            <v>#DIV/0!</v>
          </cell>
          <cell r="BO6" t="e">
            <v>#DIV/0!</v>
          </cell>
          <cell r="BP6" t="e">
            <v>#DIV/0!</v>
          </cell>
          <cell r="BQ6" t="e">
            <v>#DIV/0!</v>
          </cell>
          <cell r="BR6" t="e">
            <v>#DIV/0!</v>
          </cell>
          <cell r="BS6" t="e">
            <v>#DIV/0!</v>
          </cell>
          <cell r="BT6" t="e">
            <v>#DIV/0!</v>
          </cell>
          <cell r="BU6" t="e">
            <v>#DIV/0!</v>
          </cell>
          <cell r="BV6" t="e">
            <v>#DIV/0!</v>
          </cell>
          <cell r="BW6" t="e">
            <v>#DIV/0!</v>
          </cell>
          <cell r="BX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</row>
        <row r="7">
          <cell r="AS7">
            <v>215.78876826162715</v>
          </cell>
          <cell r="AT7">
            <v>216.12993559227107</v>
          </cell>
          <cell r="AU7">
            <v>213.0002615746796</v>
          </cell>
          <cell r="AV7">
            <v>228.66903525553434</v>
          </cell>
          <cell r="AW7">
            <v>222.15985030740444</v>
          </cell>
          <cell r="AX7">
            <v>238.98619957537156</v>
          </cell>
          <cell r="AY7">
            <v>240.22180146064377</v>
          </cell>
          <cell r="AZ7">
            <v>239.44534194938078</v>
          </cell>
          <cell r="BA7">
            <v>245.3716496269688</v>
          </cell>
          <cell r="BB7">
            <v>233.98268398268402</v>
          </cell>
          <cell r="BC7">
            <v>236.09002878827533</v>
          </cell>
          <cell r="BD7">
            <v>209.78260869565219</v>
          </cell>
          <cell r="BE7">
            <v>187.20046756282872</v>
          </cell>
          <cell r="BF7">
            <v>195.60388708931055</v>
          </cell>
          <cell r="BG7">
            <v>227.8217299578059</v>
          </cell>
          <cell r="BH7">
            <v>224.73915431081824</v>
          </cell>
          <cell r="BI7">
            <v>219.64357496985127</v>
          </cell>
          <cell r="BJ7">
            <v>216.20835536753037</v>
          </cell>
          <cell r="BK7" t="e">
            <v>#DIV/0!</v>
          </cell>
          <cell r="BL7" t="e">
            <v>#DIV/0!</v>
          </cell>
          <cell r="BM7" t="e">
            <v>#DIV/0!</v>
          </cell>
          <cell r="BN7" t="e">
            <v>#DIV/0!</v>
          </cell>
          <cell r="BO7" t="e">
            <v>#DIV/0!</v>
          </cell>
          <cell r="BP7" t="e">
            <v>#DIV/0!</v>
          </cell>
          <cell r="BQ7" t="e">
            <v>#DIV/0!</v>
          </cell>
          <cell r="BR7" t="e">
            <v>#DIV/0!</v>
          </cell>
          <cell r="BS7" t="e">
            <v>#DIV/0!</v>
          </cell>
          <cell r="BT7" t="e">
            <v>#DIV/0!</v>
          </cell>
          <cell r="BU7" t="e">
            <v>#DIV/0!</v>
          </cell>
          <cell r="BV7" t="e">
            <v>#DIV/0!</v>
          </cell>
          <cell r="BW7" t="e">
            <v>#DIV/0!</v>
          </cell>
          <cell r="BX7">
            <v>223.60381934850022</v>
          </cell>
          <cell r="CK7">
            <v>110.27397260273973</v>
          </cell>
          <cell r="CL7">
            <v>110.25714285714285</v>
          </cell>
          <cell r="CM7">
            <v>110.04054054054055</v>
          </cell>
          <cell r="CN7">
            <v>111.56</v>
          </cell>
          <cell r="CO7">
            <v>115.43055555555556</v>
          </cell>
          <cell r="CP7">
            <v>120.06666666666668</v>
          </cell>
          <cell r="CQ7">
            <v>120.01351351351352</v>
          </cell>
          <cell r="CR7">
            <v>120.17567567567569</v>
          </cell>
          <cell r="CS7">
            <v>120.00000000000001</v>
          </cell>
          <cell r="CT7">
            <v>120.11111111111111</v>
          </cell>
          <cell r="CU7">
            <v>120.28000000000002</v>
          </cell>
          <cell r="CV7">
            <v>106.93243243243244</v>
          </cell>
          <cell r="CW7">
            <v>97.060606060606062</v>
          </cell>
          <cell r="CX7">
            <v>88.0625</v>
          </cell>
          <cell r="CY7">
            <v>119.9861111111111</v>
          </cell>
          <cell r="CZ7">
            <v>120.36764705882354</v>
          </cell>
          <cell r="DA7">
            <v>120.52941176470588</v>
          </cell>
          <cell r="DB7">
            <v>120.25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</row>
        <row r="8">
          <cell r="AS8">
            <v>903.36416030022792</v>
          </cell>
          <cell r="AT8">
            <v>912.23746849621955</v>
          </cell>
          <cell r="AU8">
            <v>900.88935391054156</v>
          </cell>
          <cell r="AV8">
            <v>953.75785733807072</v>
          </cell>
          <cell r="AW8">
            <v>909.4627105052125</v>
          </cell>
          <cell r="AX8">
            <v>906.26326963906592</v>
          </cell>
          <cell r="AY8">
            <v>904.38193129564524</v>
          </cell>
          <cell r="AZ8">
            <v>907.02746365105008</v>
          </cell>
          <cell r="BA8">
            <v>930.89251174357571</v>
          </cell>
          <cell r="BB8">
            <v>886.5800865800868</v>
          </cell>
          <cell r="BC8">
            <v>893.32635435749808</v>
          </cell>
          <cell r="BD8">
            <v>892.8950159066809</v>
          </cell>
          <cell r="BE8">
            <v>852.3962594973699</v>
          </cell>
          <cell r="BF8">
            <v>1011.8926422952337</v>
          </cell>
          <cell r="BG8">
            <v>863.7658227848101</v>
          </cell>
          <cell r="BH8">
            <v>849.78034047226799</v>
          </cell>
          <cell r="BI8">
            <v>837.27723435615712</v>
          </cell>
          <cell r="BJ8">
            <v>828.2919090428345</v>
          </cell>
          <cell r="BK8" t="e">
            <v>#DIV/0!</v>
          </cell>
          <cell r="BL8" t="e">
            <v>#DIV/0!</v>
          </cell>
          <cell r="BM8" t="e">
            <v>#DIV/0!</v>
          </cell>
          <cell r="BN8" t="e">
            <v>#DIV/0!</v>
          </cell>
          <cell r="BO8" t="e">
            <v>#DIV/0!</v>
          </cell>
          <cell r="BP8" t="e">
            <v>#DIV/0!</v>
          </cell>
          <cell r="BQ8" t="e">
            <v>#DIV/0!</v>
          </cell>
          <cell r="BR8" t="e">
            <v>#DIV/0!</v>
          </cell>
          <cell r="BS8" t="e">
            <v>#DIV/0!</v>
          </cell>
          <cell r="BT8" t="e">
            <v>#DIV/0!</v>
          </cell>
          <cell r="BU8" t="e">
            <v>#DIV/0!</v>
          </cell>
          <cell r="BV8" t="e">
            <v>#DIV/0!</v>
          </cell>
          <cell r="BW8" t="e">
            <v>#DIV/0!</v>
          </cell>
          <cell r="BX8">
            <v>894.18040588253371</v>
          </cell>
          <cell r="CK8">
            <v>461.64383561643842</v>
          </cell>
          <cell r="CL8">
            <v>465.37142857142862</v>
          </cell>
          <cell r="CM8">
            <v>465.41891891891896</v>
          </cell>
          <cell r="CN8">
            <v>465.30666666666673</v>
          </cell>
          <cell r="CO8">
            <v>472.54166666666669</v>
          </cell>
          <cell r="CP8">
            <v>455.30666666666667</v>
          </cell>
          <cell r="CQ8">
            <v>451.82432432432432</v>
          </cell>
          <cell r="CR8">
            <v>455.22972972972968</v>
          </cell>
          <cell r="CS8">
            <v>455.25675675675677</v>
          </cell>
          <cell r="CT8">
            <v>455.11111111111114</v>
          </cell>
          <cell r="CU8">
            <v>455.12</v>
          </cell>
          <cell r="CV8">
            <v>455.13513513513516</v>
          </cell>
          <cell r="CW8">
            <v>441.9545454545455</v>
          </cell>
          <cell r="CX8">
            <v>455.56250000000006</v>
          </cell>
          <cell r="CY8">
            <v>454.91666666666663</v>
          </cell>
          <cell r="CZ8">
            <v>455.13235294117646</v>
          </cell>
          <cell r="DA8">
            <v>459.45588235294116</v>
          </cell>
          <cell r="DB8">
            <v>460.6764705882353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AS9">
            <v>411.90188982710089</v>
          </cell>
          <cell r="AT9">
            <v>411.76141136936434</v>
          </cell>
          <cell r="AU9">
            <v>406.82709913680361</v>
          </cell>
          <cell r="AV9">
            <v>430.55479639245698</v>
          </cell>
          <cell r="AW9">
            <v>404.99866345896811</v>
          </cell>
          <cell r="AX9">
            <v>418.15286624203821</v>
          </cell>
          <cell r="AY9">
            <v>418.17690018934275</v>
          </cell>
          <cell r="AZ9">
            <v>418.55142703284878</v>
          </cell>
          <cell r="BA9">
            <v>429.78723404255322</v>
          </cell>
          <cell r="BB9">
            <v>409.11796536796544</v>
          </cell>
          <cell r="BC9">
            <v>412.66684114106255</v>
          </cell>
          <cell r="BD9">
            <v>412.06256627783665</v>
          </cell>
          <cell r="BE9">
            <v>393.89246054938627</v>
          </cell>
          <cell r="BF9">
            <v>474.40999537251275</v>
          </cell>
          <cell r="BG9">
            <v>409.07172995780587</v>
          </cell>
          <cell r="BH9">
            <v>401.29049972542555</v>
          </cell>
          <cell r="BI9">
            <v>392.79110277368352</v>
          </cell>
          <cell r="BJ9">
            <v>386.46218931782124</v>
          </cell>
          <cell r="BK9" t="e">
            <v>#DIV/0!</v>
          </cell>
          <cell r="BL9" t="e">
            <v>#DIV/0!</v>
          </cell>
          <cell r="BM9" t="e">
            <v>#DIV/0!</v>
          </cell>
          <cell r="BN9" t="e">
            <v>#DIV/0!</v>
          </cell>
          <cell r="BO9" t="e">
            <v>#DIV/0!</v>
          </cell>
          <cell r="BP9" t="e">
            <v>#DIV/0!</v>
          </cell>
          <cell r="BQ9" t="e">
            <v>#DIV/0!</v>
          </cell>
          <cell r="BR9" t="e">
            <v>#DIV/0!</v>
          </cell>
          <cell r="BS9" t="e">
            <v>#DIV/0!</v>
          </cell>
          <cell r="BT9" t="e">
            <v>#DIV/0!</v>
          </cell>
          <cell r="BU9" t="e">
            <v>#DIV/0!</v>
          </cell>
          <cell r="BV9" t="e">
            <v>#DIV/0!</v>
          </cell>
          <cell r="BW9" t="e">
            <v>#DIV/0!</v>
          </cell>
          <cell r="BX9">
            <v>412.0321758619632</v>
          </cell>
          <cell r="CK9">
            <v>210.49315068493149</v>
          </cell>
          <cell r="CL9">
            <v>210.05714285714285</v>
          </cell>
          <cell r="CM9">
            <v>210.17567567567568</v>
          </cell>
          <cell r="CN9">
            <v>210.05333333333331</v>
          </cell>
          <cell r="CO9">
            <v>210.43055555555557</v>
          </cell>
          <cell r="CP9">
            <v>210.08</v>
          </cell>
          <cell r="CQ9">
            <v>208.91891891891893</v>
          </cell>
          <cell r="CR9">
            <v>210.06756756756755</v>
          </cell>
          <cell r="CS9">
            <v>210.18918918918919</v>
          </cell>
          <cell r="CT9">
            <v>210.01388888888889</v>
          </cell>
          <cell r="CU9">
            <v>210.24</v>
          </cell>
          <cell r="CV9">
            <v>210.04054054054052</v>
          </cell>
          <cell r="CW9">
            <v>204.22727272727269</v>
          </cell>
          <cell r="CX9">
            <v>213.58333333333334</v>
          </cell>
          <cell r="CY9">
            <v>215.44444444444443</v>
          </cell>
          <cell r="CZ9">
            <v>214.9264705882353</v>
          </cell>
          <cell r="DA9">
            <v>215.54411764705884</v>
          </cell>
          <cell r="DB9">
            <v>214.94117647058823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 t="e">
            <v>#DIV/0!</v>
          </cell>
          <cell r="BL10" t="e">
            <v>#DIV/0!</v>
          </cell>
          <cell r="BM10" t="e">
            <v>#DIV/0!</v>
          </cell>
          <cell r="BN10" t="e">
            <v>#DIV/0!</v>
          </cell>
          <cell r="BO10" t="e">
            <v>#DIV/0!</v>
          </cell>
          <cell r="BP10" t="e">
            <v>#DIV/0!</v>
          </cell>
          <cell r="BQ10" t="e">
            <v>#DIV/0!</v>
          </cell>
          <cell r="BR10" t="e">
            <v>#DIV/0!</v>
          </cell>
          <cell r="BS10" t="e">
            <v>#DIV/0!</v>
          </cell>
          <cell r="BT10" t="e">
            <v>#DIV/0!</v>
          </cell>
          <cell r="BU10" t="e">
            <v>#DIV/0!</v>
          </cell>
          <cell r="BV10" t="e">
            <v>#DIV/0!</v>
          </cell>
          <cell r="BW10" t="e">
            <v>#DIV/0!</v>
          </cell>
          <cell r="BX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 t="e">
            <v>#DIV/0!</v>
          </cell>
          <cell r="BM11" t="e">
            <v>#DIV/0!</v>
          </cell>
          <cell r="BN11" t="e">
            <v>#DIV/0!</v>
          </cell>
          <cell r="BO11" t="e">
            <v>#DIV/0!</v>
          </cell>
          <cell r="BP11" t="e">
            <v>#DIV/0!</v>
          </cell>
          <cell r="BQ11" t="e">
            <v>#DIV/0!</v>
          </cell>
          <cell r="BR11" t="e">
            <v>#DIV/0!</v>
          </cell>
          <cell r="BS11" t="e">
            <v>#DIV/0!</v>
          </cell>
          <cell r="BT11" t="e">
            <v>#DIV/0!</v>
          </cell>
          <cell r="BU11" t="e">
            <v>#DIV/0!</v>
          </cell>
          <cell r="BV11" t="e">
            <v>#DIV/0!</v>
          </cell>
          <cell r="BW11" t="e">
            <v>#DIV/0!</v>
          </cell>
          <cell r="BX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 t="e">
            <v>#DIV/0!</v>
          </cell>
          <cell r="BM12" t="e">
            <v>#DIV/0!</v>
          </cell>
          <cell r="BN12" t="e">
            <v>#DIV/0!</v>
          </cell>
          <cell r="BO12" t="e">
            <v>#DIV/0!</v>
          </cell>
          <cell r="BP12" t="e">
            <v>#DIV/0!</v>
          </cell>
          <cell r="BQ12" t="e">
            <v>#DIV/0!</v>
          </cell>
          <cell r="BR12" t="e">
            <v>#DIV/0!</v>
          </cell>
          <cell r="BS12" t="e">
            <v>#DIV/0!</v>
          </cell>
          <cell r="BT12" t="e">
            <v>#DIV/0!</v>
          </cell>
          <cell r="BU12" t="e">
            <v>#DIV/0!</v>
          </cell>
          <cell r="BV12" t="e">
            <v>#DIV/0!</v>
          </cell>
          <cell r="BW12" t="e">
            <v>#DIV/0!</v>
          </cell>
          <cell r="BX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 t="e">
            <v>#DIV/0!</v>
          </cell>
          <cell r="BM13" t="e">
            <v>#DIV/0!</v>
          </cell>
          <cell r="BN13" t="e">
            <v>#DIV/0!</v>
          </cell>
          <cell r="BO13" t="e">
            <v>#DIV/0!</v>
          </cell>
          <cell r="BP13" t="e">
            <v>#DIV/0!</v>
          </cell>
          <cell r="BQ13" t="e">
            <v>#DIV/0!</v>
          </cell>
          <cell r="BR13" t="e">
            <v>#DIV/0!</v>
          </cell>
          <cell r="BS13" t="e">
            <v>#DIV/0!</v>
          </cell>
          <cell r="BT13" t="e">
            <v>#DIV/0!</v>
          </cell>
          <cell r="BU13" t="e">
            <v>#DIV/0!</v>
          </cell>
          <cell r="BV13" t="e">
            <v>#DIV/0!</v>
          </cell>
          <cell r="BW13" t="e">
            <v>#DIV/0!</v>
          </cell>
          <cell r="BX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 t="e">
            <v>#DIV/0!</v>
          </cell>
          <cell r="BM14" t="e">
            <v>#DIV/0!</v>
          </cell>
          <cell r="BN14" t="e">
            <v>#DIV/0!</v>
          </cell>
          <cell r="BO14" t="e">
            <v>#DIV/0!</v>
          </cell>
          <cell r="BP14" t="e">
            <v>#DIV/0!</v>
          </cell>
          <cell r="BQ14" t="e">
            <v>#DIV/0!</v>
          </cell>
          <cell r="BR14" t="e">
            <v>#DIV/0!</v>
          </cell>
          <cell r="BS14" t="e">
            <v>#DIV/0!</v>
          </cell>
          <cell r="BT14" t="e">
            <v>#DIV/0!</v>
          </cell>
          <cell r="BU14" t="e">
            <v>#DIV/0!</v>
          </cell>
          <cell r="BV14" t="e">
            <v>#DIV/0!</v>
          </cell>
          <cell r="BW14" t="e">
            <v>#DIV/0!</v>
          </cell>
          <cell r="BX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AS15">
            <v>407.37166599651522</v>
          </cell>
          <cell r="AT15">
            <v>392.24306916830017</v>
          </cell>
          <cell r="AU15">
            <v>387.15668323306306</v>
          </cell>
          <cell r="AV15">
            <v>410.27603170265104</v>
          </cell>
          <cell r="AW15">
            <v>373.26917936380642</v>
          </cell>
          <cell r="AX15">
            <v>368.41825902335455</v>
          </cell>
          <cell r="AY15">
            <v>367.5953475791182</v>
          </cell>
          <cell r="AZ15">
            <v>378.1367797522887</v>
          </cell>
          <cell r="BA15">
            <v>392.53937551809889</v>
          </cell>
          <cell r="BB15">
            <v>380.08658008658011</v>
          </cell>
          <cell r="BC15">
            <v>383.19811567652448</v>
          </cell>
          <cell r="BD15">
            <v>382.68822905620362</v>
          </cell>
          <cell r="BE15">
            <v>365.83869082407944</v>
          </cell>
          <cell r="BF15">
            <v>432.76260990282276</v>
          </cell>
          <cell r="BG15">
            <v>370.35864978902953</v>
          </cell>
          <cell r="BH15">
            <v>363.94838001098299</v>
          </cell>
          <cell r="BI15">
            <v>348.4389655634464</v>
          </cell>
          <cell r="BJ15">
            <v>341.96192490745636</v>
          </cell>
          <cell r="BK15" t="e">
            <v>#DIV/0!</v>
          </cell>
          <cell r="BL15" t="e">
            <v>#DIV/0!</v>
          </cell>
          <cell r="BM15" t="e">
            <v>#DIV/0!</v>
          </cell>
          <cell r="BN15" t="e">
            <v>#DIV/0!</v>
          </cell>
          <cell r="BO15" t="e">
            <v>#DIV/0!</v>
          </cell>
          <cell r="BP15" t="e">
            <v>#DIV/0!</v>
          </cell>
          <cell r="BQ15" t="e">
            <v>#DIV/0!</v>
          </cell>
          <cell r="BR15" t="e">
            <v>#DIV/0!</v>
          </cell>
          <cell r="BS15" t="e">
            <v>#DIV/0!</v>
          </cell>
          <cell r="BT15" t="e">
            <v>#DIV/0!</v>
          </cell>
          <cell r="BU15" t="e">
            <v>#DIV/0!</v>
          </cell>
          <cell r="BV15" t="e">
            <v>#DIV/0!</v>
          </cell>
          <cell r="BW15" t="e">
            <v>#DIV/0!</v>
          </cell>
          <cell r="BX15">
            <v>379.06880353688871</v>
          </cell>
          <cell r="CK15">
            <v>208.17808219178079</v>
          </cell>
          <cell r="CL15">
            <v>200.1</v>
          </cell>
          <cell r="CM15">
            <v>200.01351351351352</v>
          </cell>
          <cell r="CN15">
            <v>200.16</v>
          </cell>
          <cell r="CO15">
            <v>193.94444444444446</v>
          </cell>
          <cell r="CP15">
            <v>185.09333333333333</v>
          </cell>
          <cell r="CQ15">
            <v>183.64864864864867</v>
          </cell>
          <cell r="CR15">
            <v>189.7837837837838</v>
          </cell>
          <cell r="CS15">
            <v>191.97297297297297</v>
          </cell>
          <cell r="CT15">
            <v>195.11111111111111</v>
          </cell>
          <cell r="CU15">
            <v>195.22666666666666</v>
          </cell>
          <cell r="CV15">
            <v>195.06756756756758</v>
          </cell>
          <cell r="CW15">
            <v>189.68181818181819</v>
          </cell>
          <cell r="CX15">
            <v>194.83333333333334</v>
          </cell>
          <cell r="CY15">
            <v>195.05555555555557</v>
          </cell>
          <cell r="CZ15">
            <v>194.9264705882353</v>
          </cell>
          <cell r="DA15">
            <v>191.20588235294119</v>
          </cell>
          <cell r="DB15">
            <v>190.19117647058823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 t="e">
            <v>#DIV/0!</v>
          </cell>
          <cell r="BM16" t="e">
            <v>#DIV/0!</v>
          </cell>
          <cell r="BN16" t="e">
            <v>#DIV/0!</v>
          </cell>
          <cell r="BO16" t="e">
            <v>#DIV/0!</v>
          </cell>
          <cell r="BP16" t="e">
            <v>#DIV/0!</v>
          </cell>
          <cell r="BQ16" t="e">
            <v>#DIV/0!</v>
          </cell>
          <cell r="BR16" t="e">
            <v>#DIV/0!</v>
          </cell>
          <cell r="BS16" t="e">
            <v>#DIV/0!</v>
          </cell>
          <cell r="BT16" t="e">
            <v>#DIV/0!</v>
          </cell>
          <cell r="BU16" t="e">
            <v>#DIV/0!</v>
          </cell>
          <cell r="BV16" t="e">
            <v>#DIV/0!</v>
          </cell>
          <cell r="BW16" t="e">
            <v>#DIV/0!</v>
          </cell>
          <cell r="BX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 t="e">
            <v>#DIV/0!</v>
          </cell>
          <cell r="BM17" t="e">
            <v>#DIV/0!</v>
          </cell>
          <cell r="BN17" t="e">
            <v>#DIV/0!</v>
          </cell>
          <cell r="BO17" t="e">
            <v>#DIV/0!</v>
          </cell>
          <cell r="BP17" t="e">
            <v>#DIV/0!</v>
          </cell>
          <cell r="BQ17" t="e">
            <v>#DIV/0!</v>
          </cell>
          <cell r="BR17" t="e">
            <v>#DIV/0!</v>
          </cell>
          <cell r="BS17" t="e">
            <v>#DIV/0!</v>
          </cell>
          <cell r="BT17" t="e">
            <v>#DIV/0!</v>
          </cell>
          <cell r="BU17" t="e">
            <v>#DIV/0!</v>
          </cell>
          <cell r="BV17" t="e">
            <v>#DIV/0!</v>
          </cell>
          <cell r="BW17" t="e">
            <v>#DIV/0!</v>
          </cell>
          <cell r="BX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AS18">
            <v>334.91489076531292</v>
          </cell>
          <cell r="AT18">
            <v>332.76393167180055</v>
          </cell>
          <cell r="AU18">
            <v>329.4794663876537</v>
          </cell>
          <cell r="AV18">
            <v>353.48455862257447</v>
          </cell>
          <cell r="AW18">
            <v>340.57738572574175</v>
          </cell>
          <cell r="AX18">
            <v>388.72080679405519</v>
          </cell>
          <cell r="AY18">
            <v>391.47957803624558</v>
          </cell>
          <cell r="AZ18">
            <v>389.09531502423272</v>
          </cell>
          <cell r="BA18">
            <v>400.13815971262784</v>
          </cell>
          <cell r="BB18">
            <v>341.93722943722946</v>
          </cell>
          <cell r="BC18">
            <v>383.74771002355408</v>
          </cell>
          <cell r="BD18">
            <v>383.03287380699896</v>
          </cell>
          <cell r="BE18">
            <v>371.71244886031559</v>
          </cell>
          <cell r="BF18">
            <v>432.06848681166127</v>
          </cell>
          <cell r="BG18">
            <v>372.25738396624467</v>
          </cell>
          <cell r="BH18">
            <v>362.41076331685883</v>
          </cell>
          <cell r="BI18">
            <v>364.41109473402122</v>
          </cell>
          <cell r="BJ18">
            <v>362.95610787942888</v>
          </cell>
          <cell r="BK18" t="e">
            <v>#DIV/0!</v>
          </cell>
          <cell r="BL18" t="e">
            <v>#DIV/0!</v>
          </cell>
          <cell r="BM18" t="e">
            <v>#DIV/0!</v>
          </cell>
          <cell r="BN18" t="e">
            <v>#DIV/0!</v>
          </cell>
          <cell r="BO18" t="e">
            <v>#DIV/0!</v>
          </cell>
          <cell r="BP18" t="e">
            <v>#DIV/0!</v>
          </cell>
          <cell r="BQ18" t="e">
            <v>#DIV/0!</v>
          </cell>
          <cell r="BR18" t="e">
            <v>#DIV/0!</v>
          </cell>
          <cell r="BS18" t="e">
            <v>#DIV/0!</v>
          </cell>
          <cell r="BT18" t="e">
            <v>#DIV/0!</v>
          </cell>
          <cell r="BU18" t="e">
            <v>#DIV/0!</v>
          </cell>
          <cell r="BV18" t="e">
            <v>#DIV/0!</v>
          </cell>
          <cell r="BW18" t="e">
            <v>#DIV/0!</v>
          </cell>
          <cell r="BX18">
            <v>367.11491817874804</v>
          </cell>
          <cell r="CK18">
            <v>171.15068493150685</v>
          </cell>
          <cell r="CL18">
            <v>169.75714285714287</v>
          </cell>
          <cell r="CM18">
            <v>170.21621621621622</v>
          </cell>
          <cell r="CN18">
            <v>172.45333333333332</v>
          </cell>
          <cell r="CO18">
            <v>176.95833333333331</v>
          </cell>
          <cell r="CP18">
            <v>195.29333333333335</v>
          </cell>
          <cell r="CQ18">
            <v>195.58108108108109</v>
          </cell>
          <cell r="CR18">
            <v>195.2837837837838</v>
          </cell>
          <cell r="CS18">
            <v>195.68918918918916</v>
          </cell>
          <cell r="CT18">
            <v>175.52777777777777</v>
          </cell>
          <cell r="CU18">
            <v>195.50666666666666</v>
          </cell>
          <cell r="CV18">
            <v>195.24324324324323</v>
          </cell>
          <cell r="CW18">
            <v>192.72727272727275</v>
          </cell>
          <cell r="CX18">
            <v>194.52083333333334</v>
          </cell>
          <cell r="CY18">
            <v>196.05555555555554</v>
          </cell>
          <cell r="CZ18">
            <v>194.10294117647058</v>
          </cell>
          <cell r="DA18">
            <v>199.97058823529412</v>
          </cell>
          <cell r="DB18">
            <v>201.86764705882354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 t="e">
            <v>#DIV/0!</v>
          </cell>
          <cell r="BM19" t="e">
            <v>#DIV/0!</v>
          </cell>
          <cell r="BN19" t="e">
            <v>#DIV/0!</v>
          </cell>
          <cell r="BO19" t="e">
            <v>#DIV/0!</v>
          </cell>
          <cell r="BP19" t="e">
            <v>#DIV/0!</v>
          </cell>
          <cell r="BQ19" t="e">
            <v>#DIV/0!</v>
          </cell>
          <cell r="BR19" t="e">
            <v>#DIV/0!</v>
          </cell>
          <cell r="BS19" t="e">
            <v>#DIV/0!</v>
          </cell>
          <cell r="BT19" t="e">
            <v>#DIV/0!</v>
          </cell>
          <cell r="BU19" t="e">
            <v>#DIV/0!</v>
          </cell>
          <cell r="BV19" t="e">
            <v>#DIV/0!</v>
          </cell>
          <cell r="BW19" t="e">
            <v>#DIV/0!</v>
          </cell>
          <cell r="BX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AS20">
            <v>75.807532502345524</v>
          </cell>
          <cell r="AT20">
            <v>49.397927751330158</v>
          </cell>
          <cell r="AU20">
            <v>48.522103060423753</v>
          </cell>
          <cell r="AV20">
            <v>51.270839027056574</v>
          </cell>
          <cell r="AW20">
            <v>48.623362737236029</v>
          </cell>
          <cell r="AX20">
            <v>49.761146496815286</v>
          </cell>
          <cell r="AY20">
            <v>56.478225588314857</v>
          </cell>
          <cell r="AZ20">
            <v>49.703823371028548</v>
          </cell>
          <cell r="BA20">
            <v>51.119093672285167</v>
          </cell>
          <cell r="BB20">
            <v>48.944805194805198</v>
          </cell>
          <cell r="BC20">
            <v>50.091599057838259</v>
          </cell>
          <cell r="BD20">
            <v>49.496288441145282</v>
          </cell>
          <cell r="BE20">
            <v>46.960841613091745</v>
          </cell>
          <cell r="BF20">
            <v>80.379453956501635</v>
          </cell>
          <cell r="BG20">
            <v>76.081223628691973</v>
          </cell>
          <cell r="BH20">
            <v>74.354750137287212</v>
          </cell>
          <cell r="BI20">
            <v>89.240251909419811</v>
          </cell>
          <cell r="BJ20">
            <v>92.570068746694858</v>
          </cell>
          <cell r="BK20" t="e">
            <v>#DIV/0!</v>
          </cell>
          <cell r="BL20" t="e">
            <v>#DIV/0!</v>
          </cell>
          <cell r="BM20" t="e">
            <v>#DIV/0!</v>
          </cell>
          <cell r="BN20" t="e">
            <v>#DIV/0!</v>
          </cell>
          <cell r="BO20" t="e">
            <v>#DIV/0!</v>
          </cell>
          <cell r="BP20" t="e">
            <v>#DIV/0!</v>
          </cell>
          <cell r="BQ20" t="e">
            <v>#DIV/0!</v>
          </cell>
          <cell r="BR20" t="e">
            <v>#DIV/0!</v>
          </cell>
          <cell r="BS20" t="e">
            <v>#DIV/0!</v>
          </cell>
          <cell r="BT20" t="e">
            <v>#DIV/0!</v>
          </cell>
          <cell r="BU20" t="e">
            <v>#DIV/0!</v>
          </cell>
          <cell r="BV20" t="e">
            <v>#DIV/0!</v>
          </cell>
          <cell r="BW20" t="e">
            <v>#DIV/0!</v>
          </cell>
          <cell r="BX20">
            <v>60.113290964354796</v>
          </cell>
          <cell r="CK20">
            <v>38.739726027397261</v>
          </cell>
          <cell r="CL20">
            <v>25.2</v>
          </cell>
          <cell r="CM20">
            <v>25.067567567567568</v>
          </cell>
          <cell r="CN20">
            <v>25.013333333333332</v>
          </cell>
          <cell r="CO20">
            <v>25.263888888888889</v>
          </cell>
          <cell r="CP20">
            <v>25</v>
          </cell>
          <cell r="CQ20">
            <v>28.216216216216218</v>
          </cell>
          <cell r="CR20">
            <v>24.945945945945947</v>
          </cell>
          <cell r="CS20">
            <v>25</v>
          </cell>
          <cell r="CT20">
            <v>25.124999999999996</v>
          </cell>
          <cell r="CU20">
            <v>25.519999999999996</v>
          </cell>
          <cell r="CV20">
            <v>25.22972972972973</v>
          </cell>
          <cell r="CW20">
            <v>24.348484848484848</v>
          </cell>
          <cell r="CX20">
            <v>36.187500000000007</v>
          </cell>
          <cell r="CY20">
            <v>40.069444444444443</v>
          </cell>
          <cell r="CZ20">
            <v>39.82352941176471</v>
          </cell>
          <cell r="DA20">
            <v>48.970588235294123</v>
          </cell>
          <cell r="DB20">
            <v>51.485294117647058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 t="e">
            <v>#DIV/0!</v>
          </cell>
          <cell r="BM21" t="e">
            <v>#DIV/0!</v>
          </cell>
          <cell r="BN21" t="e">
            <v>#DIV/0!</v>
          </cell>
          <cell r="BO21" t="e">
            <v>#DIV/0!</v>
          </cell>
          <cell r="BP21" t="e">
            <v>#DIV/0!</v>
          </cell>
          <cell r="BQ21" t="e">
            <v>#DIV/0!</v>
          </cell>
          <cell r="BR21" t="e">
            <v>#DIV/0!</v>
          </cell>
          <cell r="BS21" t="e">
            <v>#DIV/0!</v>
          </cell>
          <cell r="BT21" t="e">
            <v>#DIV/0!</v>
          </cell>
          <cell r="BU21" t="e">
            <v>#DIV/0!</v>
          </cell>
          <cell r="BV21" t="e">
            <v>#DIV/0!</v>
          </cell>
          <cell r="BW21" t="e">
            <v>#DIV/0!</v>
          </cell>
          <cell r="BX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 t="e">
            <v>#DIV/0!</v>
          </cell>
          <cell r="BM22" t="e">
            <v>#DIV/0!</v>
          </cell>
          <cell r="BN22" t="e">
            <v>#DIV/0!</v>
          </cell>
          <cell r="BO22" t="e">
            <v>#DIV/0!</v>
          </cell>
          <cell r="BP22" t="e">
            <v>#DIV/0!</v>
          </cell>
          <cell r="BQ22" t="e">
            <v>#DIV/0!</v>
          </cell>
          <cell r="BR22" t="e">
            <v>#DIV/0!</v>
          </cell>
          <cell r="BS22" t="e">
            <v>#DIV/0!</v>
          </cell>
          <cell r="BT22" t="e">
            <v>#DIV/0!</v>
          </cell>
          <cell r="BU22" t="e">
            <v>#DIV/0!</v>
          </cell>
          <cell r="BV22" t="e">
            <v>#DIV/0!</v>
          </cell>
          <cell r="BW22" t="e">
            <v>#DIV/0!</v>
          </cell>
          <cell r="BX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AR23">
            <v>0</v>
          </cell>
          <cell r="AS23">
            <v>818.0940892641737</v>
          </cell>
          <cell r="AT23">
            <v>2314.5337440492863</v>
          </cell>
          <cell r="AU23">
            <v>2285.8749673031652</v>
          </cell>
          <cell r="AV23">
            <v>2428.0131183383437</v>
          </cell>
          <cell r="AW23">
            <v>2299.0911520983695</v>
          </cell>
          <cell r="AX23">
            <v>2370.302547770701</v>
          </cell>
          <cell r="AY23">
            <v>2378.3337841493103</v>
          </cell>
          <cell r="AZ23">
            <v>2381.9601507808297</v>
          </cell>
          <cell r="BA23">
            <v>2449.8480243161098</v>
          </cell>
          <cell r="BB23">
            <v>2300.6493506493512</v>
          </cell>
          <cell r="BC23">
            <v>2359.120649044753</v>
          </cell>
          <cell r="BD23">
            <v>2329.9575821845174</v>
          </cell>
          <cell r="BE23">
            <v>2218.001168907072</v>
          </cell>
          <cell r="BF23">
            <v>2627.1170754280429</v>
          </cell>
          <cell r="BG23">
            <v>2319.3565400843881</v>
          </cell>
          <cell r="BH23">
            <v>2276.5238879736407</v>
          </cell>
          <cell r="BI23">
            <v>2251.8022243065793</v>
          </cell>
          <cell r="BJ23">
            <v>2228.4505552617661</v>
          </cell>
          <cell r="BK23" t="e">
            <v>#DIV/0!</v>
          </cell>
          <cell r="BL23" t="e">
            <v>#DIV/0!</v>
          </cell>
          <cell r="BM23" t="e">
            <v>#DIV/0!</v>
          </cell>
          <cell r="BN23" t="e">
            <v>#DIV/0!</v>
          </cell>
          <cell r="BO23" t="e">
            <v>#DIV/0!</v>
          </cell>
          <cell r="BP23" t="e">
            <v>#DIV/0!</v>
          </cell>
          <cell r="BQ23" t="e">
            <v>#DIV/0!</v>
          </cell>
          <cell r="BR23" t="e">
            <v>#DIV/0!</v>
          </cell>
          <cell r="BS23" t="e">
            <v>#DIV/0!</v>
          </cell>
          <cell r="BT23" t="e">
            <v>#DIV/0!</v>
          </cell>
          <cell r="BU23" t="e">
            <v>#DIV/0!</v>
          </cell>
          <cell r="BV23" t="e">
            <v>#DIV/0!</v>
          </cell>
          <cell r="BW23" t="e">
            <v>#DIV/0!</v>
          </cell>
          <cell r="BX23">
            <v>2336.1134137729887</v>
          </cell>
          <cell r="CK23">
            <v>1200.4794520547946</v>
          </cell>
          <cell r="CL23">
            <v>1180.7428571428572</v>
          </cell>
          <cell r="CM23">
            <v>1180.9324324324325</v>
          </cell>
          <cell r="CN23">
            <v>1184.5466666666666</v>
          </cell>
          <cell r="CO23">
            <v>1194.5694444444446</v>
          </cell>
          <cell r="CP23">
            <v>1190.8400000000001</v>
          </cell>
          <cell r="CQ23">
            <v>1188.2027027027027</v>
          </cell>
          <cell r="CR23">
            <v>1195.4864864864865</v>
          </cell>
          <cell r="CS23">
            <v>1198.1081081081081</v>
          </cell>
          <cell r="CT23">
            <v>1181</v>
          </cell>
          <cell r="CU23">
            <v>1201.8933333333334</v>
          </cell>
          <cell r="CV23">
            <v>1187.6486486486488</v>
          </cell>
          <cell r="CW23">
            <v>1150</v>
          </cell>
          <cell r="CX23">
            <v>1182.75</v>
          </cell>
          <cell r="CY23">
            <v>1221.5277777777776</v>
          </cell>
          <cell r="CZ23">
            <v>1219.2794117647059</v>
          </cell>
          <cell r="DA23">
            <v>1235.6764705882354</v>
          </cell>
          <cell r="DB23">
            <v>1239.4117647058827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5"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 t="e">
            <v>#DIV/0!</v>
          </cell>
          <cell r="BM25" t="e">
            <v>#DIV/0!</v>
          </cell>
          <cell r="BN25" t="e">
            <v>#DIV/0!</v>
          </cell>
          <cell r="BO25" t="e">
            <v>#DIV/0!</v>
          </cell>
          <cell r="BP25" t="e">
            <v>#DIV/0!</v>
          </cell>
          <cell r="BQ25" t="e">
            <v>#DIV/0!</v>
          </cell>
          <cell r="BR25" t="e">
            <v>#DIV/0!</v>
          </cell>
          <cell r="BS25" t="e">
            <v>#DIV/0!</v>
          </cell>
          <cell r="BT25" t="e">
            <v>#DIV/0!</v>
          </cell>
          <cell r="BU25" t="e">
            <v>#DIV/0!</v>
          </cell>
          <cell r="BV25" t="e">
            <v>#DIV/0!</v>
          </cell>
          <cell r="BW25" t="e">
            <v>#DIV/0!</v>
          </cell>
          <cell r="BX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AS26">
            <v>362.31068221418042</v>
          </cell>
          <cell r="AT26">
            <v>359.05908709045082</v>
          </cell>
          <cell r="AU26">
            <v>354.77373790217109</v>
          </cell>
          <cell r="AV26">
            <v>378.27275211806506</v>
          </cell>
          <cell r="AW26">
            <v>360.99973269179367</v>
          </cell>
          <cell r="AX26">
            <v>371.04564755838641</v>
          </cell>
          <cell r="AY26">
            <v>406.1401136056262</v>
          </cell>
          <cell r="AZ26">
            <v>406.83898761443191</v>
          </cell>
          <cell r="BA26">
            <v>420.11605415860743</v>
          </cell>
          <cell r="BB26">
            <v>413.6904761904762</v>
          </cell>
          <cell r="BC26">
            <v>429.39021198639097</v>
          </cell>
          <cell r="BD26">
            <v>436.797454931071</v>
          </cell>
          <cell r="BE26">
            <v>418.4979544126241</v>
          </cell>
          <cell r="BF26">
            <v>490.9763998149005</v>
          </cell>
          <cell r="BG26">
            <v>417.64240506329111</v>
          </cell>
          <cell r="BH26">
            <v>411.33992311916529</v>
          </cell>
          <cell r="BI26">
            <v>402.35830095136004</v>
          </cell>
          <cell r="BJ26">
            <v>396.08672659968272</v>
          </cell>
          <cell r="BK26" t="e">
            <v>#DIV/0!</v>
          </cell>
          <cell r="BL26" t="e">
            <v>#DIV/0!</v>
          </cell>
          <cell r="BM26" t="e">
            <v>#DIV/0!</v>
          </cell>
          <cell r="BN26" t="e">
            <v>#DIV/0!</v>
          </cell>
          <cell r="BO26" t="e">
            <v>#DIV/0!</v>
          </cell>
          <cell r="BP26" t="e">
            <v>#DIV/0!</v>
          </cell>
          <cell r="BQ26" t="e">
            <v>#DIV/0!</v>
          </cell>
          <cell r="BR26" t="e">
            <v>#DIV/0!</v>
          </cell>
          <cell r="BS26" t="e">
            <v>#DIV/0!</v>
          </cell>
          <cell r="BT26" t="e">
            <v>#DIV/0!</v>
          </cell>
          <cell r="BU26" t="e">
            <v>#DIV/0!</v>
          </cell>
          <cell r="BV26" t="e">
            <v>#DIV/0!</v>
          </cell>
          <cell r="BW26" t="e">
            <v>#DIV/0!</v>
          </cell>
          <cell r="BX26">
            <v>399.85416474778179</v>
          </cell>
          <cell r="CK26">
            <v>185.15068493150685</v>
          </cell>
          <cell r="CL26">
            <v>183.17142857142858</v>
          </cell>
          <cell r="CM26">
            <v>183.2837837837838</v>
          </cell>
          <cell r="CN26">
            <v>184.54666666666665</v>
          </cell>
          <cell r="CO26">
            <v>187.56944444444446</v>
          </cell>
          <cell r="CP26">
            <v>186.41333333333333</v>
          </cell>
          <cell r="CQ26">
            <v>202.90540540540542</v>
          </cell>
          <cell r="CR26">
            <v>204.18918918918919</v>
          </cell>
          <cell r="CS26">
            <v>205.45945945945948</v>
          </cell>
          <cell r="CT26">
            <v>212.36111111111111</v>
          </cell>
          <cell r="CU26">
            <v>218.76000000000002</v>
          </cell>
          <cell r="CV26">
            <v>222.64864864864865</v>
          </cell>
          <cell r="CW26">
            <v>216.98484848484847</v>
          </cell>
          <cell r="CX26">
            <v>221.04166666666666</v>
          </cell>
          <cell r="CY26">
            <v>219.95833333333334</v>
          </cell>
          <cell r="CZ26">
            <v>220.30882352941174</v>
          </cell>
          <cell r="DA26">
            <v>220.79411764705881</v>
          </cell>
          <cell r="DB26">
            <v>220.29411764705884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AS27">
            <v>172.25572979493367</v>
          </cell>
          <cell r="AT27">
            <v>147.07364883786053</v>
          </cell>
          <cell r="AU27">
            <v>154.87836777399949</v>
          </cell>
          <cell r="AV27">
            <v>163.67860071057666</v>
          </cell>
          <cell r="AW27">
            <v>147.55412991178827</v>
          </cell>
          <cell r="AX27">
            <v>153.23779193205945</v>
          </cell>
          <cell r="AY27">
            <v>154.26021098187721</v>
          </cell>
          <cell r="AZ27">
            <v>153.52719439956923</v>
          </cell>
          <cell r="BA27">
            <v>158.93893340701851</v>
          </cell>
          <cell r="BB27">
            <v>147.32142857142861</v>
          </cell>
          <cell r="BC27">
            <v>137.68646951059932</v>
          </cell>
          <cell r="BD27">
            <v>130.54082714740193</v>
          </cell>
          <cell r="BE27">
            <v>120.13442431326708</v>
          </cell>
          <cell r="BF27">
            <v>144.84035168903287</v>
          </cell>
          <cell r="BG27">
            <v>127.55801687763713</v>
          </cell>
          <cell r="BH27">
            <v>130.91707852828117</v>
          </cell>
          <cell r="BI27">
            <v>131.63607128500604</v>
          </cell>
          <cell r="BJ27">
            <v>126.4145954521417</v>
          </cell>
          <cell r="BK27" t="e">
            <v>#DIV/0!</v>
          </cell>
          <cell r="BL27" t="e">
            <v>#DIV/0!</v>
          </cell>
          <cell r="BM27" t="e">
            <v>#DIV/0!</v>
          </cell>
          <cell r="BN27" t="e">
            <v>#DIV/0!</v>
          </cell>
          <cell r="BO27" t="e">
            <v>#DIV/0!</v>
          </cell>
          <cell r="BP27" t="e">
            <v>#DIV/0!</v>
          </cell>
          <cell r="BQ27" t="e">
            <v>#DIV/0!</v>
          </cell>
          <cell r="BR27" t="e">
            <v>#DIV/0!</v>
          </cell>
          <cell r="BS27" t="e">
            <v>#DIV/0!</v>
          </cell>
          <cell r="BT27" t="e">
            <v>#DIV/0!</v>
          </cell>
          <cell r="BU27" t="e">
            <v>#DIV/0!</v>
          </cell>
          <cell r="BV27" t="e">
            <v>#DIV/0!</v>
          </cell>
          <cell r="BW27" t="e">
            <v>#DIV/0!</v>
          </cell>
          <cell r="BX27">
            <v>144.61944674710637</v>
          </cell>
          <cell r="CK27">
            <v>88.027397260273972</v>
          </cell>
          <cell r="CL27">
            <v>75.028571428571425</v>
          </cell>
          <cell r="CM27">
            <v>80.013513513513516</v>
          </cell>
          <cell r="CN27">
            <v>79.853333333333325</v>
          </cell>
          <cell r="CO27">
            <v>76.666666666666657</v>
          </cell>
          <cell r="CP27">
            <v>76.986666666666665</v>
          </cell>
          <cell r="CQ27">
            <v>77.067567567567565</v>
          </cell>
          <cell r="CR27">
            <v>77.054054054054049</v>
          </cell>
          <cell r="CS27">
            <v>77.729729729729726</v>
          </cell>
          <cell r="CT27">
            <v>75.625</v>
          </cell>
          <cell r="CU27">
            <v>70.146666666666661</v>
          </cell>
          <cell r="CV27">
            <v>66.540540540540547</v>
          </cell>
          <cell r="CW27">
            <v>62.287878787878782</v>
          </cell>
          <cell r="CX27">
            <v>65.208333333333329</v>
          </cell>
          <cell r="CY27">
            <v>67.180555555555543</v>
          </cell>
          <cell r="CZ27">
            <v>70.117647058823522</v>
          </cell>
          <cell r="DA27">
            <v>72.235294117647058</v>
          </cell>
          <cell r="DB27">
            <v>70.308823529411754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 t="e">
            <v>#DIV/0!</v>
          </cell>
          <cell r="BM28" t="e">
            <v>#DIV/0!</v>
          </cell>
          <cell r="BN28" t="e">
            <v>#DIV/0!</v>
          </cell>
          <cell r="BO28" t="e">
            <v>#DIV/0!</v>
          </cell>
          <cell r="BP28" t="e">
            <v>#DIV/0!</v>
          </cell>
          <cell r="BQ28" t="e">
            <v>#DIV/0!</v>
          </cell>
          <cell r="BR28" t="e">
            <v>#DIV/0!</v>
          </cell>
          <cell r="BS28" t="e">
            <v>#DIV/0!</v>
          </cell>
          <cell r="BT28" t="e">
            <v>#DIV/0!</v>
          </cell>
          <cell r="BU28" t="e">
            <v>#DIV/0!</v>
          </cell>
          <cell r="BV28" t="e">
            <v>#DIV/0!</v>
          </cell>
          <cell r="BW28" t="e">
            <v>#DIV/0!</v>
          </cell>
          <cell r="BX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AS29">
            <v>137.46146629138187</v>
          </cell>
          <cell r="AT29">
            <v>142.42509101092134</v>
          </cell>
          <cell r="AU29">
            <v>129.29636411195398</v>
          </cell>
          <cell r="AV29">
            <v>133.6157420060126</v>
          </cell>
          <cell r="AW29">
            <v>125.12697139802189</v>
          </cell>
          <cell r="AX29">
            <v>127.12314225053079</v>
          </cell>
          <cell r="AY29">
            <v>126.10224506356505</v>
          </cell>
          <cell r="AZ29">
            <v>128.72913301023155</v>
          </cell>
          <cell r="BA29">
            <v>132.96490743299256</v>
          </cell>
          <cell r="BB29">
            <v>131.79112554112558</v>
          </cell>
          <cell r="BC29">
            <v>131.7717874901858</v>
          </cell>
          <cell r="BD29">
            <v>127.54506892895014</v>
          </cell>
          <cell r="BE29">
            <v>136.32378725891289</v>
          </cell>
          <cell r="BF29">
            <v>177.64923646459974</v>
          </cell>
          <cell r="BG29">
            <v>124.49894514767932</v>
          </cell>
          <cell r="BH29">
            <v>112.10873146622735</v>
          </cell>
          <cell r="BI29">
            <v>109.39300549376927</v>
          </cell>
          <cell r="BJ29">
            <v>107.98519301956635</v>
          </cell>
          <cell r="BK29" t="e">
            <v>#DIV/0!</v>
          </cell>
          <cell r="BL29" t="e">
            <v>#DIV/0!</v>
          </cell>
          <cell r="BM29" t="e">
            <v>#DIV/0!</v>
          </cell>
          <cell r="BN29" t="e">
            <v>#DIV/0!</v>
          </cell>
          <cell r="BO29" t="e">
            <v>#DIV/0!</v>
          </cell>
          <cell r="BP29" t="e">
            <v>#DIV/0!</v>
          </cell>
          <cell r="BQ29" t="e">
            <v>#DIV/0!</v>
          </cell>
          <cell r="BR29" t="e">
            <v>#DIV/0!</v>
          </cell>
          <cell r="BS29" t="e">
            <v>#DIV/0!</v>
          </cell>
          <cell r="BT29" t="e">
            <v>#DIV/0!</v>
          </cell>
          <cell r="BU29" t="e">
            <v>#DIV/0!</v>
          </cell>
          <cell r="BV29" t="e">
            <v>#DIV/0!</v>
          </cell>
          <cell r="BW29" t="e">
            <v>#DIV/0!</v>
          </cell>
          <cell r="BX29">
            <v>128.8922661263087</v>
          </cell>
          <cell r="CK29">
            <v>70.246575342465761</v>
          </cell>
          <cell r="CL29">
            <v>72.657142857142858</v>
          </cell>
          <cell r="CM29">
            <v>66.797297297297291</v>
          </cell>
          <cell r="CN29">
            <v>65.186666666666667</v>
          </cell>
          <cell r="CO29">
            <v>65.013888888888886</v>
          </cell>
          <cell r="CP29">
            <v>63.866666666666667</v>
          </cell>
          <cell r="CQ29">
            <v>63</v>
          </cell>
          <cell r="CR29">
            <v>64.608108108108098</v>
          </cell>
          <cell r="CS29">
            <v>65.027027027027032</v>
          </cell>
          <cell r="CT29">
            <v>67.652777777777786</v>
          </cell>
          <cell r="CU29">
            <v>67.13333333333334</v>
          </cell>
          <cell r="CV29">
            <v>65.013513513513516</v>
          </cell>
          <cell r="CW29">
            <v>70.681818181818173</v>
          </cell>
          <cell r="CX29">
            <v>79.979166666666671</v>
          </cell>
          <cell r="CY29">
            <v>65.569444444444443</v>
          </cell>
          <cell r="CZ29">
            <v>60.044117647058826</v>
          </cell>
          <cell r="DA29">
            <v>60.029411764705877</v>
          </cell>
          <cell r="DB29">
            <v>60.058823529411761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AR30">
            <v>340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 t="e">
            <v>#DIV/0!</v>
          </cell>
          <cell r="BM30" t="e">
            <v>#DIV/0!</v>
          </cell>
          <cell r="BN30" t="e">
            <v>#DIV/0!</v>
          </cell>
          <cell r="BO30" t="e">
            <v>#DIV/0!</v>
          </cell>
          <cell r="BP30" t="e">
            <v>#DIV/0!</v>
          </cell>
          <cell r="BQ30" t="e">
            <v>#DIV/0!</v>
          </cell>
          <cell r="BR30" t="e">
            <v>#DIV/0!</v>
          </cell>
          <cell r="BS30" t="e">
            <v>#DIV/0!</v>
          </cell>
          <cell r="BT30" t="e">
            <v>#DIV/0!</v>
          </cell>
          <cell r="BU30" t="e">
            <v>#DIV/0!</v>
          </cell>
          <cell r="BV30" t="e">
            <v>#DIV/0!</v>
          </cell>
          <cell r="BW30" t="e">
            <v>#DIV/0!</v>
          </cell>
          <cell r="BX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 t="e">
            <v>#DIV/0!</v>
          </cell>
          <cell r="BM31" t="e">
            <v>#DIV/0!</v>
          </cell>
          <cell r="BN31" t="e">
            <v>#DIV/0!</v>
          </cell>
          <cell r="BO31" t="e">
            <v>#DIV/0!</v>
          </cell>
          <cell r="BP31" t="e">
            <v>#DIV/0!</v>
          </cell>
          <cell r="BQ31" t="e">
            <v>#DIV/0!</v>
          </cell>
          <cell r="BR31" t="e">
            <v>#DIV/0!</v>
          </cell>
          <cell r="BS31" t="e">
            <v>#DIV/0!</v>
          </cell>
          <cell r="BT31" t="e">
            <v>#DIV/0!</v>
          </cell>
          <cell r="BU31" t="e">
            <v>#DIV/0!</v>
          </cell>
          <cell r="BV31" t="e">
            <v>#DIV/0!</v>
          </cell>
          <cell r="BW31" t="e">
            <v>#DIV/0!</v>
          </cell>
          <cell r="BX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AR32">
            <v>160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 t="e">
            <v>#DIV/0!</v>
          </cell>
          <cell r="BM32" t="e">
            <v>#DIV/0!</v>
          </cell>
          <cell r="BN32" t="e">
            <v>#DIV/0!</v>
          </cell>
          <cell r="BO32" t="e">
            <v>#DIV/0!</v>
          </cell>
          <cell r="BP32" t="e">
            <v>#DIV/0!</v>
          </cell>
          <cell r="BQ32" t="e">
            <v>#DIV/0!</v>
          </cell>
          <cell r="BR32" t="e">
            <v>#DIV/0!</v>
          </cell>
          <cell r="BS32" t="e">
            <v>#DIV/0!</v>
          </cell>
          <cell r="BT32" t="e">
            <v>#DIV/0!</v>
          </cell>
          <cell r="BU32" t="e">
            <v>#DIV/0!</v>
          </cell>
          <cell r="BV32" t="e">
            <v>#DIV/0!</v>
          </cell>
          <cell r="BW32" t="e">
            <v>#DIV/0!</v>
          </cell>
          <cell r="BX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AR33">
            <v>500</v>
          </cell>
          <cell r="AS33">
            <v>672.0278783004959</v>
          </cell>
          <cell r="AT33">
            <v>648.55782693923265</v>
          </cell>
          <cell r="AU33">
            <v>638.9484697881245</v>
          </cell>
          <cell r="AV33">
            <v>675.56709483465431</v>
          </cell>
          <cell r="AW33">
            <v>633.68083400160378</v>
          </cell>
          <cell r="AX33">
            <v>651.40658174097666</v>
          </cell>
          <cell r="AY33">
            <v>686.50256965106848</v>
          </cell>
          <cell r="AZ33">
            <v>689.09531502423272</v>
          </cell>
          <cell r="BA33">
            <v>712.01989499861838</v>
          </cell>
          <cell r="BB33">
            <v>692.80303030303037</v>
          </cell>
          <cell r="BC33">
            <v>698.84846898717615</v>
          </cell>
          <cell r="BD33">
            <v>694.88335100742313</v>
          </cell>
          <cell r="BE33">
            <v>674.9561659848041</v>
          </cell>
          <cell r="BF33">
            <v>813.46598796853311</v>
          </cell>
          <cell r="BG33">
            <v>669.69936708860757</v>
          </cell>
          <cell r="BH33">
            <v>654.36573311367385</v>
          </cell>
          <cell r="BI33">
            <v>643.38737773013531</v>
          </cell>
          <cell r="BJ33">
            <v>630.48651507139084</v>
          </cell>
          <cell r="BK33" t="e">
            <v>#DIV/0!</v>
          </cell>
          <cell r="BL33" t="e">
            <v>#DIV/0!</v>
          </cell>
          <cell r="BM33" t="e">
            <v>#DIV/0!</v>
          </cell>
          <cell r="BN33" t="e">
            <v>#DIV/0!</v>
          </cell>
          <cell r="BO33" t="e">
            <v>#DIV/0!</v>
          </cell>
          <cell r="BP33" t="e">
            <v>#DIV/0!</v>
          </cell>
          <cell r="BQ33" t="e">
            <v>#DIV/0!</v>
          </cell>
          <cell r="BR33" t="e">
            <v>#DIV/0!</v>
          </cell>
          <cell r="BS33" t="e">
            <v>#DIV/0!</v>
          </cell>
          <cell r="BT33" t="e">
            <v>#DIV/0!</v>
          </cell>
          <cell r="BU33" t="e">
            <v>#DIV/0!</v>
          </cell>
          <cell r="BV33" t="e">
            <v>#DIV/0!</v>
          </cell>
          <cell r="BW33" t="e">
            <v>#DIV/0!</v>
          </cell>
          <cell r="BX33">
            <v>673.36587762119689</v>
          </cell>
          <cell r="CK33">
            <v>158.27397260273972</v>
          </cell>
          <cell r="CL33">
            <v>147.68571428571428</v>
          </cell>
          <cell r="CM33">
            <v>146.81081081081081</v>
          </cell>
          <cell r="CN33">
            <v>145.04</v>
          </cell>
          <cell r="CO33">
            <v>141.68055555555554</v>
          </cell>
          <cell r="CP33">
            <v>140.85333333333332</v>
          </cell>
          <cell r="CQ33">
            <v>140.06756756756755</v>
          </cell>
          <cell r="CR33">
            <v>141.66216216216213</v>
          </cell>
          <cell r="CS33">
            <v>142.75675675675677</v>
          </cell>
          <cell r="CT33">
            <v>143.27777777777777</v>
          </cell>
          <cell r="CU33">
            <v>137.28</v>
          </cell>
          <cell r="CV33">
            <v>131.55405405405406</v>
          </cell>
          <cell r="CW33">
            <v>132.96969696969694</v>
          </cell>
          <cell r="CX33">
            <v>145.1875</v>
          </cell>
          <cell r="CY33">
            <v>132.75</v>
          </cell>
          <cell r="CZ33">
            <v>130.16176470588235</v>
          </cell>
          <cell r="DA33">
            <v>132.26470588235293</v>
          </cell>
          <cell r="DB33">
            <v>130.36764705882351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5">
          <cell r="AS35">
            <v>0</v>
          </cell>
          <cell r="AT35">
            <v>7.1688602632315872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1.7581823099810658</v>
          </cell>
          <cell r="AZ35">
            <v>0</v>
          </cell>
          <cell r="BA35">
            <v>5.7750759878419453</v>
          </cell>
          <cell r="BB35">
            <v>0</v>
          </cell>
          <cell r="BC35">
            <v>0</v>
          </cell>
          <cell r="BD35">
            <v>5.6203605514316015</v>
          </cell>
          <cell r="BE35">
            <v>140.70718877849208</v>
          </cell>
          <cell r="BF35">
            <v>14.113836186950486</v>
          </cell>
          <cell r="BG35">
            <v>0</v>
          </cell>
          <cell r="BH35">
            <v>6.8918176825919817</v>
          </cell>
          <cell r="BI35">
            <v>22.24306579123677</v>
          </cell>
          <cell r="BJ35">
            <v>41.697514542570069</v>
          </cell>
          <cell r="BK35" t="e">
            <v>#DIV/0!</v>
          </cell>
          <cell r="BL35" t="e">
            <v>#DIV/0!</v>
          </cell>
          <cell r="BM35" t="e">
            <v>#DIV/0!</v>
          </cell>
          <cell r="BN35" t="e">
            <v>#DIV/0!</v>
          </cell>
          <cell r="BO35" t="e">
            <v>#DIV/0!</v>
          </cell>
          <cell r="BP35" t="e">
            <v>#DIV/0!</v>
          </cell>
          <cell r="BQ35" t="e">
            <v>#DIV/0!</v>
          </cell>
          <cell r="BR35" t="e">
            <v>#DIV/0!</v>
          </cell>
          <cell r="BS35" t="e">
            <v>#DIV/0!</v>
          </cell>
          <cell r="BT35" t="e">
            <v>#DIV/0!</v>
          </cell>
          <cell r="BU35" t="e">
            <v>#DIV/0!</v>
          </cell>
          <cell r="BV35" t="e">
            <v>#DIV/0!</v>
          </cell>
          <cell r="BW35" t="e">
            <v>#DIV/0!</v>
          </cell>
          <cell r="CK35">
            <v>0</v>
          </cell>
          <cell r="CL35">
            <v>3.657142857142857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0.8783783783783784</v>
          </cell>
          <cell r="CR35">
            <v>0</v>
          </cell>
          <cell r="CS35">
            <v>2.8243243243243246</v>
          </cell>
          <cell r="CT35">
            <v>0</v>
          </cell>
          <cell r="CU35">
            <v>0</v>
          </cell>
          <cell r="CV35">
            <v>2.8648648648648645</v>
          </cell>
          <cell r="CW35">
            <v>72.954545454545467</v>
          </cell>
          <cell r="CX35">
            <v>6.354166666666667</v>
          </cell>
          <cell r="CY35">
            <v>0</v>
          </cell>
          <cell r="CZ35">
            <v>3.6911764705882355</v>
          </cell>
          <cell r="DA35">
            <v>12.205882352941176</v>
          </cell>
          <cell r="DB35">
            <v>23.191176470588236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</row>
        <row r="36"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 t="e">
            <v>#DIV/0!</v>
          </cell>
          <cell r="BM36" t="e">
            <v>#DIV/0!</v>
          </cell>
          <cell r="BN36" t="e">
            <v>#DIV/0!</v>
          </cell>
          <cell r="BO36" t="e">
            <v>#DIV/0!</v>
          </cell>
          <cell r="BP36" t="e">
            <v>#DIV/0!</v>
          </cell>
          <cell r="BQ36" t="e">
            <v>#DIV/0!</v>
          </cell>
          <cell r="BR36" t="e">
            <v>#DIV/0!</v>
          </cell>
          <cell r="BS36" t="e">
            <v>#DIV/0!</v>
          </cell>
          <cell r="BT36" t="e">
            <v>#DIV/0!</v>
          </cell>
          <cell r="BU36" t="e">
            <v>#DIV/0!</v>
          </cell>
          <cell r="BV36" t="e">
            <v>#DIV/0!</v>
          </cell>
          <cell r="BW36" t="e">
            <v>#DIV/0!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AS37">
            <v>425.25130679533578</v>
          </cell>
          <cell r="AT37">
            <v>393.25119014281711</v>
          </cell>
          <cell r="AU37">
            <v>398.84907140988753</v>
          </cell>
          <cell r="AV37">
            <v>411.77917463787929</v>
          </cell>
          <cell r="AW37">
            <v>380.37957765303395</v>
          </cell>
          <cell r="AX37">
            <v>398.03609341825904</v>
          </cell>
          <cell r="AY37">
            <v>399.45902082769817</v>
          </cell>
          <cell r="AZ37">
            <v>397.89983844911154</v>
          </cell>
          <cell r="BA37">
            <v>417.49101961867922</v>
          </cell>
          <cell r="BB37">
            <v>390.31385281385292</v>
          </cell>
          <cell r="BC37">
            <v>392.25333682282121</v>
          </cell>
          <cell r="BD37">
            <v>380.72640509013786</v>
          </cell>
          <cell r="BE37">
            <v>376.00818234950316</v>
          </cell>
          <cell r="BF37">
            <v>446.73762147154093</v>
          </cell>
          <cell r="BG37">
            <v>370.46413502109704</v>
          </cell>
          <cell r="BH37">
            <v>365.12904997254253</v>
          </cell>
          <cell r="BI37">
            <v>350.36848452365007</v>
          </cell>
          <cell r="BJ37">
            <v>306.58381808566895</v>
          </cell>
          <cell r="BK37" t="e">
            <v>#DIV/0!</v>
          </cell>
          <cell r="BL37" t="e">
            <v>#DIV/0!</v>
          </cell>
          <cell r="BM37" t="e">
            <v>#DIV/0!</v>
          </cell>
          <cell r="BN37" t="e">
            <v>#DIV/0!</v>
          </cell>
          <cell r="BO37" t="e">
            <v>#DIV/0!</v>
          </cell>
          <cell r="BP37" t="e">
            <v>#DIV/0!</v>
          </cell>
          <cell r="BQ37" t="e">
            <v>#DIV/0!</v>
          </cell>
          <cell r="BR37" t="e">
            <v>#DIV/0!</v>
          </cell>
          <cell r="BS37" t="e">
            <v>#DIV/0!</v>
          </cell>
          <cell r="BT37" t="e">
            <v>#DIV/0!</v>
          </cell>
          <cell r="BU37" t="e">
            <v>#DIV/0!</v>
          </cell>
          <cell r="BV37" t="e">
            <v>#DIV/0!</v>
          </cell>
          <cell r="BW37" t="e">
            <v>#DIV/0!</v>
          </cell>
          <cell r="CK37">
            <v>217.31506849315068</v>
          </cell>
          <cell r="CL37">
            <v>200.61428571428573</v>
          </cell>
          <cell r="CM37">
            <v>206.05405405405406</v>
          </cell>
          <cell r="CN37">
            <v>200.89333333333335</v>
          </cell>
          <cell r="CO37">
            <v>197.63888888888889</v>
          </cell>
          <cell r="CP37">
            <v>199.97333333333333</v>
          </cell>
          <cell r="CQ37">
            <v>199.56756756756758</v>
          </cell>
          <cell r="CR37">
            <v>199.70270270270271</v>
          </cell>
          <cell r="CS37">
            <v>204.17567567567568</v>
          </cell>
          <cell r="CT37">
            <v>200.36111111111111</v>
          </cell>
          <cell r="CU37">
            <v>199.84</v>
          </cell>
          <cell r="CV37">
            <v>194.06756756756758</v>
          </cell>
          <cell r="CW37">
            <v>194.95454545454547</v>
          </cell>
          <cell r="CX37">
            <v>201.125</v>
          </cell>
          <cell r="CY37">
            <v>195.11111111111111</v>
          </cell>
          <cell r="CZ37">
            <v>195.55882352941177</v>
          </cell>
          <cell r="DA37">
            <v>192.26470588235296</v>
          </cell>
          <cell r="DB37">
            <v>170.51470588235296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AR38">
            <v>0</v>
          </cell>
          <cell r="AS38">
            <v>425.25130679533578</v>
          </cell>
          <cell r="AT38">
            <v>400.42005040604869</v>
          </cell>
          <cell r="AU38">
            <v>398.84907140988753</v>
          </cell>
          <cell r="AV38">
            <v>411.77917463787929</v>
          </cell>
          <cell r="AW38">
            <v>380.37957765303395</v>
          </cell>
          <cell r="AX38">
            <v>398.03609341825904</v>
          </cell>
          <cell r="AY38">
            <v>401.21720313767923</v>
          </cell>
          <cell r="AZ38">
            <v>397.89983844911154</v>
          </cell>
          <cell r="BA38">
            <v>423.26609560652116</v>
          </cell>
          <cell r="BB38">
            <v>390.31385281385292</v>
          </cell>
          <cell r="BC38">
            <v>392.25333682282121</v>
          </cell>
          <cell r="BD38">
            <v>386.34676564156945</v>
          </cell>
          <cell r="BE38">
            <v>516.71537112799524</v>
          </cell>
          <cell r="BF38">
            <v>460.85145765849143</v>
          </cell>
          <cell r="BG38">
            <v>370.46413502109704</v>
          </cell>
          <cell r="BH38">
            <v>372.02086765513451</v>
          </cell>
          <cell r="BI38">
            <v>372.61155031488681</v>
          </cell>
          <cell r="BJ38">
            <v>348.281332628239</v>
          </cell>
          <cell r="BK38" t="e">
            <v>#DIV/0!</v>
          </cell>
          <cell r="BL38" t="e">
            <v>#DIV/0!</v>
          </cell>
          <cell r="BM38" t="e">
            <v>#DIV/0!</v>
          </cell>
          <cell r="BN38" t="e">
            <v>#DIV/0!</v>
          </cell>
          <cell r="BO38" t="e">
            <v>#DIV/0!</v>
          </cell>
          <cell r="BP38" t="e">
            <v>#DIV/0!</v>
          </cell>
          <cell r="BQ38" t="e">
            <v>#DIV/0!</v>
          </cell>
          <cell r="BR38" t="e">
            <v>#DIV/0!</v>
          </cell>
          <cell r="BS38" t="e">
            <v>#DIV/0!</v>
          </cell>
          <cell r="BT38" t="e">
            <v>#DIV/0!</v>
          </cell>
          <cell r="BU38" t="e">
            <v>#DIV/0!</v>
          </cell>
          <cell r="BV38" t="e">
            <v>#DIV/0!</v>
          </cell>
          <cell r="BW38" t="e">
            <v>#DIV/0!</v>
          </cell>
          <cell r="CK38">
            <v>217.31506849315068</v>
          </cell>
          <cell r="CL38">
            <v>204.27142857142857</v>
          </cell>
          <cell r="CM38">
            <v>206.05405405405406</v>
          </cell>
          <cell r="CN38">
            <v>200.89333333333335</v>
          </cell>
          <cell r="CO38">
            <v>197.63888888888889</v>
          </cell>
          <cell r="CP38">
            <v>199.97333333333333</v>
          </cell>
          <cell r="CQ38">
            <v>200.44594594594597</v>
          </cell>
          <cell r="CR38">
            <v>199.70270270270271</v>
          </cell>
          <cell r="CS38">
            <v>207</v>
          </cell>
          <cell r="CT38">
            <v>200.36111111111111</v>
          </cell>
          <cell r="CU38">
            <v>199.84</v>
          </cell>
          <cell r="CV38">
            <v>196.93243243243245</v>
          </cell>
          <cell r="CW38">
            <v>267.90909090909093</v>
          </cell>
          <cell r="CX38">
            <v>207.47916666666666</v>
          </cell>
          <cell r="CY38">
            <v>195.11111111111111</v>
          </cell>
          <cell r="CZ38">
            <v>199.25</v>
          </cell>
          <cell r="DA38">
            <v>204.47058823529414</v>
          </cell>
          <cell r="DB38">
            <v>193.70588235294119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</sheetData>
      <sheetData sheetId="43" refreshError="1"/>
      <sheetData sheetId="44" refreshError="1">
        <row r="1">
          <cell r="AR1" t="str">
            <v>F445992</v>
          </cell>
          <cell r="AS1" t="str">
            <v>F445993</v>
          </cell>
          <cell r="AT1" t="str">
            <v>F445994</v>
          </cell>
          <cell r="AU1" t="str">
            <v>F445995</v>
          </cell>
          <cell r="AV1" t="str">
            <v>F445996</v>
          </cell>
          <cell r="AW1" t="str">
            <v>F445997</v>
          </cell>
          <cell r="AX1" t="str">
            <v>F445998</v>
          </cell>
          <cell r="AY1" t="str">
            <v>F445999</v>
          </cell>
          <cell r="AZ1" t="str">
            <v>F446000</v>
          </cell>
          <cell r="BA1" t="str">
            <v>F446001</v>
          </cell>
          <cell r="BB1" t="str">
            <v>F446002</v>
          </cell>
          <cell r="BC1" t="str">
            <v>F446003</v>
          </cell>
          <cell r="BD1" t="str">
            <v>F446004</v>
          </cell>
          <cell r="BE1" t="str">
            <v>F446005</v>
          </cell>
          <cell r="BF1" t="str">
            <v>F446006</v>
          </cell>
          <cell r="BG1" t="str">
            <v>F446007</v>
          </cell>
          <cell r="BH1" t="str">
            <v>F446008</v>
          </cell>
          <cell r="BI1" t="str">
            <v>F446009</v>
          </cell>
          <cell r="BJ1" t="str">
            <v>F446010</v>
          </cell>
          <cell r="BK1" t="str">
            <v>F446011</v>
          </cell>
          <cell r="BL1" t="str">
            <v>F446012</v>
          </cell>
          <cell r="BM1" t="str">
            <v>F446013</v>
          </cell>
          <cell r="BN1" t="str">
            <v>F446014</v>
          </cell>
          <cell r="BO1" t="str">
            <v>F446015</v>
          </cell>
          <cell r="BP1" t="str">
            <v>F446016</v>
          </cell>
          <cell r="BQ1" t="str">
            <v>F446017</v>
          </cell>
          <cell r="BR1" t="str">
            <v>F446018</v>
          </cell>
          <cell r="BS1" t="str">
            <v>F446019</v>
          </cell>
          <cell r="BT1" t="str">
            <v>F446020</v>
          </cell>
          <cell r="BU1" t="str">
            <v>F446021</v>
          </cell>
          <cell r="BV1" t="str">
            <v>F446022</v>
          </cell>
          <cell r="CK1" t="str">
            <v>F445992</v>
          </cell>
          <cell r="CL1" t="str">
            <v>F445993</v>
          </cell>
          <cell r="CM1" t="str">
            <v>F445994</v>
          </cell>
          <cell r="CN1" t="str">
            <v>F445995</v>
          </cell>
          <cell r="CO1" t="str">
            <v>F445996</v>
          </cell>
          <cell r="CP1" t="str">
            <v>F445997</v>
          </cell>
          <cell r="CQ1" t="str">
            <v>F445998</v>
          </cell>
          <cell r="CR1" t="str">
            <v>F445999</v>
          </cell>
          <cell r="CS1" t="str">
            <v>F446000</v>
          </cell>
          <cell r="CT1" t="str">
            <v>F446001</v>
          </cell>
          <cell r="CU1" t="str">
            <v>F446002</v>
          </cell>
          <cell r="CV1" t="str">
            <v>F446003</v>
          </cell>
          <cell r="CW1" t="str">
            <v>F446004</v>
          </cell>
          <cell r="CX1" t="str">
            <v>F446005</v>
          </cell>
          <cell r="CY1" t="str">
            <v>F446006</v>
          </cell>
          <cell r="CZ1" t="str">
            <v>F446007</v>
          </cell>
          <cell r="DA1" t="str">
            <v>F446008</v>
          </cell>
          <cell r="DB1" t="str">
            <v>F446009</v>
          </cell>
          <cell r="DC1" t="str">
            <v>F446010</v>
          </cell>
          <cell r="DD1" t="str">
            <v>F446011</v>
          </cell>
          <cell r="DE1" t="str">
            <v>F446012</v>
          </cell>
          <cell r="DF1" t="str">
            <v>F446013</v>
          </cell>
          <cell r="DG1" t="str">
            <v>F446014</v>
          </cell>
          <cell r="DH1" t="str">
            <v>F446015</v>
          </cell>
          <cell r="DI1" t="str">
            <v>F446016</v>
          </cell>
          <cell r="DJ1" t="str">
            <v>F446017</v>
          </cell>
          <cell r="DK1" t="str">
            <v>F446018</v>
          </cell>
          <cell r="DL1" t="str">
            <v>F446019</v>
          </cell>
          <cell r="DM1" t="str">
            <v>F446020</v>
          </cell>
          <cell r="DN1" t="str">
            <v>F446021</v>
          </cell>
          <cell r="DO1" t="str">
            <v>F446022</v>
          </cell>
        </row>
        <row r="2">
          <cell r="AR2">
            <v>45992</v>
          </cell>
          <cell r="AS2">
            <v>45993</v>
          </cell>
          <cell r="AT2">
            <v>45994</v>
          </cell>
          <cell r="AU2">
            <v>45995</v>
          </cell>
          <cell r="AV2">
            <v>45996</v>
          </cell>
          <cell r="AW2">
            <v>45997</v>
          </cell>
          <cell r="AX2">
            <v>45998</v>
          </cell>
          <cell r="AY2">
            <v>45999</v>
          </cell>
          <cell r="AZ2">
            <v>46000</v>
          </cell>
          <cell r="BA2">
            <v>46001</v>
          </cell>
          <cell r="BB2">
            <v>46002</v>
          </cell>
          <cell r="BC2">
            <v>46003</v>
          </cell>
          <cell r="BD2">
            <v>46004</v>
          </cell>
          <cell r="BE2">
            <v>46005</v>
          </cell>
          <cell r="BF2">
            <v>46006</v>
          </cell>
          <cell r="BG2">
            <v>46007</v>
          </cell>
          <cell r="BH2">
            <v>46008</v>
          </cell>
          <cell r="BI2">
            <v>46009</v>
          </cell>
          <cell r="BJ2">
            <v>46010</v>
          </cell>
          <cell r="BK2">
            <v>46011</v>
          </cell>
          <cell r="BL2">
            <v>46012</v>
          </cell>
          <cell r="BM2">
            <v>46013</v>
          </cell>
          <cell r="BN2">
            <v>46014</v>
          </cell>
          <cell r="BO2">
            <v>46015</v>
          </cell>
          <cell r="BP2">
            <v>46016</v>
          </cell>
          <cell r="BQ2">
            <v>46017</v>
          </cell>
          <cell r="BR2">
            <v>46018</v>
          </cell>
          <cell r="BS2">
            <v>46019</v>
          </cell>
          <cell r="BT2">
            <v>46020</v>
          </cell>
          <cell r="BU2">
            <v>46021</v>
          </cell>
          <cell r="BV2">
            <v>46022</v>
          </cell>
          <cell r="CK2">
            <v>45992</v>
          </cell>
          <cell r="CL2">
            <v>45993</v>
          </cell>
          <cell r="CM2">
            <v>45994</v>
          </cell>
          <cell r="CN2">
            <v>45995</v>
          </cell>
          <cell r="CO2">
            <v>45996</v>
          </cell>
          <cell r="CP2">
            <v>45997</v>
          </cell>
          <cell r="CQ2">
            <v>45998</v>
          </cell>
          <cell r="CR2">
            <v>45999</v>
          </cell>
          <cell r="CS2">
            <v>46000</v>
          </cell>
          <cell r="CT2">
            <v>46001</v>
          </cell>
          <cell r="CU2">
            <v>46002</v>
          </cell>
          <cell r="CV2">
            <v>46003</v>
          </cell>
          <cell r="CW2">
            <v>46004</v>
          </cell>
          <cell r="CX2">
            <v>46005</v>
          </cell>
          <cell r="CY2">
            <v>46006</v>
          </cell>
          <cell r="CZ2">
            <v>46007</v>
          </cell>
          <cell r="DA2">
            <v>46008</v>
          </cell>
          <cell r="DB2">
            <v>46009</v>
          </cell>
          <cell r="DC2">
            <v>46010</v>
          </cell>
          <cell r="DD2">
            <v>46011</v>
          </cell>
          <cell r="DE2">
            <v>46012</v>
          </cell>
          <cell r="DF2">
            <v>46013</v>
          </cell>
          <cell r="DG2">
            <v>46014</v>
          </cell>
          <cell r="DH2">
            <v>46015</v>
          </cell>
          <cell r="DI2">
            <v>46016</v>
          </cell>
          <cell r="DJ2">
            <v>46017</v>
          </cell>
          <cell r="DK2">
            <v>46018</v>
          </cell>
          <cell r="DL2">
            <v>46019</v>
          </cell>
          <cell r="DM2">
            <v>46020</v>
          </cell>
          <cell r="DN2">
            <v>46021</v>
          </cell>
          <cell r="DO2">
            <v>46022</v>
          </cell>
        </row>
        <row r="3">
          <cell r="CK3">
            <v>50.71</v>
          </cell>
          <cell r="CL3">
            <v>50.699999999999996</v>
          </cell>
          <cell r="CM3">
            <v>51.314999999999998</v>
          </cell>
          <cell r="CN3">
            <v>50.584999999999994</v>
          </cell>
          <cell r="CO3">
            <v>51.980000000000004</v>
          </cell>
          <cell r="CP3">
            <v>50.95</v>
          </cell>
          <cell r="CQ3">
            <v>49.319999999999993</v>
          </cell>
          <cell r="CR3">
            <v>48.125</v>
          </cell>
          <cell r="CS3">
            <v>50.24</v>
          </cell>
          <cell r="CT3">
            <v>52.550000000000004</v>
          </cell>
          <cell r="CU3">
            <v>52.849999999999994</v>
          </cell>
          <cell r="CV3">
            <v>54.07</v>
          </cell>
          <cell r="CW3">
            <v>48.425000000000004</v>
          </cell>
          <cell r="CX3">
            <v>34.19</v>
          </cell>
          <cell r="CY3">
            <v>53.349999999999994</v>
          </cell>
          <cell r="CZ3">
            <v>52.41</v>
          </cell>
          <cell r="DA3">
            <v>52.019999999999996</v>
          </cell>
          <cell r="DB3">
            <v>52.695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</row>
        <row r="4">
          <cell r="CK4">
            <v>38.736000000000004</v>
          </cell>
          <cell r="CL4">
            <v>38.533999999999999</v>
          </cell>
          <cell r="CM4">
            <v>38.143999999999998</v>
          </cell>
          <cell r="CN4">
            <v>37.967999999999996</v>
          </cell>
          <cell r="CO4">
            <v>38.213999999999999</v>
          </cell>
          <cell r="CP4">
            <v>38.790000000000006</v>
          </cell>
          <cell r="CQ4">
            <v>38.402000000000001</v>
          </cell>
          <cell r="CR4">
            <v>38.543999999999997</v>
          </cell>
          <cell r="CS4">
            <v>37.887999999999998</v>
          </cell>
          <cell r="CT4">
            <v>37.206000000000003</v>
          </cell>
          <cell r="CU4">
            <v>37.636000000000003</v>
          </cell>
          <cell r="CV4">
            <v>37.46</v>
          </cell>
          <cell r="CW4">
            <v>37.438000000000002</v>
          </cell>
          <cell r="CX4">
            <v>36.762500000000003</v>
          </cell>
          <cell r="CY4">
            <v>36.32</v>
          </cell>
          <cell r="CZ4">
            <v>37.114000000000004</v>
          </cell>
          <cell r="DA4">
            <v>36.739999999999995</v>
          </cell>
          <cell r="DB4">
            <v>37.28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</row>
        <row r="5">
          <cell r="CK5">
            <v>98</v>
          </cell>
          <cell r="CL5">
            <v>94</v>
          </cell>
          <cell r="CM5">
            <v>97</v>
          </cell>
          <cell r="CN5">
            <v>98</v>
          </cell>
          <cell r="CO5">
            <v>94</v>
          </cell>
          <cell r="CP5">
            <v>93</v>
          </cell>
          <cell r="CQ5">
            <v>94</v>
          </cell>
          <cell r="CR5">
            <v>93</v>
          </cell>
          <cell r="CS5">
            <v>94</v>
          </cell>
          <cell r="CT5">
            <v>96</v>
          </cell>
          <cell r="CU5">
            <v>98</v>
          </cell>
          <cell r="CV5">
            <v>102</v>
          </cell>
          <cell r="CW5">
            <v>90</v>
          </cell>
          <cell r="CX5">
            <v>62</v>
          </cell>
          <cell r="CY5">
            <v>96</v>
          </cell>
          <cell r="CZ5">
            <v>94</v>
          </cell>
          <cell r="DA5">
            <v>94</v>
          </cell>
          <cell r="DB5">
            <v>94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</row>
        <row r="6"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 t="e">
            <v>#DIV/0!</v>
          </cell>
          <cell r="BK6" t="e">
            <v>#DIV/0!</v>
          </cell>
          <cell r="BL6" t="e">
            <v>#DIV/0!</v>
          </cell>
          <cell r="BM6" t="e">
            <v>#DIV/0!</v>
          </cell>
          <cell r="BN6" t="e">
            <v>#DIV/0!</v>
          </cell>
          <cell r="BO6" t="e">
            <v>#DIV/0!</v>
          </cell>
          <cell r="BP6" t="e">
            <v>#DIV/0!</v>
          </cell>
          <cell r="BQ6" t="e">
            <v>#DIV/0!</v>
          </cell>
          <cell r="BR6" t="e">
            <v>#DIV/0!</v>
          </cell>
          <cell r="BS6" t="e">
            <v>#DIV/0!</v>
          </cell>
          <cell r="BT6" t="e">
            <v>#DIV/0!</v>
          </cell>
          <cell r="BU6" t="e">
            <v>#DIV/0!</v>
          </cell>
          <cell r="BV6" t="e">
            <v>#DIV/0!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</row>
        <row r="7">
          <cell r="AR7">
            <v>88.52297377243147</v>
          </cell>
          <cell r="AS7">
            <v>157.8500986193294</v>
          </cell>
          <cell r="AT7">
            <v>160.92760401442072</v>
          </cell>
          <cell r="AU7">
            <v>165.00939013541566</v>
          </cell>
          <cell r="AV7">
            <v>154.25163524432475</v>
          </cell>
          <cell r="AW7">
            <v>107.63493621197252</v>
          </cell>
          <cell r="AX7">
            <v>134.52960259529604</v>
          </cell>
          <cell r="AY7">
            <v>134.9818181818182</v>
          </cell>
          <cell r="AZ7">
            <v>94.068471337579624</v>
          </cell>
          <cell r="BA7">
            <v>93.168411037107504</v>
          </cell>
          <cell r="BB7">
            <v>111.4853358561968</v>
          </cell>
          <cell r="BC7">
            <v>141.59422970223784</v>
          </cell>
          <cell r="BD7">
            <v>133.09241094475993</v>
          </cell>
          <cell r="BE7">
            <v>123.1939163498099</v>
          </cell>
          <cell r="BF7">
            <v>135.31396438612936</v>
          </cell>
          <cell r="BG7">
            <v>152.20377790498</v>
          </cell>
          <cell r="BH7">
            <v>153.80622837370242</v>
          </cell>
          <cell r="BI7">
            <v>152.00683176771989</v>
          </cell>
          <cell r="BJ7" t="e">
            <v>#DIV/0!</v>
          </cell>
          <cell r="BK7" t="e">
            <v>#DIV/0!</v>
          </cell>
          <cell r="BL7" t="e">
            <v>#DIV/0!</v>
          </cell>
          <cell r="BM7" t="e">
            <v>#DIV/0!</v>
          </cell>
          <cell r="BN7" t="e">
            <v>#DIV/0!</v>
          </cell>
          <cell r="BO7" t="e">
            <v>#DIV/0!</v>
          </cell>
          <cell r="BP7" t="e">
            <v>#DIV/0!</v>
          </cell>
          <cell r="BQ7" t="e">
            <v>#DIV/0!</v>
          </cell>
          <cell r="BR7" t="e">
            <v>#DIV/0!</v>
          </cell>
          <cell r="BS7" t="e">
            <v>#DIV/0!</v>
          </cell>
          <cell r="BT7" t="e">
            <v>#DIV/0!</v>
          </cell>
          <cell r="BU7" t="e">
            <v>#DIV/0!</v>
          </cell>
          <cell r="BV7" t="e">
            <v>#DIV/0!</v>
          </cell>
          <cell r="CK7">
            <v>45.806122448979586</v>
          </cell>
          <cell r="CL7">
            <v>85.138297872340431</v>
          </cell>
          <cell r="CM7">
            <v>85.13402061855669</v>
          </cell>
          <cell r="CN7">
            <v>85.173469387755091</v>
          </cell>
          <cell r="CO7">
            <v>85.297872340425542</v>
          </cell>
          <cell r="CP7">
            <v>58.967741935483865</v>
          </cell>
          <cell r="CQ7">
            <v>70.585106382978722</v>
          </cell>
          <cell r="CR7">
            <v>69.849462365591407</v>
          </cell>
          <cell r="CS7">
            <v>50.276595744680854</v>
          </cell>
          <cell r="CT7">
            <v>51</v>
          </cell>
          <cell r="CU7">
            <v>60.122448979591837</v>
          </cell>
          <cell r="CV7">
            <v>75.058823529411768</v>
          </cell>
          <cell r="CW7">
            <v>71.611111111111114</v>
          </cell>
          <cell r="CX7">
            <v>67.93548387096773</v>
          </cell>
          <cell r="CY7">
            <v>75.197916666666671</v>
          </cell>
          <cell r="CZ7">
            <v>84.861702127659569</v>
          </cell>
          <cell r="DA7">
            <v>85.117021276595736</v>
          </cell>
          <cell r="DB7">
            <v>85.212765957446805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</row>
        <row r="8"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 t="e">
            <v>#DIV/0!</v>
          </cell>
          <cell r="BK8" t="e">
            <v>#DIV/0!</v>
          </cell>
          <cell r="BL8" t="e">
            <v>#DIV/0!</v>
          </cell>
          <cell r="BM8" t="e">
            <v>#DIV/0!</v>
          </cell>
          <cell r="BN8" t="e">
            <v>#DIV/0!</v>
          </cell>
          <cell r="BO8" t="e">
            <v>#DIV/0!</v>
          </cell>
          <cell r="BP8" t="e">
            <v>#DIV/0!</v>
          </cell>
          <cell r="BQ8" t="e">
            <v>#DIV/0!</v>
          </cell>
          <cell r="BR8" t="e">
            <v>#DIV/0!</v>
          </cell>
          <cell r="BS8" t="e">
            <v>#DIV/0!</v>
          </cell>
          <cell r="BT8" t="e">
            <v>#DIV/0!</v>
          </cell>
          <cell r="BU8" t="e">
            <v>#DIV/0!</v>
          </cell>
          <cell r="BV8" t="e">
            <v>#DIV/0!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 t="e">
            <v>#DIV/0!</v>
          </cell>
          <cell r="BK9" t="e">
            <v>#DIV/0!</v>
          </cell>
          <cell r="BL9" t="e">
            <v>#DIV/0!</v>
          </cell>
          <cell r="BM9" t="e">
            <v>#DIV/0!</v>
          </cell>
          <cell r="BN9" t="e">
            <v>#DIV/0!</v>
          </cell>
          <cell r="BO9" t="e">
            <v>#DIV/0!</v>
          </cell>
          <cell r="BP9" t="e">
            <v>#DIV/0!</v>
          </cell>
          <cell r="BQ9" t="e">
            <v>#DIV/0!</v>
          </cell>
          <cell r="BR9" t="e">
            <v>#DIV/0!</v>
          </cell>
          <cell r="BS9" t="e">
            <v>#DIV/0!</v>
          </cell>
          <cell r="BT9" t="e">
            <v>#DIV/0!</v>
          </cell>
          <cell r="BU9" t="e">
            <v>#DIV/0!</v>
          </cell>
          <cell r="BV9" t="e">
            <v>#DIV/0!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 t="e">
            <v>#DIV/0!</v>
          </cell>
          <cell r="BK10" t="e">
            <v>#DIV/0!</v>
          </cell>
          <cell r="BL10" t="e">
            <v>#DIV/0!</v>
          </cell>
          <cell r="BM10" t="e">
            <v>#DIV/0!</v>
          </cell>
          <cell r="BN10" t="e">
            <v>#DIV/0!</v>
          </cell>
          <cell r="BO10" t="e">
            <v>#DIV/0!</v>
          </cell>
          <cell r="BP10" t="e">
            <v>#DIV/0!</v>
          </cell>
          <cell r="BQ10" t="e">
            <v>#DIV/0!</v>
          </cell>
          <cell r="BR10" t="e">
            <v>#DIV/0!</v>
          </cell>
          <cell r="BS10" t="e">
            <v>#DIV/0!</v>
          </cell>
          <cell r="BT10" t="e">
            <v>#DIV/0!</v>
          </cell>
          <cell r="BU10" t="e">
            <v>#DIV/0!</v>
          </cell>
          <cell r="BV10" t="e">
            <v>#DIV/0!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 t="e">
            <v>#DIV/0!</v>
          </cell>
          <cell r="BK11" t="e">
            <v>#DIV/0!</v>
          </cell>
          <cell r="BL11" t="e">
            <v>#DIV/0!</v>
          </cell>
          <cell r="BM11" t="e">
            <v>#DIV/0!</v>
          </cell>
          <cell r="BN11" t="e">
            <v>#DIV/0!</v>
          </cell>
          <cell r="BO11" t="e">
            <v>#DIV/0!</v>
          </cell>
          <cell r="BP11" t="e">
            <v>#DIV/0!</v>
          </cell>
          <cell r="BQ11" t="e">
            <v>#DIV/0!</v>
          </cell>
          <cell r="BR11" t="e">
            <v>#DIV/0!</v>
          </cell>
          <cell r="BS11" t="e">
            <v>#DIV/0!</v>
          </cell>
          <cell r="BT11" t="e">
            <v>#DIV/0!</v>
          </cell>
          <cell r="BU11" t="e">
            <v>#DIV/0!</v>
          </cell>
          <cell r="BV11" t="e">
            <v>#DIV/0!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 t="e">
            <v>#DIV/0!</v>
          </cell>
          <cell r="BK12" t="e">
            <v>#DIV/0!</v>
          </cell>
          <cell r="BL12" t="e">
            <v>#DIV/0!</v>
          </cell>
          <cell r="BM12" t="e">
            <v>#DIV/0!</v>
          </cell>
          <cell r="BN12" t="e">
            <v>#DIV/0!</v>
          </cell>
          <cell r="BO12" t="e">
            <v>#DIV/0!</v>
          </cell>
          <cell r="BP12" t="e">
            <v>#DIV/0!</v>
          </cell>
          <cell r="BQ12" t="e">
            <v>#DIV/0!</v>
          </cell>
          <cell r="BR12" t="e">
            <v>#DIV/0!</v>
          </cell>
          <cell r="BS12" t="e">
            <v>#DIV/0!</v>
          </cell>
          <cell r="BT12" t="e">
            <v>#DIV/0!</v>
          </cell>
          <cell r="BU12" t="e">
            <v>#DIV/0!</v>
          </cell>
          <cell r="BV12" t="e">
            <v>#DIV/0!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AR13">
            <v>97.081443502267803</v>
          </cell>
          <cell r="AS13">
            <v>92.919132149901401</v>
          </cell>
          <cell r="AT13">
            <v>94.767611809412472</v>
          </cell>
          <cell r="AU13">
            <v>97.163190669170717</v>
          </cell>
          <cell r="AV13">
            <v>90.534821085032704</v>
          </cell>
          <cell r="AW13">
            <v>91.305201177625122</v>
          </cell>
          <cell r="AX13">
            <v>96.269261962692639</v>
          </cell>
          <cell r="AY13">
            <v>97.163636363636371</v>
          </cell>
          <cell r="AZ13">
            <v>93.491242038216555</v>
          </cell>
          <cell r="BA13">
            <v>91.284490960989515</v>
          </cell>
          <cell r="BB13">
            <v>92.790917691579949</v>
          </cell>
          <cell r="BC13">
            <v>94.544109487701135</v>
          </cell>
          <cell r="BD13">
            <v>93.91843056272586</v>
          </cell>
          <cell r="BE13">
            <v>91.400994442819538</v>
          </cell>
          <cell r="BF13">
            <v>90.384254920337398</v>
          </cell>
          <cell r="BG13">
            <v>90.249952299179569</v>
          </cell>
          <cell r="BH13">
            <v>90.465205690119205</v>
          </cell>
          <cell r="BI13">
            <v>89.496157130657565</v>
          </cell>
          <cell r="BJ13" t="e">
            <v>#DIV/0!</v>
          </cell>
          <cell r="BK13" t="e">
            <v>#DIV/0!</v>
          </cell>
          <cell r="BL13" t="e">
            <v>#DIV/0!</v>
          </cell>
          <cell r="BM13" t="e">
            <v>#DIV/0!</v>
          </cell>
          <cell r="BN13" t="e">
            <v>#DIV/0!</v>
          </cell>
          <cell r="BO13" t="e">
            <v>#DIV/0!</v>
          </cell>
          <cell r="BP13" t="e">
            <v>#DIV/0!</v>
          </cell>
          <cell r="BQ13" t="e">
            <v>#DIV/0!</v>
          </cell>
          <cell r="BR13" t="e">
            <v>#DIV/0!</v>
          </cell>
          <cell r="BS13" t="e">
            <v>#DIV/0!</v>
          </cell>
          <cell r="BT13" t="e">
            <v>#DIV/0!</v>
          </cell>
          <cell r="BU13" t="e">
            <v>#DIV/0!</v>
          </cell>
          <cell r="BV13" t="e">
            <v>#DIV/0!</v>
          </cell>
          <cell r="CK13">
            <v>50.234693877551024</v>
          </cell>
          <cell r="CL13">
            <v>50.11702127659575</v>
          </cell>
          <cell r="CM13">
            <v>50.134020618556704</v>
          </cell>
          <cell r="CN13">
            <v>50.153061224489797</v>
          </cell>
          <cell r="CO13">
            <v>50.063829787234049</v>
          </cell>
          <cell r="CP13">
            <v>50.021505376344088</v>
          </cell>
          <cell r="CQ13">
            <v>50.51063829787234</v>
          </cell>
          <cell r="CR13">
            <v>50.27956989247312</v>
          </cell>
          <cell r="CS13">
            <v>49.968085106382979</v>
          </cell>
          <cell r="CT13">
            <v>49.96875</v>
          </cell>
          <cell r="CU13">
            <v>50.04081632653061</v>
          </cell>
          <cell r="CV13">
            <v>50.117647058823529</v>
          </cell>
          <cell r="CW13">
            <v>50.533333333333331</v>
          </cell>
          <cell r="CX13">
            <v>50.403225806451609</v>
          </cell>
          <cell r="CY13">
            <v>50.229166666666664</v>
          </cell>
          <cell r="CZ13">
            <v>50.319148936170215</v>
          </cell>
          <cell r="DA13">
            <v>50.063829787234049</v>
          </cell>
          <cell r="DB13">
            <v>50.170212765957451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 t="e">
            <v>#DIV/0!</v>
          </cell>
          <cell r="BK14" t="e">
            <v>#DIV/0!</v>
          </cell>
          <cell r="BL14" t="e">
            <v>#DIV/0!</v>
          </cell>
          <cell r="BM14" t="e">
            <v>#DIV/0!</v>
          </cell>
          <cell r="BN14" t="e">
            <v>#DIV/0!</v>
          </cell>
          <cell r="BO14" t="e">
            <v>#DIV/0!</v>
          </cell>
          <cell r="BP14" t="e">
            <v>#DIV/0!</v>
          </cell>
          <cell r="BQ14" t="e">
            <v>#DIV/0!</v>
          </cell>
          <cell r="BR14" t="e">
            <v>#DIV/0!</v>
          </cell>
          <cell r="BS14" t="e">
            <v>#DIV/0!</v>
          </cell>
          <cell r="BT14" t="e">
            <v>#DIV/0!</v>
          </cell>
          <cell r="BU14" t="e">
            <v>#DIV/0!</v>
          </cell>
          <cell r="BV14" t="e">
            <v>#DIV/0!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 t="e">
            <v>#DIV/0!</v>
          </cell>
          <cell r="BK15" t="e">
            <v>#DIV/0!</v>
          </cell>
          <cell r="BL15" t="e">
            <v>#DIV/0!</v>
          </cell>
          <cell r="BM15" t="e">
            <v>#DIV/0!</v>
          </cell>
          <cell r="BN15" t="e">
            <v>#DIV/0!</v>
          </cell>
          <cell r="BO15" t="e">
            <v>#DIV/0!</v>
          </cell>
          <cell r="BP15" t="e">
            <v>#DIV/0!</v>
          </cell>
          <cell r="BQ15" t="e">
            <v>#DIV/0!</v>
          </cell>
          <cell r="BR15" t="e">
            <v>#DIV/0!</v>
          </cell>
          <cell r="BS15" t="e">
            <v>#DIV/0!</v>
          </cell>
          <cell r="BT15" t="e">
            <v>#DIV/0!</v>
          </cell>
          <cell r="BU15" t="e">
            <v>#DIV/0!</v>
          </cell>
          <cell r="BV15" t="e">
            <v>#DIV/0!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 t="e">
            <v>#DIV/0!</v>
          </cell>
          <cell r="BK16" t="e">
            <v>#DIV/0!</v>
          </cell>
          <cell r="BL16" t="e">
            <v>#DIV/0!</v>
          </cell>
          <cell r="BM16" t="e">
            <v>#DIV/0!</v>
          </cell>
          <cell r="BN16" t="e">
            <v>#DIV/0!</v>
          </cell>
          <cell r="BO16" t="e">
            <v>#DIV/0!</v>
          </cell>
          <cell r="BP16" t="e">
            <v>#DIV/0!</v>
          </cell>
          <cell r="BQ16" t="e">
            <v>#DIV/0!</v>
          </cell>
          <cell r="BR16" t="e">
            <v>#DIV/0!</v>
          </cell>
          <cell r="BS16" t="e">
            <v>#DIV/0!</v>
          </cell>
          <cell r="BT16" t="e">
            <v>#DIV/0!</v>
          </cell>
          <cell r="BU16" t="e">
            <v>#DIV/0!</v>
          </cell>
          <cell r="BV16" t="e">
            <v>#DIV/0!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 t="e">
            <v>#DIV/0!</v>
          </cell>
          <cell r="BK17" t="e">
            <v>#DIV/0!</v>
          </cell>
          <cell r="BL17" t="e">
            <v>#DIV/0!</v>
          </cell>
          <cell r="BM17" t="e">
            <v>#DIV/0!</v>
          </cell>
          <cell r="BN17" t="e">
            <v>#DIV/0!</v>
          </cell>
          <cell r="BO17" t="e">
            <v>#DIV/0!</v>
          </cell>
          <cell r="BP17" t="e">
            <v>#DIV/0!</v>
          </cell>
          <cell r="BQ17" t="e">
            <v>#DIV/0!</v>
          </cell>
          <cell r="BR17" t="e">
            <v>#DIV/0!</v>
          </cell>
          <cell r="BS17" t="e">
            <v>#DIV/0!</v>
          </cell>
          <cell r="BT17" t="e">
            <v>#DIV/0!</v>
          </cell>
          <cell r="BU17" t="e">
            <v>#DIV/0!</v>
          </cell>
          <cell r="BV17" t="e">
            <v>#DIV/0!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AR18">
            <v>312.04890554131333</v>
          </cell>
          <cell r="AS18">
            <v>298.16568047337284</v>
          </cell>
          <cell r="AT18">
            <v>304.41391406021631</v>
          </cell>
          <cell r="AU18">
            <v>311.71295838687365</v>
          </cell>
          <cell r="AV18">
            <v>289.93843786071568</v>
          </cell>
          <cell r="AW18">
            <v>292.79685966633951</v>
          </cell>
          <cell r="AX18">
            <v>310.4014598540146</v>
          </cell>
          <cell r="AY18">
            <v>313.0181818181818</v>
          </cell>
          <cell r="AZ18">
            <v>298.92515923566879</v>
          </cell>
          <cell r="BA18">
            <v>293.45385347288294</v>
          </cell>
          <cell r="BB18">
            <v>296.55629139072852</v>
          </cell>
          <cell r="BC18">
            <v>302.25633438135753</v>
          </cell>
          <cell r="BD18">
            <v>304.38822922044398</v>
          </cell>
          <cell r="BE18">
            <v>294.50131617432004</v>
          </cell>
          <cell r="BF18">
            <v>290.81537019681355</v>
          </cell>
          <cell r="BG18">
            <v>290.61247853463078</v>
          </cell>
          <cell r="BH18">
            <v>290.54209919261825</v>
          </cell>
          <cell r="BI18">
            <v>286.32697599392731</v>
          </cell>
          <cell r="BJ18" t="e">
            <v>#DIV/0!</v>
          </cell>
          <cell r="BK18" t="e">
            <v>#DIV/0!</v>
          </cell>
          <cell r="BL18" t="e">
            <v>#DIV/0!</v>
          </cell>
          <cell r="BM18" t="e">
            <v>#DIV/0!</v>
          </cell>
          <cell r="BN18" t="e">
            <v>#DIV/0!</v>
          </cell>
          <cell r="BO18" t="e">
            <v>#DIV/0!</v>
          </cell>
          <cell r="BP18" t="e">
            <v>#DIV/0!</v>
          </cell>
          <cell r="BQ18" t="e">
            <v>#DIV/0!</v>
          </cell>
          <cell r="BR18" t="e">
            <v>#DIV/0!</v>
          </cell>
          <cell r="BS18" t="e">
            <v>#DIV/0!</v>
          </cell>
          <cell r="BT18" t="e">
            <v>#DIV/0!</v>
          </cell>
          <cell r="BU18" t="e">
            <v>#DIV/0!</v>
          </cell>
          <cell r="BV18" t="e">
            <v>#DIV/0!</v>
          </cell>
          <cell r="CK18">
            <v>161.46938775510202</v>
          </cell>
          <cell r="CL18">
            <v>160.81914893617022</v>
          </cell>
          <cell r="CM18">
            <v>161.04123711340208</v>
          </cell>
          <cell r="CN18">
            <v>160.89795918367346</v>
          </cell>
          <cell r="CO18">
            <v>160.32978723404253</v>
          </cell>
          <cell r="CP18">
            <v>160.40860215053763</v>
          </cell>
          <cell r="CQ18">
            <v>162.86170212765958</v>
          </cell>
          <cell r="CR18">
            <v>161.97849462365591</v>
          </cell>
          <cell r="CS18">
            <v>159.76595744680853</v>
          </cell>
          <cell r="CT18">
            <v>160.63541666666666</v>
          </cell>
          <cell r="CU18">
            <v>159.92857142857142</v>
          </cell>
          <cell r="CV18">
            <v>160.22549019607843</v>
          </cell>
          <cell r="CW18">
            <v>163.77777777777777</v>
          </cell>
          <cell r="CX18">
            <v>162.40322580645164</v>
          </cell>
          <cell r="CY18">
            <v>161.61458333333334</v>
          </cell>
          <cell r="CZ18">
            <v>162.031914893617</v>
          </cell>
          <cell r="DA18">
            <v>160.78723404255322</v>
          </cell>
          <cell r="DB18">
            <v>160.51063829787233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63.422546634225476</v>
          </cell>
          <cell r="AY19">
            <v>70.025974025974037</v>
          </cell>
          <cell r="AZ19">
            <v>78.284235668789805</v>
          </cell>
          <cell r="BA19">
            <v>46.051379638439577</v>
          </cell>
          <cell r="BB19">
            <v>61.021759697256392</v>
          </cell>
          <cell r="BC19">
            <v>103.21805067505086</v>
          </cell>
          <cell r="BD19">
            <v>104.09912235415591</v>
          </cell>
          <cell r="BE19">
            <v>91.108511260602526</v>
          </cell>
          <cell r="BF19">
            <v>90.477975632614815</v>
          </cell>
          <cell r="BG19">
            <v>91.051326082808643</v>
          </cell>
          <cell r="BH19">
            <v>90.907343329488654</v>
          </cell>
          <cell r="BI19">
            <v>89.856722649207711</v>
          </cell>
          <cell r="BJ19" t="e">
            <v>#DIV/0!</v>
          </cell>
          <cell r="BK19" t="e">
            <v>#DIV/0!</v>
          </cell>
          <cell r="BL19" t="e">
            <v>#DIV/0!</v>
          </cell>
          <cell r="BM19" t="e">
            <v>#DIV/0!</v>
          </cell>
          <cell r="BN19" t="e">
            <v>#DIV/0!</v>
          </cell>
          <cell r="BO19" t="e">
            <v>#DIV/0!</v>
          </cell>
          <cell r="BP19" t="e">
            <v>#DIV/0!</v>
          </cell>
          <cell r="BQ19" t="e">
            <v>#DIV/0!</v>
          </cell>
          <cell r="BR19" t="e">
            <v>#DIV/0!</v>
          </cell>
          <cell r="BS19" t="e">
            <v>#DIV/0!</v>
          </cell>
          <cell r="BT19" t="e">
            <v>#DIV/0!</v>
          </cell>
          <cell r="BU19" t="e">
            <v>#DIV/0!</v>
          </cell>
          <cell r="BV19" t="e">
            <v>#DIV/0!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33.276595744680854</v>
          </cell>
          <cell r="CR19">
            <v>36.236559139784951</v>
          </cell>
          <cell r="CS19">
            <v>41.840425531914896</v>
          </cell>
          <cell r="CT19">
            <v>25.208333333333332</v>
          </cell>
          <cell r="CU19">
            <v>32.908163265306122</v>
          </cell>
          <cell r="CV19">
            <v>54.715686274509807</v>
          </cell>
          <cell r="CW19">
            <v>56.011111111111113</v>
          </cell>
          <cell r="CX19">
            <v>50.241935483870975</v>
          </cell>
          <cell r="CY19">
            <v>50.28125</v>
          </cell>
          <cell r="CZ19">
            <v>50.765957446808514</v>
          </cell>
          <cell r="DA19">
            <v>50.308510638297875</v>
          </cell>
          <cell r="DB19">
            <v>50.372340425531917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AR20">
            <v>1491.6387300335241</v>
          </cell>
          <cell r="AS20">
            <v>1428.8165680473376</v>
          </cell>
          <cell r="AT20">
            <v>1457.1567767709248</v>
          </cell>
          <cell r="AU20">
            <v>1493.0512997924288</v>
          </cell>
          <cell r="AV20">
            <v>1395.0173143516738</v>
          </cell>
          <cell r="AW20">
            <v>1404.8086359175661</v>
          </cell>
          <cell r="AX20">
            <v>1404.3592862935932</v>
          </cell>
          <cell r="AY20">
            <v>1408.8935064935065</v>
          </cell>
          <cell r="AZ20">
            <v>577.22929936305729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203.74378473237792</v>
          </cell>
          <cell r="BF20">
            <v>684.70477975632627</v>
          </cell>
          <cell r="BG20">
            <v>682.36977676016033</v>
          </cell>
          <cell r="BH20">
            <v>687.15878508266064</v>
          </cell>
          <cell r="BI20">
            <v>678.45146598348981</v>
          </cell>
          <cell r="BJ20" t="e">
            <v>#DIV/0!</v>
          </cell>
          <cell r="BK20" t="e">
            <v>#DIV/0!</v>
          </cell>
          <cell r="BL20" t="e">
            <v>#DIV/0!</v>
          </cell>
          <cell r="BM20" t="e">
            <v>#DIV/0!</v>
          </cell>
          <cell r="BN20" t="e">
            <v>#DIV/0!</v>
          </cell>
          <cell r="BO20" t="e">
            <v>#DIV/0!</v>
          </cell>
          <cell r="BP20" t="e">
            <v>#DIV/0!</v>
          </cell>
          <cell r="BQ20" t="e">
            <v>#DIV/0!</v>
          </cell>
          <cell r="BR20" t="e">
            <v>#DIV/0!</v>
          </cell>
          <cell r="BS20" t="e">
            <v>#DIV/0!</v>
          </cell>
          <cell r="BT20" t="e">
            <v>#DIV/0!</v>
          </cell>
          <cell r="BU20" t="e">
            <v>#DIV/0!</v>
          </cell>
          <cell r="BV20" t="e">
            <v>#DIV/0!</v>
          </cell>
          <cell r="CK20">
            <v>771.84693877551024</v>
          </cell>
          <cell r="CL20">
            <v>770.64893617021278</v>
          </cell>
          <cell r="CM20">
            <v>770.86597938144325</v>
          </cell>
          <cell r="CN20">
            <v>770.67346938775506</v>
          </cell>
          <cell r="CO20">
            <v>771.41489361702133</v>
          </cell>
          <cell r="CP20">
            <v>769.6236559139785</v>
          </cell>
          <cell r="CQ20">
            <v>736.840425531915</v>
          </cell>
          <cell r="CR20">
            <v>729.0645161290322</v>
          </cell>
          <cell r="CS20">
            <v>308.51063829787233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112.35483870967742</v>
          </cell>
          <cell r="CY20">
            <v>380.51041666666669</v>
          </cell>
          <cell r="CZ20">
            <v>380.45744680851061</v>
          </cell>
          <cell r="DA20">
            <v>380.27659574468089</v>
          </cell>
          <cell r="DB20">
            <v>380.32978723404256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814.47054140127386</v>
          </cell>
          <cell r="BA21">
            <v>1361.1417697431018</v>
          </cell>
          <cell r="BB21">
            <v>1369.9148533585621</v>
          </cell>
          <cell r="BC21">
            <v>1368.2263732199003</v>
          </cell>
          <cell r="BD21">
            <v>1360.3304078471861</v>
          </cell>
          <cell r="BE21">
            <v>1159.6665691722728</v>
          </cell>
          <cell r="BF21">
            <v>665.92314901593261</v>
          </cell>
          <cell r="BG21">
            <v>664.07174203396301</v>
          </cell>
          <cell r="BH21">
            <v>668.93502499038834</v>
          </cell>
          <cell r="BI21">
            <v>660.08160166998766</v>
          </cell>
          <cell r="BJ21" t="e">
            <v>#DIV/0!</v>
          </cell>
          <cell r="BK21" t="e">
            <v>#DIV/0!</v>
          </cell>
          <cell r="BL21" t="e">
            <v>#DIV/0!</v>
          </cell>
          <cell r="BM21" t="e">
            <v>#DIV/0!</v>
          </cell>
          <cell r="BN21" t="e">
            <v>#DIV/0!</v>
          </cell>
          <cell r="BO21" t="e">
            <v>#DIV/0!</v>
          </cell>
          <cell r="BP21" t="e">
            <v>#DIV/0!</v>
          </cell>
          <cell r="BQ21" t="e">
            <v>#DIV/0!</v>
          </cell>
          <cell r="BR21" t="e">
            <v>#DIV/0!</v>
          </cell>
          <cell r="BS21" t="e">
            <v>#DIV/0!</v>
          </cell>
          <cell r="BT21" t="e">
            <v>#DIV/0!</v>
          </cell>
          <cell r="BU21" t="e">
            <v>#DIV/0!</v>
          </cell>
          <cell r="BV21" t="e">
            <v>#DIV/0!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435.30851063829783</v>
          </cell>
          <cell r="CT21">
            <v>745.08333333333348</v>
          </cell>
          <cell r="CU21">
            <v>738.77551020408168</v>
          </cell>
          <cell r="CV21">
            <v>725.2941176470589</v>
          </cell>
          <cell r="CW21">
            <v>731.93333333333328</v>
          </cell>
          <cell r="CX21">
            <v>639.50000000000011</v>
          </cell>
          <cell r="CY21">
            <v>370.07291666666669</v>
          </cell>
          <cell r="CZ21">
            <v>370.25531914893617</v>
          </cell>
          <cell r="DA21">
            <v>370.19148936170217</v>
          </cell>
          <cell r="DB21">
            <v>370.03191489361706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 t="e">
            <v>#DIV/0!</v>
          </cell>
          <cell r="BK22" t="e">
            <v>#DIV/0!</v>
          </cell>
          <cell r="BL22" t="e">
            <v>#DIV/0!</v>
          </cell>
          <cell r="BM22" t="e">
            <v>#DIV/0!</v>
          </cell>
          <cell r="BN22" t="e">
            <v>#DIV/0!</v>
          </cell>
          <cell r="BO22" t="e">
            <v>#DIV/0!</v>
          </cell>
          <cell r="BP22" t="e">
            <v>#DIV/0!</v>
          </cell>
          <cell r="BQ22" t="e">
            <v>#DIV/0!</v>
          </cell>
          <cell r="BR22" t="e">
            <v>#DIV/0!</v>
          </cell>
          <cell r="BS22" t="e">
            <v>#DIV/0!</v>
          </cell>
          <cell r="BT22" t="e">
            <v>#DIV/0!</v>
          </cell>
          <cell r="BU22" t="e">
            <v>#DIV/0!</v>
          </cell>
          <cell r="BV22" t="e">
            <v>#DIV/0!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AR23">
            <v>1989.2920528495367</v>
          </cell>
          <cell r="AS23">
            <v>1977.7514792899412</v>
          </cell>
          <cell r="AT23">
            <v>2017.2659066549743</v>
          </cell>
          <cell r="AU23">
            <v>2066.9368389838887</v>
          </cell>
          <cell r="AV23">
            <v>1929.742208541747</v>
          </cell>
          <cell r="AW23">
            <v>1896.5456329735032</v>
          </cell>
          <cell r="AX23">
            <v>2008.9821573398219</v>
          </cell>
          <cell r="AY23">
            <v>2024.0831168831169</v>
          </cell>
          <cell r="AZ23">
            <v>1956.4689490445858</v>
          </cell>
          <cell r="BA23">
            <v>1885.0999048525214</v>
          </cell>
          <cell r="BB23">
            <v>1931.7691579943239</v>
          </cell>
          <cell r="BC23">
            <v>2009.8390974662477</v>
          </cell>
          <cell r="BD23">
            <v>1995.8286009292717</v>
          </cell>
          <cell r="BE23">
            <v>1963.6150921322028</v>
          </cell>
          <cell r="BF23">
            <v>1957.6194939081543</v>
          </cell>
          <cell r="BG23">
            <v>1970.5590536157224</v>
          </cell>
          <cell r="BH23">
            <v>1981.8146866589773</v>
          </cell>
          <cell r="BI23">
            <v>1956.2197551949903</v>
          </cell>
          <cell r="BJ23" t="e">
            <v>#DIV/0!</v>
          </cell>
          <cell r="BK23" t="e">
            <v>#DIV/0!</v>
          </cell>
          <cell r="BL23" t="e">
            <v>#DIV/0!</v>
          </cell>
          <cell r="BM23" t="e">
            <v>#DIV/0!</v>
          </cell>
          <cell r="BN23" t="e">
            <v>#DIV/0!</v>
          </cell>
          <cell r="BO23" t="e">
            <v>#DIV/0!</v>
          </cell>
          <cell r="BP23" t="e">
            <v>#DIV/0!</v>
          </cell>
          <cell r="BQ23" t="e">
            <v>#DIV/0!</v>
          </cell>
          <cell r="BR23" t="e">
            <v>#DIV/0!</v>
          </cell>
          <cell r="BS23" t="e">
            <v>#DIV/0!</v>
          </cell>
          <cell r="BT23" t="e">
            <v>#DIV/0!</v>
          </cell>
          <cell r="BU23" t="e">
            <v>#DIV/0!</v>
          </cell>
          <cell r="BV23" t="e">
            <v>#DIV/0!</v>
          </cell>
          <cell r="CK23">
            <v>1029.3571428571429</v>
          </cell>
          <cell r="CL23">
            <v>1066.7234042553191</v>
          </cell>
          <cell r="CM23">
            <v>1067.1752577319587</v>
          </cell>
          <cell r="CN23">
            <v>1066.8979591836733</v>
          </cell>
          <cell r="CO23">
            <v>1067.1063829787236</v>
          </cell>
          <cell r="CP23">
            <v>1039.0215053763441</v>
          </cell>
          <cell r="CQ23">
            <v>1054.0744680851064</v>
          </cell>
          <cell r="CR23">
            <v>1047.4086021505377</v>
          </cell>
          <cell r="CS23">
            <v>1045.6702127659573</v>
          </cell>
          <cell r="CT23">
            <v>1031.8958333333335</v>
          </cell>
          <cell r="CU23">
            <v>1041.7755102040817</v>
          </cell>
          <cell r="CV23">
            <v>1065.4117647058824</v>
          </cell>
          <cell r="CW23">
            <v>1073.8666666666666</v>
          </cell>
          <cell r="CX23">
            <v>1082.8387096774195</v>
          </cell>
          <cell r="CY23">
            <v>1087.90625</v>
          </cell>
          <cell r="CZ23">
            <v>1098.691489361702</v>
          </cell>
          <cell r="DA23">
            <v>1096.744680851064</v>
          </cell>
          <cell r="DB23">
            <v>1096.627659574468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5">
          <cell r="AR25">
            <v>124.23585091697889</v>
          </cell>
          <cell r="AS25">
            <v>121.08481262327419</v>
          </cell>
          <cell r="AT25">
            <v>123.27779401734387</v>
          </cell>
          <cell r="AU25">
            <v>138.57863002866463</v>
          </cell>
          <cell r="AV25">
            <v>118.68026163909194</v>
          </cell>
          <cell r="AW25">
            <v>107.1638861629048</v>
          </cell>
          <cell r="AX25">
            <v>70.742092457420924</v>
          </cell>
          <cell r="AY25">
            <v>150.29610389610389</v>
          </cell>
          <cell r="AZ25">
            <v>127.10987261146498</v>
          </cell>
          <cell r="BA25">
            <v>119.31493815413889</v>
          </cell>
          <cell r="BB25">
            <v>119.26206244087039</v>
          </cell>
          <cell r="BC25">
            <v>117.49583872757536</v>
          </cell>
          <cell r="BD25">
            <v>118.88487351574598</v>
          </cell>
          <cell r="BE25">
            <v>110.61713951447793</v>
          </cell>
          <cell r="BF25">
            <v>111.34020618556703</v>
          </cell>
          <cell r="BG25">
            <v>107.32684602175158</v>
          </cell>
          <cell r="BH25">
            <v>108.28527489427145</v>
          </cell>
          <cell r="BI25">
            <v>107.12591327450421</v>
          </cell>
          <cell r="BJ25" t="e">
            <v>#DIV/0!</v>
          </cell>
          <cell r="BK25" t="e">
            <v>#DIV/0!</v>
          </cell>
          <cell r="BL25" t="e">
            <v>#DIV/0!</v>
          </cell>
          <cell r="BM25" t="e">
            <v>#DIV/0!</v>
          </cell>
          <cell r="BN25" t="e">
            <v>#DIV/0!</v>
          </cell>
          <cell r="BO25" t="e">
            <v>#DIV/0!</v>
          </cell>
          <cell r="BP25" t="e">
            <v>#DIV/0!</v>
          </cell>
          <cell r="BQ25" t="e">
            <v>#DIV/0!</v>
          </cell>
          <cell r="BR25" t="e">
            <v>#DIV/0!</v>
          </cell>
          <cell r="BS25" t="e">
            <v>#DIV/0!</v>
          </cell>
          <cell r="BT25" t="e">
            <v>#DIV/0!</v>
          </cell>
          <cell r="BU25" t="e">
            <v>#DIV/0!</v>
          </cell>
          <cell r="BV25" t="e">
            <v>#DIV/0!</v>
          </cell>
          <cell r="CK25">
            <v>64.285714285714278</v>
          </cell>
          <cell r="CL25">
            <v>65.308510638297875</v>
          </cell>
          <cell r="CM25">
            <v>65.216494845360828</v>
          </cell>
          <cell r="CN25">
            <v>71.530612244897952</v>
          </cell>
          <cell r="CO25">
            <v>65.627659574468069</v>
          </cell>
          <cell r="CP25">
            <v>58.70967741935484</v>
          </cell>
          <cell r="CQ25">
            <v>37.117021276595743</v>
          </cell>
          <cell r="CR25">
            <v>77.774193548387089</v>
          </cell>
          <cell r="CS25">
            <v>67.936170212765958</v>
          </cell>
          <cell r="CT25">
            <v>65.3125</v>
          </cell>
          <cell r="CU25">
            <v>64.316326530612244</v>
          </cell>
          <cell r="CV25">
            <v>62.284313725490193</v>
          </cell>
          <cell r="CW25">
            <v>63.966666666666654</v>
          </cell>
          <cell r="CX25">
            <v>61</v>
          </cell>
          <cell r="CY25">
            <v>61.875000000000007</v>
          </cell>
          <cell r="CZ25">
            <v>59.840425531914896</v>
          </cell>
          <cell r="DA25">
            <v>59.925531914893618</v>
          </cell>
          <cell r="DB25">
            <v>60.053191489361694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AR26">
            <v>355.92585288897646</v>
          </cell>
          <cell r="AS26">
            <v>343.23471400394482</v>
          </cell>
          <cell r="AT26">
            <v>350.30692779888921</v>
          </cell>
          <cell r="AU26">
            <v>367.97469605614322</v>
          </cell>
          <cell r="AV26">
            <v>352.73181993074257</v>
          </cell>
          <cell r="AW26">
            <v>360.39254170755635</v>
          </cell>
          <cell r="AX26">
            <v>406.7518248175183</v>
          </cell>
          <cell r="AY26">
            <v>377.24675324675326</v>
          </cell>
          <cell r="AZ26">
            <v>365.10748407643314</v>
          </cell>
          <cell r="BA26">
            <v>358.17316841103707</v>
          </cell>
          <cell r="BB26">
            <v>365.63859981078531</v>
          </cell>
          <cell r="BC26">
            <v>382.5226558165341</v>
          </cell>
          <cell r="BD26">
            <v>383.54155911202884</v>
          </cell>
          <cell r="BE26">
            <v>366.53992395437263</v>
          </cell>
          <cell r="BF26">
            <v>367.25398313027188</v>
          </cell>
          <cell r="BG26">
            <v>363.40393054760546</v>
          </cell>
          <cell r="BH26">
            <v>370.56901191849295</v>
          </cell>
          <cell r="BI26">
            <v>365.84116140051236</v>
          </cell>
          <cell r="BJ26" t="e">
            <v>#DIV/0!</v>
          </cell>
          <cell r="BK26" t="e">
            <v>#DIV/0!</v>
          </cell>
          <cell r="BL26" t="e">
            <v>#DIV/0!</v>
          </cell>
          <cell r="BM26" t="e">
            <v>#DIV/0!</v>
          </cell>
          <cell r="BN26" t="e">
            <v>#DIV/0!</v>
          </cell>
          <cell r="BO26" t="e">
            <v>#DIV/0!</v>
          </cell>
          <cell r="BP26" t="e">
            <v>#DIV/0!</v>
          </cell>
          <cell r="BQ26" t="e">
            <v>#DIV/0!</v>
          </cell>
          <cell r="BR26" t="e">
            <v>#DIV/0!</v>
          </cell>
          <cell r="BS26" t="e">
            <v>#DIV/0!</v>
          </cell>
          <cell r="BT26" t="e">
            <v>#DIV/0!</v>
          </cell>
          <cell r="BU26" t="e">
            <v>#DIV/0!</v>
          </cell>
          <cell r="BV26" t="e">
            <v>#DIV/0!</v>
          </cell>
          <cell r="CK26">
            <v>184.17346938775509</v>
          </cell>
          <cell r="CL26">
            <v>185.12765957446808</v>
          </cell>
          <cell r="CM26">
            <v>185.31958762886597</v>
          </cell>
          <cell r="CN26">
            <v>189.93877551020407</v>
          </cell>
          <cell r="CO26">
            <v>195.05319148936169</v>
          </cell>
          <cell r="CP26">
            <v>197.44086021505376</v>
          </cell>
          <cell r="CQ26">
            <v>213.41489361702128</v>
          </cell>
          <cell r="CR26">
            <v>195.21505376344086</v>
          </cell>
          <cell r="CS26">
            <v>195.13829787234044</v>
          </cell>
          <cell r="CT26">
            <v>196.0625</v>
          </cell>
          <cell r="CU26">
            <v>197.18367346938777</v>
          </cell>
          <cell r="CV26">
            <v>202.77450980392155</v>
          </cell>
          <cell r="CW26">
            <v>206.36666666666667</v>
          </cell>
          <cell r="CX26">
            <v>202.12903225806454</v>
          </cell>
          <cell r="CY26">
            <v>204.09375</v>
          </cell>
          <cell r="CZ26">
            <v>202.61702127659572</v>
          </cell>
          <cell r="DA26">
            <v>205.07446808510642</v>
          </cell>
          <cell r="DB26">
            <v>205.08510638297872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 t="e">
            <v>#DIV/0!</v>
          </cell>
          <cell r="BK27" t="e">
            <v>#DIV/0!</v>
          </cell>
          <cell r="BL27" t="e">
            <v>#DIV/0!</v>
          </cell>
          <cell r="BM27" t="e">
            <v>#DIV/0!</v>
          </cell>
          <cell r="BN27" t="e">
            <v>#DIV/0!</v>
          </cell>
          <cell r="BO27" t="e">
            <v>#DIV/0!</v>
          </cell>
          <cell r="BP27" t="e">
            <v>#DIV/0!</v>
          </cell>
          <cell r="BQ27" t="e">
            <v>#DIV/0!</v>
          </cell>
          <cell r="BR27" t="e">
            <v>#DIV/0!</v>
          </cell>
          <cell r="BS27" t="e">
            <v>#DIV/0!</v>
          </cell>
          <cell r="BT27" t="e">
            <v>#DIV/0!</v>
          </cell>
          <cell r="BU27" t="e">
            <v>#DIV/0!</v>
          </cell>
          <cell r="BV27" t="e">
            <v>#DIV/0!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 t="e">
            <v>#DIV/0!</v>
          </cell>
          <cell r="BK28" t="e">
            <v>#DIV/0!</v>
          </cell>
          <cell r="BL28" t="e">
            <v>#DIV/0!</v>
          </cell>
          <cell r="BM28" t="e">
            <v>#DIV/0!</v>
          </cell>
          <cell r="BN28" t="e">
            <v>#DIV/0!</v>
          </cell>
          <cell r="BO28" t="e">
            <v>#DIV/0!</v>
          </cell>
          <cell r="BP28" t="e">
            <v>#DIV/0!</v>
          </cell>
          <cell r="BQ28" t="e">
            <v>#DIV/0!</v>
          </cell>
          <cell r="BR28" t="e">
            <v>#DIV/0!</v>
          </cell>
          <cell r="BS28" t="e">
            <v>#DIV/0!</v>
          </cell>
          <cell r="BT28" t="e">
            <v>#DIV/0!</v>
          </cell>
          <cell r="BU28" t="e">
            <v>#DIV/0!</v>
          </cell>
          <cell r="BV28" t="e">
            <v>#DIV/0!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AR29">
            <v>123.95977124827449</v>
          </cell>
          <cell r="AS29">
            <v>123.55029585798819</v>
          </cell>
          <cell r="AT29">
            <v>126.7660528110689</v>
          </cell>
          <cell r="AU29">
            <v>115.23178807947021</v>
          </cell>
          <cell r="AV29">
            <v>114.85186610234705</v>
          </cell>
          <cell r="AW29">
            <v>108.38076545632973</v>
          </cell>
          <cell r="AX29">
            <v>142.68045417680455</v>
          </cell>
          <cell r="AY29">
            <v>127.23116883116883</v>
          </cell>
          <cell r="AZ29">
            <v>118.71019108280255</v>
          </cell>
          <cell r="BA29">
            <v>109.49571836346335</v>
          </cell>
          <cell r="BB29">
            <v>112.03405865657523</v>
          </cell>
          <cell r="BC29">
            <v>107.78620307009433</v>
          </cell>
          <cell r="BD29">
            <v>111.22354155911202</v>
          </cell>
          <cell r="BE29">
            <v>109.06697864872771</v>
          </cell>
          <cell r="BF29">
            <v>117.35707591377697</v>
          </cell>
          <cell r="BG29">
            <v>119.82446098072889</v>
          </cell>
          <cell r="BH29">
            <v>117.60861207227991</v>
          </cell>
          <cell r="BI29">
            <v>116.12107410570262</v>
          </cell>
          <cell r="BJ29" t="e">
            <v>#DIV/0!</v>
          </cell>
          <cell r="BK29" t="e">
            <v>#DIV/0!</v>
          </cell>
          <cell r="BL29" t="e">
            <v>#DIV/0!</v>
          </cell>
          <cell r="BM29" t="e">
            <v>#DIV/0!</v>
          </cell>
          <cell r="BN29" t="e">
            <v>#DIV/0!</v>
          </cell>
          <cell r="BO29" t="e">
            <v>#DIV/0!</v>
          </cell>
          <cell r="BP29" t="e">
            <v>#DIV/0!</v>
          </cell>
          <cell r="BQ29" t="e">
            <v>#DIV/0!</v>
          </cell>
          <cell r="BR29" t="e">
            <v>#DIV/0!</v>
          </cell>
          <cell r="BS29" t="e">
            <v>#DIV/0!</v>
          </cell>
          <cell r="BT29" t="e">
            <v>#DIV/0!</v>
          </cell>
          <cell r="BU29" t="e">
            <v>#DIV/0!</v>
          </cell>
          <cell r="BV29" t="e">
            <v>#DIV/0!</v>
          </cell>
          <cell r="CK29">
            <v>64.142857142857139</v>
          </cell>
          <cell r="CL29">
            <v>66.638297872340416</v>
          </cell>
          <cell r="CM29">
            <v>67.061855670103085</v>
          </cell>
          <cell r="CN29">
            <v>59.479591836734691</v>
          </cell>
          <cell r="CO29">
            <v>63.510638297872333</v>
          </cell>
          <cell r="CP29">
            <v>59.376344086021504</v>
          </cell>
          <cell r="CQ29">
            <v>74.861702127659584</v>
          </cell>
          <cell r="CR29">
            <v>65.838709677419345</v>
          </cell>
          <cell r="CS29">
            <v>63.446808510638306</v>
          </cell>
          <cell r="CT29">
            <v>59.9375</v>
          </cell>
          <cell r="CU29">
            <v>60.41836734693878</v>
          </cell>
          <cell r="CV29">
            <v>57.137254901960787</v>
          </cell>
          <cell r="CW29">
            <v>59.844444444444441</v>
          </cell>
          <cell r="CX29">
            <v>60.145161290322584</v>
          </cell>
          <cell r="CY29">
            <v>65.21875</v>
          </cell>
          <cell r="CZ29">
            <v>66.808510638297875</v>
          </cell>
          <cell r="DA29">
            <v>65.085106382978722</v>
          </cell>
          <cell r="DB29">
            <v>65.09574468085107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 t="e">
            <v>#DIV/0!</v>
          </cell>
          <cell r="BK30" t="e">
            <v>#DIV/0!</v>
          </cell>
          <cell r="BL30" t="e">
            <v>#DIV/0!</v>
          </cell>
          <cell r="BM30" t="e">
            <v>#DIV/0!</v>
          </cell>
          <cell r="BN30" t="e">
            <v>#DIV/0!</v>
          </cell>
          <cell r="BO30" t="e">
            <v>#DIV/0!</v>
          </cell>
          <cell r="BP30" t="e">
            <v>#DIV/0!</v>
          </cell>
          <cell r="BQ30" t="e">
            <v>#DIV/0!</v>
          </cell>
          <cell r="BR30" t="e">
            <v>#DIV/0!</v>
          </cell>
          <cell r="BS30" t="e">
            <v>#DIV/0!</v>
          </cell>
          <cell r="BT30" t="e">
            <v>#DIV/0!</v>
          </cell>
          <cell r="BU30" t="e">
            <v>#DIV/0!</v>
          </cell>
          <cell r="BV30" t="e">
            <v>#DIV/0!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 t="e">
            <v>#DIV/0!</v>
          </cell>
          <cell r="BK31" t="e">
            <v>#DIV/0!</v>
          </cell>
          <cell r="BL31" t="e">
            <v>#DIV/0!</v>
          </cell>
          <cell r="BM31" t="e">
            <v>#DIV/0!</v>
          </cell>
          <cell r="BN31" t="e">
            <v>#DIV/0!</v>
          </cell>
          <cell r="BO31" t="e">
            <v>#DIV/0!</v>
          </cell>
          <cell r="BP31" t="e">
            <v>#DIV/0!</v>
          </cell>
          <cell r="BQ31" t="e">
            <v>#DIV/0!</v>
          </cell>
          <cell r="BR31" t="e">
            <v>#DIV/0!</v>
          </cell>
          <cell r="BS31" t="e">
            <v>#DIV/0!</v>
          </cell>
          <cell r="BT31" t="e">
            <v>#DIV/0!</v>
          </cell>
          <cell r="BU31" t="e">
            <v>#DIV/0!</v>
          </cell>
          <cell r="BV31" t="e">
            <v>#DIV/0!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 t="e">
            <v>#DIV/0!</v>
          </cell>
          <cell r="BK32" t="e">
            <v>#DIV/0!</v>
          </cell>
          <cell r="BL32" t="e">
            <v>#DIV/0!</v>
          </cell>
          <cell r="BM32" t="e">
            <v>#DIV/0!</v>
          </cell>
          <cell r="BN32" t="e">
            <v>#DIV/0!</v>
          </cell>
          <cell r="BO32" t="e">
            <v>#DIV/0!</v>
          </cell>
          <cell r="BP32" t="e">
            <v>#DIV/0!</v>
          </cell>
          <cell r="BQ32" t="e">
            <v>#DIV/0!</v>
          </cell>
          <cell r="BR32" t="e">
            <v>#DIV/0!</v>
          </cell>
          <cell r="BS32" t="e">
            <v>#DIV/0!</v>
          </cell>
          <cell r="BT32" t="e">
            <v>#DIV/0!</v>
          </cell>
          <cell r="BU32" t="e">
            <v>#DIV/0!</v>
          </cell>
          <cell r="BV32" t="e">
            <v>#DIV/0!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 t="e">
            <v>#DIV/0!</v>
          </cell>
          <cell r="BK33" t="e">
            <v>#DIV/0!</v>
          </cell>
          <cell r="BL33" t="e">
            <v>#DIV/0!</v>
          </cell>
          <cell r="BM33" t="e">
            <v>#DIV/0!</v>
          </cell>
          <cell r="BN33" t="e">
            <v>#DIV/0!</v>
          </cell>
          <cell r="BO33" t="e">
            <v>#DIV/0!</v>
          </cell>
          <cell r="BP33" t="e">
            <v>#DIV/0!</v>
          </cell>
          <cell r="BQ33" t="e">
            <v>#DIV/0!</v>
          </cell>
          <cell r="BR33" t="e">
            <v>#DIV/0!</v>
          </cell>
          <cell r="BS33" t="e">
            <v>#DIV/0!</v>
          </cell>
          <cell r="BT33" t="e">
            <v>#DIV/0!</v>
          </cell>
          <cell r="BU33" t="e">
            <v>#DIV/0!</v>
          </cell>
          <cell r="BV33" t="e">
            <v>#DIV/0!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4">
          <cell r="AR34">
            <v>479.88562413725094</v>
          </cell>
          <cell r="AS34">
            <v>466.78500986193302</v>
          </cell>
          <cell r="AT34">
            <v>477.07298060995811</v>
          </cell>
          <cell r="AU34">
            <v>483.20648413561344</v>
          </cell>
          <cell r="AV34">
            <v>467.58368603308963</v>
          </cell>
          <cell r="AW34">
            <v>468.7733071638861</v>
          </cell>
          <cell r="AX34">
            <v>549.43227899432281</v>
          </cell>
          <cell r="AY34">
            <v>504.47792207792207</v>
          </cell>
          <cell r="AZ34">
            <v>483.8176751592357</v>
          </cell>
          <cell r="BA34">
            <v>467.66888677450044</v>
          </cell>
          <cell r="BB34">
            <v>477.67265846736052</v>
          </cell>
          <cell r="BC34">
            <v>490.3088588866284</v>
          </cell>
          <cell r="BD34">
            <v>494.76510067114089</v>
          </cell>
          <cell r="BE34">
            <v>475.60690260310037</v>
          </cell>
          <cell r="BF34">
            <v>484.61105904404883</v>
          </cell>
          <cell r="BG34">
            <v>483.22839152833433</v>
          </cell>
          <cell r="BH34">
            <v>488.17762399077287</v>
          </cell>
          <cell r="BI34">
            <v>481.96223550621499</v>
          </cell>
          <cell r="BJ34" t="e">
            <v>#DIV/0!</v>
          </cell>
          <cell r="BK34" t="e">
            <v>#DIV/0!</v>
          </cell>
          <cell r="BL34" t="e">
            <v>#DIV/0!</v>
          </cell>
          <cell r="BM34" t="e">
            <v>#DIV/0!</v>
          </cell>
          <cell r="BN34" t="e">
            <v>#DIV/0!</v>
          </cell>
          <cell r="BO34" t="e">
            <v>#DIV/0!</v>
          </cell>
          <cell r="BP34" t="e">
            <v>#DIV/0!</v>
          </cell>
          <cell r="BQ34" t="e">
            <v>#DIV/0!</v>
          </cell>
          <cell r="BR34" t="e">
            <v>#DIV/0!</v>
          </cell>
          <cell r="BS34" t="e">
            <v>#DIV/0!</v>
          </cell>
          <cell r="BT34" t="e">
            <v>#DIV/0!</v>
          </cell>
          <cell r="BU34" t="e">
            <v>#DIV/0!</v>
          </cell>
          <cell r="BV34" t="e">
            <v>#DIV/0!</v>
          </cell>
          <cell r="CK34">
            <v>248.31632653061223</v>
          </cell>
          <cell r="CL34">
            <v>251.7659574468085</v>
          </cell>
          <cell r="CM34">
            <v>252.38144329896906</v>
          </cell>
          <cell r="CN34">
            <v>249.41836734693877</v>
          </cell>
          <cell r="CO34">
            <v>258.563829787234</v>
          </cell>
          <cell r="CP34">
            <v>256.81720430107526</v>
          </cell>
          <cell r="CQ34">
            <v>288.27659574468089</v>
          </cell>
          <cell r="CR34">
            <v>261.05376344086022</v>
          </cell>
          <cell r="CS34">
            <v>258.58510638297878</v>
          </cell>
          <cell r="CT34">
            <v>256</v>
          </cell>
          <cell r="CU34">
            <v>257.60204081632656</v>
          </cell>
          <cell r="CV34">
            <v>259.91176470588232</v>
          </cell>
          <cell r="CW34">
            <v>266.21111111111111</v>
          </cell>
          <cell r="CX34">
            <v>262.27419354838713</v>
          </cell>
          <cell r="CY34">
            <v>269.3125</v>
          </cell>
          <cell r="CZ34">
            <v>269.42553191489361</v>
          </cell>
          <cell r="DA34">
            <v>270.15957446808511</v>
          </cell>
          <cell r="DB34">
            <v>270.18085106382978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</row>
        <row r="36">
          <cell r="AR36">
            <v>176.78958785249458</v>
          </cell>
          <cell r="AS36">
            <v>167.14003944773179</v>
          </cell>
          <cell r="AT36">
            <v>170.63236870310828</v>
          </cell>
          <cell r="AU36">
            <v>179.36147079173671</v>
          </cell>
          <cell r="AV36">
            <v>163.13966910350135</v>
          </cell>
          <cell r="AW36">
            <v>168.24337585868497</v>
          </cell>
          <cell r="AX36">
            <v>185.36090835360912</v>
          </cell>
          <cell r="AY36">
            <v>200.70649350649353</v>
          </cell>
          <cell r="AZ36">
            <v>204.23964968152865</v>
          </cell>
          <cell r="BA36">
            <v>199.790675547098</v>
          </cell>
          <cell r="BB36">
            <v>186.45222327341531</v>
          </cell>
          <cell r="BC36">
            <v>186.03661919733676</v>
          </cell>
          <cell r="BD36">
            <v>205.76148683531235</v>
          </cell>
          <cell r="BE36">
            <v>201.25767768353322</v>
          </cell>
          <cell r="BF36">
            <v>178.21930646672914</v>
          </cell>
          <cell r="BG36">
            <v>173.95535203205498</v>
          </cell>
          <cell r="BH36">
            <v>177.50865051903114</v>
          </cell>
          <cell r="BI36">
            <v>180.39662207040516</v>
          </cell>
          <cell r="BJ36" t="e">
            <v>#DIV/0!</v>
          </cell>
          <cell r="BK36" t="e">
            <v>#DIV/0!</v>
          </cell>
          <cell r="BL36" t="e">
            <v>#DIV/0!</v>
          </cell>
          <cell r="BM36" t="e">
            <v>#DIV/0!</v>
          </cell>
          <cell r="BN36" t="e">
            <v>#DIV/0!</v>
          </cell>
          <cell r="BO36" t="e">
            <v>#DIV/0!</v>
          </cell>
          <cell r="BP36" t="e">
            <v>#DIV/0!</v>
          </cell>
          <cell r="BQ36" t="e">
            <v>#DIV/0!</v>
          </cell>
          <cell r="BR36" t="e">
            <v>#DIV/0!</v>
          </cell>
          <cell r="BS36" t="e">
            <v>#DIV/0!</v>
          </cell>
          <cell r="BT36" t="e">
            <v>#DIV/0!</v>
          </cell>
          <cell r="BU36" t="e">
            <v>#DIV/0!</v>
          </cell>
          <cell r="BV36" t="e">
            <v>#DIV/0!</v>
          </cell>
          <cell r="CK36">
            <v>91.479591836734699</v>
          </cell>
          <cell r="CL36">
            <v>90.148936170212778</v>
          </cell>
          <cell r="CM36">
            <v>90.268041237113408</v>
          </cell>
          <cell r="CN36">
            <v>92.58163265306122</v>
          </cell>
          <cell r="CO36">
            <v>90.21276595744682</v>
          </cell>
          <cell r="CP36">
            <v>92.172043010752688</v>
          </cell>
          <cell r="CQ36">
            <v>97.255319148936167</v>
          </cell>
          <cell r="CR36">
            <v>103.86021505376344</v>
          </cell>
          <cell r="CS36">
            <v>109.1595744680851</v>
          </cell>
          <cell r="CT36">
            <v>109.36458333333333</v>
          </cell>
          <cell r="CU36">
            <v>100.55102040816325</v>
          </cell>
          <cell r="CV36">
            <v>98.617647058823522</v>
          </cell>
          <cell r="CW36">
            <v>110.71111111111112</v>
          </cell>
          <cell r="CX36">
            <v>110.98387096774194</v>
          </cell>
          <cell r="CY36">
            <v>99.041666666666657</v>
          </cell>
          <cell r="CZ36">
            <v>96.989361702127667</v>
          </cell>
          <cell r="DA36">
            <v>98.234042553191486</v>
          </cell>
          <cell r="DB36">
            <v>101.1276595744681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AR37">
            <v>3.0171563794123446</v>
          </cell>
          <cell r="AS37">
            <v>10.670611439842212</v>
          </cell>
          <cell r="AT37">
            <v>5.4370067231803567</v>
          </cell>
          <cell r="AU37">
            <v>11.880992389048137</v>
          </cell>
          <cell r="AV37">
            <v>7.7145055790688728</v>
          </cell>
          <cell r="AW37">
            <v>9.695780176643769</v>
          </cell>
          <cell r="AX37">
            <v>0.22303325223033255</v>
          </cell>
          <cell r="AY37">
            <v>0</v>
          </cell>
          <cell r="AZ37">
            <v>0</v>
          </cell>
          <cell r="BA37">
            <v>31.303520456707894</v>
          </cell>
          <cell r="BB37">
            <v>13.926206244087041</v>
          </cell>
          <cell r="BC37">
            <v>6.2326613648973561</v>
          </cell>
          <cell r="BD37">
            <v>35.332989158492516</v>
          </cell>
          <cell r="BE37">
            <v>6.5223749634396029</v>
          </cell>
          <cell r="BF37">
            <v>8.6785379568884728</v>
          </cell>
          <cell r="BG37">
            <v>1.8317115054378938</v>
          </cell>
          <cell r="BH37">
            <v>21.72241445597847</v>
          </cell>
          <cell r="BI37">
            <v>8.255052661542841</v>
          </cell>
          <cell r="BJ37" t="e">
            <v>#DIV/0!</v>
          </cell>
          <cell r="BK37" t="e">
            <v>#DIV/0!</v>
          </cell>
          <cell r="BL37" t="e">
            <v>#DIV/0!</v>
          </cell>
          <cell r="BM37" t="e">
            <v>#DIV/0!</v>
          </cell>
          <cell r="BN37" t="e">
            <v>#DIV/0!</v>
          </cell>
          <cell r="BO37" t="e">
            <v>#DIV/0!</v>
          </cell>
          <cell r="BP37" t="e">
            <v>#DIV/0!</v>
          </cell>
          <cell r="BQ37" t="e">
            <v>#DIV/0!</v>
          </cell>
          <cell r="BR37" t="e">
            <v>#DIV/0!</v>
          </cell>
          <cell r="BS37" t="e">
            <v>#DIV/0!</v>
          </cell>
          <cell r="BT37" t="e">
            <v>#DIV/0!</v>
          </cell>
          <cell r="BU37" t="e">
            <v>#DIV/0!</v>
          </cell>
          <cell r="BV37" t="e">
            <v>#DIV/0!</v>
          </cell>
          <cell r="CK37">
            <v>1.5612244897959184</v>
          </cell>
          <cell r="CL37">
            <v>5.755319148936171</v>
          </cell>
          <cell r="CM37">
            <v>2.8762886597938144</v>
          </cell>
          <cell r="CN37">
            <v>6.1326530612244898</v>
          </cell>
          <cell r="CO37">
            <v>4.2659574468085113</v>
          </cell>
          <cell r="CP37">
            <v>5.311827956989247</v>
          </cell>
          <cell r="CQ37">
            <v>0.11702127659574467</v>
          </cell>
          <cell r="CR37">
            <v>0</v>
          </cell>
          <cell r="CS37">
            <v>0</v>
          </cell>
          <cell r="CT37">
            <v>17.135416666666668</v>
          </cell>
          <cell r="CU37">
            <v>7.5102040816326534</v>
          </cell>
          <cell r="CV37">
            <v>3.3039215686274512</v>
          </cell>
          <cell r="CW37">
            <v>19.011111111111109</v>
          </cell>
          <cell r="CX37">
            <v>3.596774193548387</v>
          </cell>
          <cell r="CY37">
            <v>4.822916666666667</v>
          </cell>
          <cell r="CZ37">
            <v>1.0212765957446808</v>
          </cell>
          <cell r="DA37">
            <v>12.021276595744681</v>
          </cell>
          <cell r="DB37">
            <v>4.6276595744680851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 t="e">
            <v>#DIV/0!</v>
          </cell>
          <cell r="BK38" t="e">
            <v>#DIV/0!</v>
          </cell>
          <cell r="BL38" t="e">
            <v>#DIV/0!</v>
          </cell>
          <cell r="BM38" t="e">
            <v>#DIV/0!</v>
          </cell>
          <cell r="BN38" t="e">
            <v>#DIV/0!</v>
          </cell>
          <cell r="BO38" t="e">
            <v>#DIV/0!</v>
          </cell>
          <cell r="BP38" t="e">
            <v>#DIV/0!</v>
          </cell>
          <cell r="BQ38" t="e">
            <v>#DIV/0!</v>
          </cell>
          <cell r="BR38" t="e">
            <v>#DIV/0!</v>
          </cell>
          <cell r="BS38" t="e">
            <v>#DIV/0!</v>
          </cell>
          <cell r="BT38" t="e">
            <v>#DIV/0!</v>
          </cell>
          <cell r="BU38" t="e">
            <v>#DIV/0!</v>
          </cell>
          <cell r="BV38" t="e">
            <v>#DIV/0!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  <row r="39">
          <cell r="AR39">
            <v>179.80674423190692</v>
          </cell>
          <cell r="AS39">
            <v>177.81065088757401</v>
          </cell>
          <cell r="AT39">
            <v>176.06937542628864</v>
          </cell>
          <cell r="AU39">
            <v>191.24246318078485</v>
          </cell>
          <cell r="AV39">
            <v>170.85417468257023</v>
          </cell>
          <cell r="AW39">
            <v>177.93915603532875</v>
          </cell>
          <cell r="AX39">
            <v>185.58394160583944</v>
          </cell>
          <cell r="AY39">
            <v>200.70649350649353</v>
          </cell>
          <cell r="AZ39">
            <v>204.23964968152865</v>
          </cell>
          <cell r="BA39">
            <v>231.09419600380591</v>
          </cell>
          <cell r="BB39">
            <v>200.37842951750235</v>
          </cell>
          <cell r="BC39">
            <v>192.26928056223412</v>
          </cell>
          <cell r="BD39">
            <v>241.09447599380488</v>
          </cell>
          <cell r="BE39">
            <v>207.78005264697282</v>
          </cell>
          <cell r="BF39">
            <v>186.89784442361761</v>
          </cell>
          <cell r="BG39">
            <v>175.78706353749286</v>
          </cell>
          <cell r="BH39">
            <v>199.23106497500962</v>
          </cell>
          <cell r="BI39">
            <v>188.65167473194799</v>
          </cell>
          <cell r="BJ39" t="e">
            <v>#DIV/0!</v>
          </cell>
          <cell r="BK39" t="e">
            <v>#DIV/0!</v>
          </cell>
          <cell r="BL39" t="e">
            <v>#DIV/0!</v>
          </cell>
          <cell r="BM39" t="e">
            <v>#DIV/0!</v>
          </cell>
          <cell r="BN39" t="e">
            <v>#DIV/0!</v>
          </cell>
          <cell r="BO39" t="e">
            <v>#DIV/0!</v>
          </cell>
          <cell r="BP39" t="e">
            <v>#DIV/0!</v>
          </cell>
          <cell r="BQ39" t="e">
            <v>#DIV/0!</v>
          </cell>
          <cell r="BR39" t="e">
            <v>#DIV/0!</v>
          </cell>
          <cell r="BS39" t="e">
            <v>#DIV/0!</v>
          </cell>
          <cell r="BT39" t="e">
            <v>#DIV/0!</v>
          </cell>
          <cell r="BU39" t="e">
            <v>#DIV/0!</v>
          </cell>
          <cell r="BV39" t="e">
            <v>#DIV/0!</v>
          </cell>
          <cell r="CK39">
            <v>93.040816326530617</v>
          </cell>
          <cell r="CL39">
            <v>95.904255319148945</v>
          </cell>
          <cell r="CM39">
            <v>93.144329896907223</v>
          </cell>
          <cell r="CN39">
            <v>98.714285714285708</v>
          </cell>
          <cell r="CO39">
            <v>94.478723404255334</v>
          </cell>
          <cell r="CP39">
            <v>97.483870967741936</v>
          </cell>
          <cell r="CQ39">
            <v>97.372340425531917</v>
          </cell>
          <cell r="CR39">
            <v>103.86021505376344</v>
          </cell>
          <cell r="CS39">
            <v>109.1595744680851</v>
          </cell>
          <cell r="CT39">
            <v>126.5</v>
          </cell>
          <cell r="CU39">
            <v>108.0612244897959</v>
          </cell>
          <cell r="CV39">
            <v>101.92156862745097</v>
          </cell>
          <cell r="CW39">
            <v>129.72222222222223</v>
          </cell>
          <cell r="CX39">
            <v>114.58064516129032</v>
          </cell>
          <cell r="CY39">
            <v>103.86458333333333</v>
          </cell>
          <cell r="CZ39">
            <v>98.010638297872347</v>
          </cell>
          <cell r="DA39">
            <v>110.25531914893617</v>
          </cell>
          <cell r="DB39">
            <v>105.75531914893618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"/>
    </sheetNames>
    <sheetDataSet>
      <sheetData sheetId="0">
        <row r="1"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  <cell r="BD1">
            <v>55</v>
          </cell>
          <cell r="BE1">
            <v>56</v>
          </cell>
          <cell r="BF1">
            <v>57</v>
          </cell>
          <cell r="BG1">
            <v>58</v>
          </cell>
          <cell r="BH1">
            <v>59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O1">
            <v>66</v>
          </cell>
          <cell r="BP1">
            <v>67</v>
          </cell>
          <cell r="BQ1">
            <v>68</v>
          </cell>
          <cell r="BR1">
            <v>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25"/>
  <sheetViews>
    <sheetView tabSelected="1" workbookViewId="0">
      <selection activeCell="K11" sqref="K11"/>
    </sheetView>
  </sheetViews>
  <sheetFormatPr defaultRowHeight="14.4" x14ac:dyDescent="0.3"/>
  <sheetData>
    <row r="1" spans="1:127" ht="57.75" customHeight="1" thickBot="1" x14ac:dyDescent="0.35">
      <c r="B1" s="1" t="s">
        <v>0</v>
      </c>
      <c r="C1" s="2" t="s">
        <v>1</v>
      </c>
      <c r="D1" s="3" t="s">
        <v>2</v>
      </c>
      <c r="E1" s="4" t="s">
        <v>3</v>
      </c>
      <c r="F1" s="4" t="s">
        <v>30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31</v>
      </c>
      <c r="L1" s="4" t="s">
        <v>8</v>
      </c>
      <c r="M1" s="4" t="s">
        <v>9</v>
      </c>
      <c r="N1" s="5" t="s">
        <v>10</v>
      </c>
      <c r="O1" s="6" t="s">
        <v>11</v>
      </c>
      <c r="P1" s="7" t="s">
        <v>32</v>
      </c>
      <c r="Q1" s="5" t="s">
        <v>12</v>
      </c>
      <c r="R1" s="5" t="s">
        <v>13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8" t="s">
        <v>39</v>
      </c>
      <c r="Z1" s="7" t="s">
        <v>40</v>
      </c>
      <c r="AA1" s="4" t="s">
        <v>41</v>
      </c>
      <c r="AB1" s="4" t="s">
        <v>42</v>
      </c>
      <c r="AC1" s="4" t="s">
        <v>43</v>
      </c>
      <c r="AD1" s="9" t="s">
        <v>44</v>
      </c>
      <c r="AE1" s="10" t="s">
        <v>45</v>
      </c>
      <c r="AF1" s="11" t="s">
        <v>46</v>
      </c>
      <c r="AG1" s="12" t="s">
        <v>16</v>
      </c>
      <c r="AH1" s="9" t="s">
        <v>47</v>
      </c>
      <c r="AI1" s="10" t="s">
        <v>48</v>
      </c>
      <c r="AJ1" s="13" t="s">
        <v>49</v>
      </c>
      <c r="AK1" s="10" t="s">
        <v>17</v>
      </c>
      <c r="AL1" s="4" t="s">
        <v>50</v>
      </c>
      <c r="AM1" s="4" t="s">
        <v>51</v>
      </c>
      <c r="AN1" s="4" t="s">
        <v>14</v>
      </c>
      <c r="AO1" s="4" t="s">
        <v>52</v>
      </c>
      <c r="AP1" s="7" t="s">
        <v>15</v>
      </c>
      <c r="AQ1" s="14" t="s">
        <v>53</v>
      </c>
      <c r="AR1" s="15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16" t="s">
        <v>59</v>
      </c>
      <c r="AX1" s="16" t="s">
        <v>60</v>
      </c>
      <c r="AY1" s="17" t="s">
        <v>61</v>
      </c>
      <c r="AZ1" s="16" t="s">
        <v>62</v>
      </c>
      <c r="BA1" s="16" t="s">
        <v>20</v>
      </c>
      <c r="BB1" s="17" t="s">
        <v>63</v>
      </c>
      <c r="BC1" s="17" t="s">
        <v>64</v>
      </c>
      <c r="BD1" s="17" t="s">
        <v>65</v>
      </c>
      <c r="BE1" s="18" t="s">
        <v>18</v>
      </c>
      <c r="BF1" s="18" t="s">
        <v>19</v>
      </c>
      <c r="BG1" s="18" t="s">
        <v>66</v>
      </c>
      <c r="BH1" s="18" t="s">
        <v>67</v>
      </c>
      <c r="BI1" s="18" t="s">
        <v>21</v>
      </c>
      <c r="BJ1" s="19" t="s">
        <v>68</v>
      </c>
      <c r="BK1" s="16" t="s">
        <v>69</v>
      </c>
      <c r="BL1" s="16" t="s">
        <v>70</v>
      </c>
      <c r="BM1" s="17" t="s">
        <v>71</v>
      </c>
      <c r="BN1" s="20" t="s">
        <v>72</v>
      </c>
      <c r="BO1" s="21" t="s">
        <v>22</v>
      </c>
      <c r="BP1" s="22" t="s">
        <v>73</v>
      </c>
      <c r="BQ1" s="23" t="s">
        <v>74</v>
      </c>
      <c r="BR1" s="21" t="s">
        <v>23</v>
      </c>
      <c r="BS1" s="21" t="s">
        <v>75</v>
      </c>
      <c r="BT1" s="24" t="s">
        <v>76</v>
      </c>
      <c r="BU1" s="24" t="s">
        <v>77</v>
      </c>
      <c r="BV1" s="24" t="s">
        <v>24</v>
      </c>
      <c r="BW1" s="25" t="s">
        <v>78</v>
      </c>
      <c r="BX1" s="25" t="s">
        <v>79</v>
      </c>
      <c r="BY1" s="26" t="s">
        <v>80</v>
      </c>
      <c r="BZ1" s="25" t="s">
        <v>81</v>
      </c>
      <c r="CA1" s="25" t="s">
        <v>82</v>
      </c>
      <c r="CB1" s="25" t="s">
        <v>83</v>
      </c>
      <c r="CC1" s="25" t="s">
        <v>84</v>
      </c>
      <c r="CD1" s="25" t="s">
        <v>85</v>
      </c>
      <c r="CE1" s="26" t="s">
        <v>86</v>
      </c>
      <c r="CF1" s="25" t="s">
        <v>87</v>
      </c>
      <c r="CG1" s="25" t="s">
        <v>88</v>
      </c>
      <c r="CH1" s="25" t="s">
        <v>89</v>
      </c>
      <c r="CI1" s="25" t="s">
        <v>90</v>
      </c>
      <c r="CJ1" s="25" t="s">
        <v>91</v>
      </c>
      <c r="CK1" s="25" t="s">
        <v>92</v>
      </c>
      <c r="CL1" s="25" t="s">
        <v>93</v>
      </c>
      <c r="CM1" s="25" t="s">
        <v>94</v>
      </c>
      <c r="CN1" s="25" t="s">
        <v>95</v>
      </c>
      <c r="CO1" s="25" t="s">
        <v>96</v>
      </c>
      <c r="CP1" s="26" t="s">
        <v>97</v>
      </c>
      <c r="CQ1" s="26" t="s">
        <v>98</v>
      </c>
      <c r="CR1" s="25" t="s">
        <v>99</v>
      </c>
      <c r="CS1" s="25" t="s">
        <v>100</v>
      </c>
      <c r="CT1" s="25" t="s">
        <v>101</v>
      </c>
      <c r="CU1" s="25" t="s">
        <v>102</v>
      </c>
      <c r="CV1" s="25" t="s">
        <v>103</v>
      </c>
      <c r="CW1" s="25" t="s">
        <v>104</v>
      </c>
      <c r="CX1" s="25" t="s">
        <v>105</v>
      </c>
      <c r="CY1" s="25" t="s">
        <v>106</v>
      </c>
      <c r="CZ1" s="25" t="s">
        <v>107</v>
      </c>
      <c r="DA1" s="25" t="s">
        <v>108</v>
      </c>
      <c r="DB1" s="27" t="s">
        <v>109</v>
      </c>
      <c r="DC1" s="27" t="s">
        <v>110</v>
      </c>
      <c r="DD1" s="25" t="s">
        <v>111</v>
      </c>
      <c r="DE1" s="26" t="s">
        <v>112</v>
      </c>
      <c r="DF1" s="25" t="s">
        <v>113</v>
      </c>
      <c r="DG1" s="25" t="s">
        <v>114</v>
      </c>
      <c r="DH1" s="25" t="s">
        <v>115</v>
      </c>
      <c r="DI1" s="25" t="s">
        <v>116</v>
      </c>
      <c r="DJ1" s="25" t="s">
        <v>117</v>
      </c>
      <c r="DK1" s="25" t="s">
        <v>118</v>
      </c>
      <c r="DL1" s="25" t="s">
        <v>119</v>
      </c>
      <c r="DM1" s="25" t="s">
        <v>120</v>
      </c>
      <c r="DN1" s="25" t="s">
        <v>121</v>
      </c>
      <c r="DO1" s="25" t="s">
        <v>122</v>
      </c>
      <c r="DP1" s="26" t="s">
        <v>123</v>
      </c>
      <c r="DQ1" s="26" t="s">
        <v>124</v>
      </c>
      <c r="DR1" s="25" t="s">
        <v>125</v>
      </c>
      <c r="DS1" s="25" t="s">
        <v>126</v>
      </c>
      <c r="DT1" s="25" t="s">
        <v>127</v>
      </c>
      <c r="DU1" s="25" t="s">
        <v>128</v>
      </c>
      <c r="DV1" s="25" t="s">
        <v>129</v>
      </c>
      <c r="DW1" s="25" t="s">
        <v>25</v>
      </c>
    </row>
    <row r="2" spans="1:127" x14ac:dyDescent="0.3">
      <c r="A2" s="28" t="str">
        <f>B2&amp;C2</f>
        <v>F145992</v>
      </c>
      <c r="B2" s="29" t="s">
        <v>26</v>
      </c>
      <c r="C2" s="30">
        <v>45992</v>
      </c>
      <c r="D2" s="29" t="str">
        <f>VLOOKUP($B2&amp;$C2,'[1]FC1 Prod'!$A$6:$BP$36,[2]Consolidated!D$1)</f>
        <v>Raju Singh</v>
      </c>
      <c r="E2" s="29">
        <f>VLOOKUP($B2&amp;$C2,'[1]FC1 Prod'!$A$6:$BP$36,[2]Consolidated!E$1)</f>
        <v>24.895</v>
      </c>
      <c r="F2" s="31">
        <f>VLOOKUP($B2&amp;$C2,'[1]FC1 Prod'!$A$6:$BP$36,[2]Consolidated!F$1)</f>
        <v>0</v>
      </c>
      <c r="G2" s="32">
        <f>VLOOKUP($B2&amp;$C2,'[1]FC1 Prod'!$A$6:$BP$36,[2]Consolidated!G$1)</f>
        <v>24.895</v>
      </c>
      <c r="H2" s="32">
        <f>VLOOKUP($B2&amp;$C2,'[1]FC1 Prod'!$A$6:$BP$36,[2]Consolidated!H$1)</f>
        <v>17.974999999999998</v>
      </c>
      <c r="I2" s="32">
        <f>VLOOKUP($B2&amp;$C2,'[1]FC1 Prod'!$A$6:$BP$36,[2]Consolidated!I$1)</f>
        <v>5.87</v>
      </c>
      <c r="J2" s="32">
        <f>VLOOKUP($B2&amp;$C2,'[1]FC1 Prod'!$A$6:$BP$36,[2]Consolidated!J$1)</f>
        <v>39.21</v>
      </c>
      <c r="K2" s="32">
        <f>VLOOKUP($B2&amp;$C2,'[1]FC1 Prod'!$A$6:$BP$36,[2]Consolidated!K$1)</f>
        <v>1.38</v>
      </c>
      <c r="L2" s="32">
        <f>VLOOKUP($B2&amp;$C2,'[1]FC1 Prod'!$A$6:$BP$36,[2]Consolidated!L$1)</f>
        <v>28.58</v>
      </c>
      <c r="M2" s="32">
        <f>VLOOKUP($B2&amp;$C2,'[1]FC1 Prod'!$A$6:$BP$36,[2]Consolidated!M$1)</f>
        <v>5.12</v>
      </c>
      <c r="N2" s="32">
        <f>VLOOKUP($B2&amp;$C2,'[1]FC1 Prod'!$A$6:$BP$36,[2]Consolidated!N$1)</f>
        <v>16.72</v>
      </c>
      <c r="O2" s="32">
        <f>VLOOKUP($B2&amp;$C2,'[1]FC1 Prod'!$A$6:$BP$36,[2]Consolidated!O$1)</f>
        <v>0.86</v>
      </c>
      <c r="P2" s="33">
        <f>VLOOKUP($B2&amp;$C2,'[1]FC1 Prod'!$A$6:$BP$36,[2]Consolidated!P$1)</f>
        <v>8</v>
      </c>
      <c r="Q2" s="29">
        <f>VLOOKUP($B2&amp;$C2,'[1]FC1 Prod'!$A$6:$BP$36,[2]Consolidated!Q$1)</f>
        <v>42.599999999999994</v>
      </c>
      <c r="R2" s="29">
        <f>VLOOKUP($B2&amp;$C2,'[1]FC1 Prod'!$A$6:$BP$36,[2]Consolidated!R$1)</f>
        <v>13.702</v>
      </c>
      <c r="S2" s="34">
        <f>VLOOKUP($B2&amp;$C2,'[1]FC1 Prod'!$A$6:$BP$36,[2]Consolidated!S$1)</f>
        <v>21</v>
      </c>
      <c r="T2" s="34">
        <f>VLOOKUP($B2&amp;$C2,'[1]FC1 Prod'!$A$6:$BP$36,[2]Consolidated!T$1)</f>
        <v>18</v>
      </c>
      <c r="U2" s="34">
        <f>VLOOKUP($B2&amp;$C2,'[1]FC1 Prod'!$A$6:$BP$36,[2]Consolidated!U$1)</f>
        <v>15</v>
      </c>
      <c r="V2" s="34">
        <f>VLOOKUP($B2&amp;$C2,'[1]FC1 Prod'!$A$6:$BP$36,[2]Consolidated!V$1)</f>
        <v>54</v>
      </c>
      <c r="W2" s="35">
        <f>VLOOKUP($B2&amp;$C2,'[1]FC1 Prod'!$A$6:$BP$36,[2]Consolidated!W$1)</f>
        <v>1.7111869853384212</v>
      </c>
      <c r="X2" s="35">
        <f>VLOOKUP($B2&amp;$C2,'[1]FC1 Prod'!$A$6:$BP$36,[2]Consolidated!X$1)</f>
        <v>25.664999999999996</v>
      </c>
      <c r="Y2" s="36">
        <f>VLOOKUP($B2&amp;$C2,'[1]FC1 Prod'!$A$6:$BP$36,[2]Consolidated!Y$1)</f>
        <v>0.96999805182154697</v>
      </c>
      <c r="Z2" s="37" t="str">
        <f>VLOOKUP($B2&amp;$C2,'[1]FC1 Prod'!$A$6:$BP$36,[2]Consolidated!Z$1)</f>
        <v>40/22</v>
      </c>
      <c r="AA2" s="31">
        <f>VLOOKUP($B2&amp;$C2,'[1]FC1 Prod'!$A$6:$BP$36,[2]Consolidated!AA$1)</f>
        <v>40.221249999999998</v>
      </c>
      <c r="AB2" s="31">
        <f>VLOOKUP($B2&amp;$C2,'[1]FC1 Prod'!$A$6:$BP$36,[2]Consolidated!AB$1)</f>
        <v>20.71</v>
      </c>
      <c r="AC2" s="31">
        <f>VLOOKUP($B2&amp;$C2,'[1]FC1 Prod'!$A$6:$BP$36,[2]Consolidated!AC$1)</f>
        <v>0.49249999999999999</v>
      </c>
      <c r="AD2" s="38">
        <f>VLOOKUP($B2&amp;$C2,'[1]FC1 Prod'!$A$6:$BP$36,[2]Consolidated!AD$1)</f>
        <v>803.34225828479612</v>
      </c>
      <c r="AE2" s="38">
        <f>VLOOKUP($B2&amp;$C2,'[1]FC1 Prod'!$A$6:$BP$36,[2]Consolidated!AE$1)</f>
        <v>443.93085751355699</v>
      </c>
      <c r="AF2" s="39">
        <f>VLOOKUP($B2&amp;$C2,'[1]FC1 Prod'!$A$6:$BP$36,[2]Consolidated!AF$1)</f>
        <v>0.50067389814492991</v>
      </c>
      <c r="AG2" s="39">
        <f>VLOOKUP($B2&amp;$C2,'[1]FC1 Prod'!$A$6:$BP$36,[2]Consolidated!AG$1)</f>
        <v>0.90602510096455047</v>
      </c>
      <c r="AH2" s="34">
        <f>VLOOKUP($B2&amp;$C2,'[1]FC1 Prod'!$A$6:$BP$36,[2]Consolidated!AH$1)</f>
        <v>463.50994175537261</v>
      </c>
      <c r="AI2" s="33">
        <f>VLOOKUP($B2&amp;$C2,'[1]FC1 Prod'!$A$6:$BP$36,[2]Consolidated!AI$1)</f>
        <v>416.9894356296445</v>
      </c>
      <c r="AJ2" s="39">
        <f>VLOOKUP($B2&amp;$C2,'[1]FC1 Prod'!$A$6:$BP$36,[2]Consolidated!AJ$1)</f>
        <v>1.3370224022338431</v>
      </c>
      <c r="AK2" s="39">
        <f>VLOOKUP($B2&amp;$C2,'[1]FC1 Prod'!$A$6:$BP$36,[2]Consolidated!AK$1)</f>
        <v>0.60248881660209297</v>
      </c>
      <c r="AL2" s="40" t="str">
        <f>VLOOKUP($B2&amp;$C2,'[1]FC1 Prod'!$A$6:$BP$36,[2]Consolidated!AL$1)</f>
        <v>10/70</v>
      </c>
      <c r="AM2" s="41">
        <f>VLOOKUP($B2&amp;$C2,'[1]FC1 Prod'!$A$6:$BP$36,[2]Consolidated!AM$1)</f>
        <v>0</v>
      </c>
      <c r="AN2" s="42">
        <f>VLOOKUP($B2&amp;$C2,'[1]FC1 Prod'!$A$6:$BP$36,[2]Consolidated!AN$1)</f>
        <v>107.5</v>
      </c>
      <c r="AO2" s="43">
        <f>VLOOKUP($B2&amp;$C2,'[1]FC1 Prod'!$A$6:$BP$36,[2]Consolidated!AO$1)</f>
        <v>4.0970000000000004</v>
      </c>
      <c r="AP2" s="44">
        <f>VLOOKUP($B2&amp;$C2,'[1]FC1 Prod'!$A$6:$BP$36,[2]Consolidated!AP$1)</f>
        <v>4.4827073709580239</v>
      </c>
      <c r="AQ2" s="44">
        <f>VLOOKUP($B2&amp;$C2,'[1]FC1 Prod'!$A$6:$BP$36,[2]Consolidated!AQ$1)</f>
        <v>22.497015160916032</v>
      </c>
      <c r="AR2" s="45">
        <f>VLOOKUP($B2&amp;$C2,'[1]FC1 Prod'!$A$6:$BP$36,[2]Consolidated!AR$1)</f>
        <v>1.0179924242424241</v>
      </c>
      <c r="AS2" s="46">
        <f>VLOOKUP($B2&amp;$C2,'[1]FC1 Prod'!$A$6:$BP$36,[2]Consolidated!AS$1)</f>
        <v>2.2679999999999998</v>
      </c>
      <c r="AT2" s="29">
        <f>VLOOKUP($B2&amp;$C2,'[1]FC1 Prod'!$A$6:$BP$36,[2]Consolidated!AT$1)</f>
        <v>0.80746852668623126</v>
      </c>
      <c r="AU2" s="34">
        <f>VLOOKUP($B2&amp;$C2,'[1]FC1 Prod'!$A$6:$BP$36,[2]Consolidated!AU$1)</f>
        <v>333.4849537037037</v>
      </c>
      <c r="AV2" s="34">
        <f>VLOOKUP($B2&amp;$C2,'[1]FC1 Prod'!$A$6:$BP$36,[2]Consolidated!AV$1)</f>
        <v>250</v>
      </c>
      <c r="AW2" s="47">
        <f>VLOOKUP($B2&amp;$C2,'[1]FC1 Prod'!$A$6:$BP$36,[2]Consolidated!AW$1)</f>
        <v>30483.534846354691</v>
      </c>
      <c r="AX2" s="47">
        <f>VLOOKUP($B2&amp;$C2,'[1]FC1 Prod'!$A$6:$BP$36,[2]Consolidated!AX$1)</f>
        <v>14054.067081743322</v>
      </c>
      <c r="AY2" s="48">
        <f>VLOOKUP($B2&amp;$C2,'[1]FC1 Prod'!$A$6:$BP$36,[2]Consolidated!AY$1)</f>
        <v>2066.19803173328</v>
      </c>
      <c r="AZ2" s="47">
        <f>VLOOKUP($B2&amp;$C2,'[1]FC1 Prod'!$A$6:$BP$36,[2]Consolidated!AZ$1)</f>
        <v>1915.2259489857402</v>
      </c>
      <c r="BA2" s="47">
        <f>VLOOKUP($B2&amp;$C2,'[1]FC1 Prod'!$A$6:$BP$36,[2]Consolidated!BA$1)</f>
        <v>26223.838120104439</v>
      </c>
      <c r="BB2" s="47">
        <f>VLOOKUP($B2&amp;$C2,'[1]FC1 Prod'!$A$6:$BP$36,[2]Consolidated!BB$1)</f>
        <v>747.42864028921474</v>
      </c>
      <c r="BC2" s="47">
        <f>VLOOKUP($B2&amp;$C2,'[1]FC1 Prod'!$A$6:$BP$36,[2]Consolidated!BC$1)</f>
        <v>8517.1440048202458</v>
      </c>
      <c r="BD2" s="49">
        <f>VLOOKUP($B2&amp;$C2,'[1]FC1 Prod'!$A$6:$BP$36,[2]Consolidated!BD$1)</f>
        <v>84007.436674030934</v>
      </c>
      <c r="BE2" s="47">
        <f>VLOOKUP($B2&amp;$C2,'[1]FC1 Prod'!$A$6:$BP$36,[2]Consolidated!BE$1)</f>
        <v>16769.701345651738</v>
      </c>
      <c r="BF2" s="47">
        <f>VLOOKUP($B2&amp;$C2,'[1]FC1 Prod'!$A$6:$BP$36,[2]Consolidated!BF$1)</f>
        <v>12729.720827475398</v>
      </c>
      <c r="BG2" s="50">
        <f>VLOOKUP($B2&amp;$C2,'[1]FC1 Prod'!$A$6:$BP$36,[2]Consolidated!BG$1)</f>
        <v>1904.7680257079735</v>
      </c>
      <c r="BH2" s="50">
        <f>VLOOKUP($B2&amp;$C2,'[1]FC1 Prod'!$A$6:$BP$36,[2]Consolidated!BH$1)</f>
        <v>595.43254267925283</v>
      </c>
      <c r="BI2" s="50">
        <f>VLOOKUP($B2&amp;$C2,'[1]FC1 Prod'!$A$6:$BP$36,[2]Consolidated!BI$1)</f>
        <v>68655.830815424793</v>
      </c>
      <c r="BJ2" s="37" t="e">
        <f>VLOOKUP($B2&amp;$C2,'[1]FC1 Prod'!$A$6:$BP$36,[2]Consolidated!BJ$1)</f>
        <v>#REF!</v>
      </c>
      <c r="BK2" s="37" t="e">
        <f>VLOOKUP($B2&amp;$C2,'[1]FC1 Prod'!$A$6:$BP$36,[2]Consolidated!BK$1)</f>
        <v>#REF!</v>
      </c>
      <c r="BL2" s="37" t="e">
        <f>VLOOKUP($B2&amp;$C2,'[1]FC1 Prod'!$A$6:$BP$36,[2]Consolidated!BL$1)</f>
        <v>#REF!</v>
      </c>
      <c r="BM2" s="37" t="e">
        <f>VLOOKUP($B2&amp;$C2,'[1]FC1 Prod'!$A$6:$BP$36,[2]Consolidated!BM$1)</f>
        <v>#REF!</v>
      </c>
      <c r="BN2" s="37" t="e">
        <f>VLOOKUP($B2&amp;$C2,'[1]FC1 Prod'!$A$6:$BP$36,[2]Consolidated!BN$1)</f>
        <v>#REF!</v>
      </c>
      <c r="BO2" s="37" t="e">
        <f>VLOOKUP($B2&amp;$C2,'[1]FC1 Prod'!$A$6:$BP$36,[2]Consolidated!BO$1)</f>
        <v>#REF!</v>
      </c>
      <c r="BP2" s="37" t="str">
        <f>VLOOKUP($B2&amp;$C2,'[1]FC1 Prod'!$A$6:$BP$36,[2]Consolidated!BP$1)</f>
        <v>NIL</v>
      </c>
      <c r="BQ2" s="51" t="e">
        <f>VLOOKUP($B2&amp;$C2,'[1]FC1 Prod'!$A$6:$BP$36,[2]Consolidated!BQ$1)</f>
        <v>#REF!</v>
      </c>
      <c r="BR2" s="51">
        <f>VLOOKUP($B2&amp;$C2,'[1]FC1 Prod'!$A$6:$BQ$36,[2]Consolidated!BR$1)</f>
        <v>60759</v>
      </c>
      <c r="BS2" s="52">
        <f>BE2+BF2+BG2+BA2</f>
        <v>57628.028318939549</v>
      </c>
      <c r="BT2" s="32">
        <f>BR2-BS2</f>
        <v>3130.9716810604514</v>
      </c>
      <c r="BU2" s="37">
        <f>E2*BT2</f>
        <v>77945.539999999935</v>
      </c>
      <c r="BV2" s="53" t="s">
        <v>130</v>
      </c>
      <c r="BW2" s="54" cm="1">
        <f t="array" ref="BW2">IFERROR(VLOOKUP($A2,TRANSPOSE('[1]Fur 1 PLC'!$AR$1:$BV$38),8,0),0)</f>
        <v>0</v>
      </c>
      <c r="BX2" s="54" cm="1">
        <f t="array" ref="BX2">IFERROR(VLOOKUP($A2,TRANSPOSE('[1]Fur 1 PLC'!$AR$1:$BV$38),30,0),0)</f>
        <v>109.01787507531633</v>
      </c>
      <c r="BY2" s="54" cm="1">
        <f t="array" ref="BY2">IFERROR(VLOOKUP($A2,TRANSPOSE('[1]Fur 1 PLC'!$AR$1:$BV$38),14,0),0)</f>
        <v>0</v>
      </c>
      <c r="BZ2" s="54" cm="1">
        <f t="array" ref="BZ2">IFERROR(VLOOKUP($A2,TRANSPOSE('[1]Fur 1 PLC'!$AR$1:$BV$38),16,0),0)</f>
        <v>0</v>
      </c>
      <c r="CA2" s="54" cm="1">
        <f t="array" ref="CA2">IFERROR(VLOOKUP($A2,TRANSPOSE('[1]Fur 1 PLC'!$AR$1:$BV$38),9,0),0)</f>
        <v>293.43241614782085</v>
      </c>
      <c r="CB2" s="54" cm="1">
        <f t="array" ref="CB2">IFERROR(VLOOKUP($A2,TRANSPOSE('[1]Fur 1 PLC'!$AR$1:$BV$38),17,0),0)</f>
        <v>0</v>
      </c>
      <c r="CC2" s="54" cm="1">
        <f t="array" ref="CC2">IFERROR(VLOOKUP($A2,TRANSPOSE('[1]Fur 1 PLC'!$AR$1:$BV$38),20,0),0)</f>
        <v>781.88391243221531</v>
      </c>
      <c r="CD2" s="54" cm="1">
        <f t="array" ref="CD2">IFERROR(VLOOKUP($A2,TRANSPOSE('[1]Fur 1 PLC'!$AR$1:$BV$38),28,0),0)</f>
        <v>0</v>
      </c>
      <c r="CE2" s="54" cm="1">
        <f t="array" ref="CE2">IFERROR(VLOOKUP($A2,TRANSPOSE('[1]Fur 1 PLC'!$AR$1:$BV$38),13,0),0)</f>
        <v>0</v>
      </c>
      <c r="CF2" s="54" cm="1">
        <f t="array" ref="CF2">IFERROR(VLOOKUP($A2,TRANSPOSE('[1]Fur 1 PLC'!$AR$1:$BV$38),37,0),0)</f>
        <v>531.51235187788711</v>
      </c>
      <c r="CG2" s="54" cm="1">
        <f t="array" ref="CG2">IFERROR(VLOOKUP($A2,TRANSPOSE('[1]Fur 1 PLC'!$AR$1:$BV$38),6,0),0)</f>
        <v>0</v>
      </c>
      <c r="CH2" s="54" cm="1">
        <f t="array" ref="CH2">IFERROR(VLOOKUP($A2,TRANSPOSE('[1]Fur 1 PLC'!$AR$1:$BV$38),21,0),0)</f>
        <v>0</v>
      </c>
      <c r="CI2" s="54" cm="1">
        <f t="array" ref="CI2">IFERROR(VLOOKUP($A2,TRANSPOSE('[1]Fur 1 PLC'!$AR$1:$BV$38),12,0),0)</f>
        <v>0</v>
      </c>
      <c r="CJ2" s="54" cm="1">
        <f t="array" ref="CJ2">IFERROR(VLOOKUP($A2,TRANSPOSE('[1]Fur 1 PLC'!$AR$1:$BV$38),25,0),0)</f>
        <v>0</v>
      </c>
      <c r="CK2" s="54" cm="1">
        <f t="array" ref="CK2">IFERROR(VLOOKUP($A2,TRANSPOSE('[1]Fur 1 PLC'!$AR$1:$BV$38),26,0),0)</f>
        <v>0</v>
      </c>
      <c r="CL2" s="54" cm="1">
        <f t="array" ref="CL2">IFERROR(VLOOKUP($A2,TRANSPOSE('[1]Fur 1 PLC'!$AR$1:$BV$38),27,0),0)</f>
        <v>441.37376983329983</v>
      </c>
      <c r="CM2" s="54" cm="1">
        <f t="array" ref="CM2">IFERROR(VLOOKUP($A2,TRANSPOSE('[1]Fur 1 PLC'!$AR$1:$BV$38),22,0),0)</f>
        <v>0</v>
      </c>
      <c r="CN2" s="54"/>
      <c r="CO2" s="54" cm="1">
        <f t="array" ref="CO2">IFERROR(VLOOKUP($A2,TRANSPOSE('[1]Fur 1 PLC'!$AR$1:$BV$38),29,0),0)</f>
        <v>0</v>
      </c>
      <c r="CP2" s="54" cm="1">
        <f t="array" ref="CP2">IFERROR(VLOOKUP($A2,TRANSPOSE('[1]Fur 1 PLC'!$AR$1:$BV$38),10,0),0)</f>
        <v>0</v>
      </c>
      <c r="CQ2" s="54" cm="1">
        <f t="array" ref="CQ2">IFERROR(VLOOKUP($A2,TRANSPOSE('[1]Fur 1 PLC'!$AR$1:$BV$38),7,0),0)</f>
        <v>262.10082345852584</v>
      </c>
      <c r="CR2" s="54" cm="1">
        <f t="array" ref="CR2">IFERROR(VLOOKUP($A2,TRANSPOSE('[1]Fur 1 PLC'!$AR$1:$BV$38),35,0),0)</f>
        <v>195.70194818236595</v>
      </c>
      <c r="CS2" s="54" cm="1">
        <f t="array" ref="CS2">IFERROR(VLOOKUP($A2,TRANSPOSE('[1]Fur 1 PLC'!$AR$1:$BV$38),11,0),0)</f>
        <v>0</v>
      </c>
      <c r="CT2" s="54" cm="1">
        <f t="array" ref="CT2">IFERROR(VLOOKUP($A2,TRANSPOSE('[1]Fur 1 PLC'!$AR$1:$BV$38),19,0),0)</f>
        <v>0</v>
      </c>
      <c r="CU2" s="54" cm="1">
        <f t="array" ref="CU2">IFERROR(VLOOKUP($A2,TRANSPOSE('[1]Fur 1 PLC'!$AR$1:$BV$38),18,0),0)</f>
        <v>488.53183370154653</v>
      </c>
      <c r="CV2" s="54" cm="1">
        <f t="array" ref="CV2">IFERROR(VLOOKUP($A2,TRANSPOSE('[1]Fur 1 PLC'!$AR$1:$BV$38),15,0),0)</f>
        <v>147.33882305683875</v>
      </c>
      <c r="CW2" s="54" cm="1">
        <f t="array" ref="CW2">IFERROR(VLOOKUP($A2,TRANSPOSE('[1]Fur 1 PLC'!$CL$1:$DP$38),8,0),0)</f>
        <v>0</v>
      </c>
      <c r="CX2" s="54" cm="1">
        <f t="array" ref="CX2">IFERROR(VLOOKUP($A2,TRANSPOSE('[1]Fur 1 PLC'!$CL$1:$DP$38),30,0),0)</f>
        <v>50.25925925925926</v>
      </c>
      <c r="CY2" s="54" cm="1">
        <f t="array" ref="CY2">IFERROR(VLOOKUP($A2,TRANSPOSE('[1]Fur 1 PLC'!$CL$1:$DP$38),14,0),0)</f>
        <v>0</v>
      </c>
      <c r="CZ2" s="54" cm="1">
        <f t="array" ref="CZ2">IFERROR(VLOOKUP($A2,TRANSPOSE('[1]Fur 1 PLC'!$CL$1:$DP$38),16,0),0)</f>
        <v>0</v>
      </c>
      <c r="DA2" s="54" cm="1">
        <f t="array" ref="DA2">IFERROR(VLOOKUP($A2,TRANSPOSE('[1]Fur 1 PLC'!$CL$1:$DP$38),9,0),0)</f>
        <v>135.27777777777777</v>
      </c>
      <c r="DB2" s="55" cm="1">
        <f t="array" ref="DB2">IFERROR(VLOOKUP($A2,TRANSPOSE('[1]Fur 1 PLC'!$CL$1:$DP$38),17,0),0)</f>
        <v>0</v>
      </c>
      <c r="DC2" s="55" cm="1">
        <f t="array" ref="DC2">IFERROR(VLOOKUP($A2,TRANSPOSE('[1]Fur 1 PLC'!$CL$1:$DP$38),20,0),0)</f>
        <v>360.46296296296299</v>
      </c>
      <c r="DD2" s="54" cm="1">
        <f t="array" ref="DD2">IFERROR(VLOOKUP($A2,TRANSPOSE('[1]Fur 1 PLC'!$CL$1:$DP$38),28,0),0)</f>
        <v>0</v>
      </c>
      <c r="DE2" s="54" cm="1">
        <f t="array" ref="DE2">IFERROR(VLOOKUP($A2,TRANSPOSE('[1]Fur 1 PLC'!$CL$1:$DP$38),13,0),0)</f>
        <v>0</v>
      </c>
      <c r="DF2" s="54" cm="1">
        <f t="array" ref="DF2">IFERROR(VLOOKUP($A2,TRANSPOSE('[1]Fur 1 PLC'!$CL$1:$DP$38),37,0),0)</f>
        <v>245.03703703703704</v>
      </c>
      <c r="DG2" s="54" cm="1">
        <f t="array" ref="DG2">IFERROR(VLOOKUP($A2,TRANSPOSE('[1]Fur 1 PLC'!$CL$1:$DP$38),6,0),0)</f>
        <v>0</v>
      </c>
      <c r="DH2" s="54" cm="1">
        <f t="array" ref="DH2">IFERROR(VLOOKUP($A2,TRANSPOSE('[1]Fur 1 PLC'!$CL$1:$DP$38),21,0),0)</f>
        <v>0</v>
      </c>
      <c r="DI2" s="54" cm="1">
        <f t="array" ref="DI2">IFERROR(VLOOKUP($A2,TRANSPOSE('[1]Fur 1 PLC'!$CL$1:$DP$38),12,0),0)</f>
        <v>0</v>
      </c>
      <c r="DJ2" s="54" cm="1">
        <f t="array" ref="DJ2">IFERROR(VLOOKUP($A2,TRANSPOSE('[1]Fur 1 PLC'!$CL$1:$DP$38),25,0),0)</f>
        <v>0</v>
      </c>
      <c r="DK2" s="54" cm="1">
        <f t="array" ref="DK2">IFERROR(VLOOKUP($A2,TRANSPOSE('[1]Fur 1 PLC'!$CL$1:$DP$38),26,0),0)</f>
        <v>0</v>
      </c>
      <c r="DL2" s="54" cm="1">
        <f t="array" ref="DL2">IFERROR(VLOOKUP($A2,TRANSPOSE('[1]Fur 1 PLC'!$CL$1:$DP$38),27,0),0)</f>
        <v>203.4814814814815</v>
      </c>
      <c r="DM2" s="54" cm="1">
        <f t="array" ref="DM2">IFERROR(VLOOKUP($A2,TRANSPOSE('[1]Fur 1 PLC'!$CL$1:$DP$38),22,0),0)</f>
        <v>0</v>
      </c>
      <c r="DN2" s="54" cm="1">
        <f t="array" ref="DN2">IFERROR(VLOOKUP($A2,TRANSPOSE('[1]Fur 1 PLC'!$CL$1:$DP$38),19,0),0)</f>
        <v>0</v>
      </c>
      <c r="DO2" s="54" cm="1">
        <f t="array" ref="DO2">IFERROR(VLOOKUP($A2,TRANSPOSE('[1]Fur 1 PLC'!$CL$1:$DP$38),29,0),0)</f>
        <v>0</v>
      </c>
      <c r="DP2" s="54" cm="1">
        <f t="array" ref="DP2">IFERROR(VLOOKUP($A2,TRANSPOSE('[1]Fur 1 PLC'!$CL$1:$DP$38),10,0),0)</f>
        <v>0</v>
      </c>
      <c r="DQ2" s="54" cm="1">
        <f t="array" ref="DQ2">IFERROR(VLOOKUP($A2,TRANSPOSE('[1]Fur 1 PLC'!$CL$1:$DP$38),7,0),0)</f>
        <v>120.83333333333333</v>
      </c>
      <c r="DR2" s="54" cm="1">
        <f t="array" ref="DR2">IFERROR(VLOOKUP($A2,TRANSPOSE('[1]Fur 1 PLC'!$CL$1:$DP$38),35,0),0)</f>
        <v>90.222222222222214</v>
      </c>
      <c r="DS2" s="54" cm="1">
        <f t="array" ref="DS2">IFERROR(VLOOKUP($A2,TRANSPOSE('[1]Fur 1 PLC'!$CL$1:$DP$38),11,0),0)</f>
        <v>0</v>
      </c>
      <c r="DT2" s="54" cm="1">
        <f t="array" ref="DT2">IFERROR(VLOOKUP($A2,TRANSPOSE('[1]Fur 1 PLC'!$CL$1:$DP$38),19,0),0)</f>
        <v>0</v>
      </c>
      <c r="DU2" s="54" cm="1">
        <f t="array" ref="DU2">IFERROR(VLOOKUP($A2,TRANSPOSE('[1]Fur 1 PLC'!$CL$1:$DP$38),18,0),0)</f>
        <v>225.22222222222223</v>
      </c>
      <c r="DV2" s="54" cm="1">
        <f t="array" ref="DV2">IFERROR(VLOOKUP($A2,TRANSPOSE('[1]Fur 1 PLC'!$CL$1:$DP$38),15,0),0)</f>
        <v>67.925925925925938</v>
      </c>
      <c r="DW2" t="str">
        <f>TEXT(C2,"Mmm-yy")</f>
        <v>Dec-25</v>
      </c>
    </row>
    <row r="3" spans="1:127" x14ac:dyDescent="0.3">
      <c r="A3" s="28" t="str">
        <f>B3&amp;C3</f>
        <v>F245992</v>
      </c>
      <c r="B3" s="29" t="s">
        <v>27</v>
      </c>
      <c r="C3" s="30">
        <f>C2</f>
        <v>45992</v>
      </c>
      <c r="D3" s="29" t="str">
        <f>VLOOKUP($B3&amp;$C3,'[1]FC2 Prod'!$A$6:$BP$36,[2]Consolidated!D$1)</f>
        <v>Mr. Girish Malik</v>
      </c>
      <c r="E3" s="29">
        <f>VLOOKUP($B3&amp;$C3,'[1]FC2 Prod'!$A$6:$BP$36,[2]Consolidated!E$1)</f>
        <v>30.720000000000002</v>
      </c>
      <c r="F3" s="29">
        <f>VLOOKUP($B3&amp;$C3,'[1]FC2 Prod'!$A$6:$BP$36,[2]Consolidated!F$1)</f>
        <v>0</v>
      </c>
      <c r="G3" s="29">
        <f>VLOOKUP($B3&amp;$C3,'[1]FC2 Prod'!$A$6:$BP$36,[2]Consolidated!G$1)</f>
        <v>30.72</v>
      </c>
      <c r="H3" s="32">
        <f>VLOOKUP($B3&amp;$C3,'[1]FC2 Prod'!$A$6:$BP$36,[2]Consolidated!H$1)</f>
        <v>22.503999999999998</v>
      </c>
      <c r="I3" s="32">
        <f>VLOOKUP($B3&amp;$C3,'[1]FC2 Prod'!$A$6:$BP$36,[2]Consolidated!I$1)</f>
        <v>6.46</v>
      </c>
      <c r="J3" s="32">
        <f>VLOOKUP($B3&amp;$C3,'[1]FC2 Prod'!$A$6:$BP$36,[2]Consolidated!J$1)</f>
        <v>40.47</v>
      </c>
      <c r="K3" s="32">
        <f>VLOOKUP($B3&amp;$C3,'[1]FC2 Prod'!$A$6:$BP$36,[2]Consolidated!K$1)</f>
        <v>1.46</v>
      </c>
      <c r="L3" s="32">
        <f>VLOOKUP($B3&amp;$C3,'[1]FC2 Prod'!$A$6:$BP$36,[2]Consolidated!L$1)</f>
        <v>28.45</v>
      </c>
      <c r="M3" s="32">
        <f>VLOOKUP($B3&amp;$C3,'[1]FC2 Prod'!$A$6:$BP$36,[2]Consolidated!M$1)</f>
        <v>5.23</v>
      </c>
      <c r="N3" s="32">
        <f>VLOOKUP($B3&amp;$C3,'[1]FC2 Prod'!$A$6:$BP$36,[2]Consolidated!N$1)</f>
        <v>14.61</v>
      </c>
      <c r="O3" s="32">
        <f>VLOOKUP($B3&amp;$C3,'[1]FC2 Prod'!$A$6:$BP$36,[2]Consolidated!O$1)</f>
        <v>0.86</v>
      </c>
      <c r="P3" s="34">
        <f>VLOOKUP($B3&amp;$C3,'[1]FC2 Prod'!$A$6:$BP$36,[2]Consolidated!P$1)</f>
        <v>9</v>
      </c>
      <c r="Q3" s="29">
        <f>VLOOKUP($B3&amp;$C3,'[1]FC2 Prod'!$A$6:$BP$36,[2]Consolidated!Q$1)</f>
        <v>59.706999999999994</v>
      </c>
      <c r="R3" s="29">
        <f>VLOOKUP($B3&amp;$C3,'[1]FC2 Prod'!$A$6:$BP$36,[2]Consolidated!R$1)</f>
        <v>19.251999999999999</v>
      </c>
      <c r="S3" s="34">
        <f>VLOOKUP($B3&amp;$C3,'[1]FC2 Prod'!$A$6:$BP$36,[2]Consolidated!S$1)</f>
        <v>30</v>
      </c>
      <c r="T3" s="34">
        <f>VLOOKUP($B3&amp;$C3,'[1]FC2 Prod'!$A$6:$BP$36,[2]Consolidated!T$1)</f>
        <v>20</v>
      </c>
      <c r="U3" s="34">
        <f>VLOOKUP($B3&amp;$C3,'[1]FC2 Prod'!$A$6:$BP$36,[2]Consolidated!U$1)</f>
        <v>18</v>
      </c>
      <c r="V3" s="34">
        <f>VLOOKUP($B3&amp;$C3,'[1]FC2 Prod'!$A$6:$BP$36,[2]Consolidated!V$1)</f>
        <v>68</v>
      </c>
      <c r="W3" s="29">
        <f>VLOOKUP($B3&amp;$C3,'[1]FC2 Prod'!$A$6:$BP$36,[2]Consolidated!W$1)</f>
        <v>1.9435872395833331</v>
      </c>
      <c r="X3" s="35">
        <f>VLOOKUP($B3&amp;$C3,'[1]FC2 Prod'!$A$6:$BP$36,[2]Consolidated!X$1)</f>
        <v>31.669999999999995</v>
      </c>
      <c r="Y3" s="36">
        <f>VLOOKUP($B3&amp;$C3,'[1]FC2 Prod'!$A$6:$BP$36,[2]Consolidated!Y$1)</f>
        <v>0.970003157562362</v>
      </c>
      <c r="Z3" s="37" t="str">
        <f>VLOOKUP($B3&amp;$C3,'[1]FC2 Prod'!$A$6:$BP$36,[2]Consolidated!Z$1)</f>
        <v>55/22</v>
      </c>
      <c r="AA3" s="31">
        <f>VLOOKUP($B3&amp;$C3,'[1]FC2 Prod'!$A$6:$BP$36,[2]Consolidated!AA$1)</f>
        <v>55.174444444444447</v>
      </c>
      <c r="AB3" s="31">
        <f>VLOOKUP($B3&amp;$C3,'[1]FC2 Prod'!$A$6:$BP$36,[2]Consolidated!AB$1)</f>
        <v>21.621111111111112</v>
      </c>
      <c r="AC3" s="31">
        <f>VLOOKUP($B3&amp;$C3,'[1]FC2 Prod'!$A$6:$BP$36,[2]Consolidated!AC$1)</f>
        <v>0.45777777777777778</v>
      </c>
      <c r="AD3" s="38">
        <f>VLOOKUP($B3&amp;$C3,'[1]FC2 Prod'!$A$6:$BP$36,[2]Consolidated!AD$1)</f>
        <v>923.80277633463538</v>
      </c>
      <c r="AE3" s="38">
        <f>VLOOKUP($B3&amp;$C3,'[1]FC2 Prod'!$A$6:$BP$36,[2]Consolidated!AE$1)</f>
        <v>617.26389989908864</v>
      </c>
      <c r="AF3" s="39">
        <f>VLOOKUP($B3&amp;$C3,'[1]FC2 Prod'!$A$6:$BP$36,[2]Consolidated!AF$1)</f>
        <v>0.59725350321374471</v>
      </c>
      <c r="AG3" s="39">
        <f>VLOOKUP($B3&amp;$C3,'[1]FC2 Prod'!$A$6:$BP$36,[2]Consolidated!AG$1)</f>
        <v>0.89385503434534985</v>
      </c>
      <c r="AH3" s="34">
        <f>VLOOKUP($B3&amp;$C3,'[1]FC2 Prod'!$A$6:$BP$36,[2]Consolidated!AH$1)</f>
        <v>483.17379166666672</v>
      </c>
      <c r="AI3" s="33">
        <f>VLOOKUP($B3&amp;$C3,'[1]FC2 Prod'!$A$6:$BP$36,[2]Consolidated!AI$1)</f>
        <v>461.07230520833326</v>
      </c>
      <c r="AJ3" s="39">
        <f>VLOOKUP($B3&amp;$C3,'[1]FC2 Prod'!$A$6:$BP$36,[2]Consolidated!AJ$1)</f>
        <v>0.45060711772078293</v>
      </c>
      <c r="AK3" s="39">
        <f>VLOOKUP($B3&amp;$C3,'[1]FC2 Prod'!$A$6:$BP$36,[2]Consolidated!AK$1)</f>
        <v>0.51123812065361829</v>
      </c>
      <c r="AL3" s="40" t="str">
        <f>VLOOKUP($B3&amp;$C3,'[1]FC2 Prod'!$A$6:$BP$36,[2]Consolidated!AL$1)</f>
        <v>10/70</v>
      </c>
      <c r="AM3" s="41">
        <f>VLOOKUP($B3&amp;$C3,'[1]FC2 Prod'!$A$6:$BP$36,[2]Consolidated!AM$1)</f>
        <v>2.5390625E-2</v>
      </c>
      <c r="AN3" s="42">
        <f>VLOOKUP($B3&amp;$C3,'[1]FC2 Prod'!$A$6:$BP$36,[2]Consolidated!AN$1)</f>
        <v>146.5</v>
      </c>
      <c r="AO3" s="43">
        <f>VLOOKUP($B3&amp;$C3,'[1]FC2 Prod'!$A$6:$BP$36,[2]Consolidated!AO$1)</f>
        <v>6.6680000000000001</v>
      </c>
      <c r="AP3" s="44">
        <f>VLOOKUP($B3&amp;$C3,'[1]FC2 Prod'!$A$6:$BP$36,[2]Consolidated!AP$1)</f>
        <v>4.9859375000000004</v>
      </c>
      <c r="AQ3" s="44">
        <f>VLOOKUP($B3&amp;$C3,'[1]FC2 Prod'!$A$6:$BP$36,[2]Consolidated!AQ$1)</f>
        <v>28.068248031173216</v>
      </c>
      <c r="AR3" s="45">
        <f>VLOOKUP($B3&amp;$C3,'[1]FC2 Prod'!$A$6:$BP$36,[2]Consolidated!AR$1)</f>
        <v>1.0006830601092898</v>
      </c>
      <c r="AS3" s="46">
        <f>VLOOKUP($B3&amp;$C3,'[1]FC2 Prod'!$A$6:$BP$36,[2]Consolidated!AS$1)</f>
        <v>2.1366666666666667</v>
      </c>
      <c r="AT3" s="29">
        <f>VLOOKUP($B3&amp;$C3,'[1]FC2 Prod'!$A$6:$BP$36,[2]Consolidated!AT$1)</f>
        <v>0.78897456964886947</v>
      </c>
      <c r="AU3" s="34">
        <f>VLOOKUP($B3&amp;$C3,'[1]FC2 Prod'!$A$6:$BP$36,[2]Consolidated!AU$1)</f>
        <v>460.8506944444444</v>
      </c>
      <c r="AV3" s="34">
        <f>VLOOKUP($B3&amp;$C3,'[1]FC2 Prod'!$A$6:$BP$36,[2]Consolidated!AV$1)</f>
        <v>208.33333333333334</v>
      </c>
      <c r="AW3" s="47">
        <f>VLOOKUP($B3&amp;$C3,'[1]FC2 Prod'!$A$6:$BP$36,[2]Consolidated!AW$1)</f>
        <v>36350.875651041664</v>
      </c>
      <c r="AX3" s="47">
        <f>VLOOKUP($B3&amp;$C3,'[1]FC2 Prod'!$A$6:$BP$36,[2]Consolidated!AX$1)</f>
        <v>14863.020833333332</v>
      </c>
      <c r="AY3" s="48">
        <f>VLOOKUP($B3&amp;$C3,'[1]FC2 Prod'!$A$6:$BP$36,[2]Consolidated!AY$1)</f>
        <v>1792.08984375</v>
      </c>
      <c r="AZ3" s="47">
        <f>VLOOKUP($B3&amp;$C3,'[1]FC2 Prod'!$A$6:$BP$36,[2]Consolidated!AZ$1)</f>
        <v>1643.3772786458335</v>
      </c>
      <c r="BA3" s="47">
        <f>VLOOKUP($B3&amp;$C3,'[1]FC2 Prod'!$A$6:$BP$36,[2]Consolidated!BA$1)</f>
        <v>29167.734375000004</v>
      </c>
      <c r="BB3" s="47">
        <f>VLOOKUP($B3&amp;$C3,'[1]FC2 Prod'!$A$6:$BP$36,[2]Consolidated!BB$1)</f>
        <v>838.17097981770848</v>
      </c>
      <c r="BC3" s="47">
        <f>VLOOKUP($B3&amp;$C3,'[1]FC2 Prod'!$A$6:$BP$36,[2]Consolidated!BC$1)</f>
        <v>9473.28125</v>
      </c>
      <c r="BD3" s="49">
        <f>VLOOKUP($B3&amp;$C3,'[1]FC2 Prod'!$A$6:$BP$36,[2]Consolidated!BD$1)</f>
        <v>94128.550211588547</v>
      </c>
      <c r="BE3" s="47">
        <f>VLOOKUP($B3&amp;$C3,'[1]FC2 Prod'!$A$6:$BP$36,[2]Consolidated!BE$1)</f>
        <v>24411.478613281248</v>
      </c>
      <c r="BF3" s="47">
        <f>VLOOKUP($B3&amp;$C3,'[1]FC2 Prod'!$A$6:$BP$36,[2]Consolidated!BF$1)</f>
        <v>14125.989583333334</v>
      </c>
      <c r="BG3" s="50">
        <f>VLOOKUP($B3&amp;$C3,'[1]FC2 Prod'!$A$6:$BP$36,[2]Consolidated!BG$1)</f>
        <v>1664.736328125</v>
      </c>
      <c r="BH3" s="50">
        <f>VLOOKUP($B3&amp;$C3,'[1]FC2 Prod'!$A$6:$BP$36,[2]Consolidated!BH$1)</f>
        <v>710.13316178385412</v>
      </c>
      <c r="BI3" s="50">
        <f>VLOOKUP($B3&amp;$C3,'[1]FC2 Prod'!$A$6:$BP$36,[2]Consolidated!BI$1)</f>
        <v>81196.730590169274</v>
      </c>
      <c r="BJ3" s="37" t="e">
        <f>VLOOKUP($B3&amp;$C3,'[1]FC2 Prod'!$A$6:$BP$36,[2]Consolidated!BJ$1)</f>
        <v>#REF!</v>
      </c>
      <c r="BK3" s="37" t="e">
        <f>VLOOKUP($B3&amp;$C3,'[1]FC2 Prod'!$A$6:$BP$36,[2]Consolidated!BK$1)</f>
        <v>#REF!</v>
      </c>
      <c r="BL3" s="37">
        <f>VLOOKUP($B3&amp;$C3,'[1]FC2 Prod'!$A$6:$BP$36,[2]Consolidated!BL$1)</f>
        <v>10</v>
      </c>
      <c r="BM3" s="37" t="e">
        <f>VLOOKUP($B3&amp;$C3,'[1]FC2 Prod'!$A$6:$BP$36,[2]Consolidated!BM$1)</f>
        <v>#REF!</v>
      </c>
      <c r="BN3" s="37" t="e">
        <f>VLOOKUP($B3&amp;$C3,'[1]FC2 Prod'!$A$6:$BP$36,[2]Consolidated!BN$1)</f>
        <v>#REF!</v>
      </c>
      <c r="BO3" s="37">
        <f>VLOOKUP($B3&amp;$C3,'[1]FC2 Prod'!$A$6:$BP$36,[2]Consolidated!BO$1)</f>
        <v>10</v>
      </c>
      <c r="BP3" s="37" t="str">
        <f>VLOOKUP($B3&amp;$C3,'[1]FC2 Prod'!$A$6:$BP$36,[2]Consolidated!BP$1)</f>
        <v>Electrode Lengths Measurment.</v>
      </c>
      <c r="BQ3" s="29" t="e">
        <f>VLOOKUP($B3&amp;$C3,'[1]FC2 Prod'!$A$6:$BP$36,[2]Consolidated!BQ$1)</f>
        <v>#REF!</v>
      </c>
      <c r="BR3" s="51">
        <f>VLOOKUP($B3&amp;$C3,'[1]FC2 Prod'!$A$6:$BQ$36,[2]Consolidated!BR$1)</f>
        <v>69902</v>
      </c>
      <c r="BS3" s="52">
        <f>BE3+BF3+BG3+BA3</f>
        <v>69369.938899739587</v>
      </c>
      <c r="BT3" s="32">
        <f>BR3-BS3</f>
        <v>532.06110026041279</v>
      </c>
      <c r="BU3" s="37">
        <f>E3*BT3</f>
        <v>16344.916999999881</v>
      </c>
      <c r="BV3" s="53" t="s">
        <v>130</v>
      </c>
      <c r="BW3" s="54" cm="1">
        <f t="array" ref="BW3">IFERROR(VLOOKUP($A3,TRANSPOSE('[1]Fur 2 PLC'!$AR$1:$BV$38),8,0),0)</f>
        <v>0</v>
      </c>
      <c r="BX3" s="54" cm="1">
        <f t="array" ref="BX3">IFERROR(VLOOKUP($A3,TRANSPOSE('[1]Fur 2 PLC'!$AR$1:$BV$38),30,0),0)</f>
        <v>0</v>
      </c>
      <c r="BY3" s="54" cm="1">
        <f t="array" ref="BY3">IFERROR(VLOOKUP($A3,TRANSPOSE('[1]Fur 2 PLC'!$AR$1:$BV$38),14,0),0)</f>
        <v>0</v>
      </c>
      <c r="BZ3" s="54" cm="1">
        <f t="array" ref="BZ3">IFERROR(VLOOKUP($A3,TRANSPOSE('[1]Fur 2 PLC'!$AR$1:$BV$38),16,0),0)</f>
        <v>0</v>
      </c>
      <c r="CA3" s="54" cm="1">
        <f t="array" ref="CA3">IFERROR(VLOOKUP($A3,TRANSPOSE('[1]Fur 2 PLC'!$AR$1:$BV$38),9,0),0)</f>
        <v>489.22526041666669</v>
      </c>
      <c r="CB3" s="54" cm="1">
        <f t="array" ref="CB3">IFERROR(VLOOKUP($A3,TRANSPOSE('[1]Fur 2 PLC'!$AR$1:$BV$38),17,0),0)</f>
        <v>378.35286458333331</v>
      </c>
      <c r="CC3" s="54" cm="1">
        <f t="array" ref="CC3">IFERROR(VLOOKUP($A3,TRANSPOSE('[1]Fur 2 PLC'!$AR$1:$BV$38),20,0),0)</f>
        <v>0</v>
      </c>
      <c r="CD3" s="54" cm="1">
        <f t="array" ref="CD3">IFERROR(VLOOKUP($A3,TRANSPOSE('[1]Fur 2 PLC'!$AR$1:$BV$38),28,0),0)</f>
        <v>134.50520833333331</v>
      </c>
      <c r="CE3" s="54" cm="1">
        <f t="array" ref="CE3">IFERROR(VLOOKUP($A3,TRANSPOSE('[1]Fur 2 PLC'!$AR$1:$BV$38),13,0),0)</f>
        <v>0</v>
      </c>
      <c r="CF3" s="54" cm="1">
        <f t="array" ref="CF3">IFERROR(VLOOKUP($A3,TRANSPOSE('[1]Fur 2 PLC'!$AR$1:$BV$38),37,0),0)</f>
        <v>616.56901041666663</v>
      </c>
      <c r="CG3" s="54" cm="1">
        <f t="array" ref="CG3">IFERROR(VLOOKUP($A3,TRANSPOSE('[1]Fur 2 PLC'!$AR$1:$BV$38),6,0),0)</f>
        <v>0</v>
      </c>
      <c r="CH3" s="54" cm="1">
        <f t="array" ref="CH3">IFERROR(VLOOKUP($A3,TRANSPOSE('[1]Fur 2 PLC'!$AR$1:$BV$38),21,0),0)</f>
        <v>0</v>
      </c>
      <c r="CI3" s="54" cm="1">
        <f t="array" ref="CI3">IFERROR(VLOOKUP($A3,TRANSPOSE('[1]Fur 2 PLC'!$AR$1:$BV$38),12,0),0)</f>
        <v>0</v>
      </c>
      <c r="CJ3" s="54" cm="1">
        <f t="array" ref="CJ3">IFERROR(VLOOKUP($A3,TRANSPOSE('[1]Fur 2 PLC'!$AR$1:$BV$38),25,0),0)</f>
        <v>0</v>
      </c>
      <c r="CK3" s="54" cm="1">
        <f t="array" ref="CK3">IFERROR(VLOOKUP($A3,TRANSPOSE('[1]Fur 2 PLC'!$AR$1:$BV$38),26,0),0)</f>
        <v>0</v>
      </c>
      <c r="CL3" s="54" cm="1">
        <f t="array" ref="CL3">IFERROR(VLOOKUP($A3,TRANSPOSE('[1]Fur 2 PLC'!$AR$1:$BV$38),27,0),0)</f>
        <v>492.1875</v>
      </c>
      <c r="CM3" s="54" cm="1">
        <f t="array" ref="CM3">IFERROR(VLOOKUP($A3,TRANSPOSE('[1]Fur 2 PLC'!$AR$1:$BV$38),22,0),0)</f>
        <v>0</v>
      </c>
      <c r="CN3" s="54"/>
      <c r="CO3" s="54" cm="1">
        <f t="array" ref="CO3">IFERROR(VLOOKUP($A3,TRANSPOSE('[1]Fur 2 PLC'!$AR$1:$BV$38),29,0),0)</f>
        <v>0</v>
      </c>
      <c r="CP3" s="54" cm="1">
        <f t="array" ref="CP3">IFERROR(VLOOKUP($A3,TRANSPOSE('[1]Fur 2 PLC'!$AR$1:$BV$38),10,0),0)</f>
        <v>0</v>
      </c>
      <c r="CQ3" s="54" cm="1">
        <f t="array" ref="CQ3">IFERROR(VLOOKUP($A3,TRANSPOSE('[1]Fur 2 PLC'!$AR$1:$BV$38),7,0),0)</f>
        <v>255.56640625</v>
      </c>
      <c r="CR3" s="54" cm="1">
        <f t="array" ref="CR3">IFERROR(VLOOKUP($A3,TRANSPOSE('[1]Fur 2 PLC'!$AR$1:$BV$38),35,0),0)</f>
        <v>0</v>
      </c>
      <c r="CS3" s="54" cm="1">
        <f t="array" ref="CS3">IFERROR(VLOOKUP($A3,TRANSPOSE('[1]Fur 2 PLC'!$AR$1:$BV$38),11,0),0)</f>
        <v>757.12890625000011</v>
      </c>
      <c r="CT3" s="54" cm="1">
        <f t="array" ref="CT3">IFERROR(VLOOKUP($A3,TRANSPOSE('[1]Fur 2 PLC'!$AR$1:$BV$38),19,0),0)</f>
        <v>0</v>
      </c>
      <c r="CU3" s="54" cm="1">
        <f t="array" ref="CU3">IFERROR(VLOOKUP($A3,TRANSPOSE('[1]Fur 2 PLC'!$AR$1:$BV$38),18,0),0)</f>
        <v>0</v>
      </c>
      <c r="CV3" s="54" cm="1">
        <f t="array" ref="CV3">IFERROR(VLOOKUP($A3,TRANSPOSE('[1]Fur 2 PLC'!$AR$1:$BV$38),15,0),0)</f>
        <v>318.88020833333331</v>
      </c>
      <c r="CW3" s="54" cm="1">
        <f t="array" ref="CW3">IFERROR(VLOOKUP($A3,TRANSPOSE('[1]Fur 2 PLC'!$CI$1:$DM$38),8,0),0)</f>
        <v>0</v>
      </c>
      <c r="CX3" s="54" cm="1">
        <f t="array" ref="CX3">IFERROR(VLOOKUP($A3,TRANSPOSE('[1]Fur 2 PLC'!$CI$1:$DM$38),30,0),0)</f>
        <v>0</v>
      </c>
      <c r="CY3" s="54" cm="1">
        <f t="array" ref="CY3">IFERROR(VLOOKUP($A3,TRANSPOSE('[1]Fur 2 PLC'!$CI$1:$DM$38),14,0),0)</f>
        <v>0</v>
      </c>
      <c r="CZ3" s="54" cm="1">
        <f t="array" ref="CZ3">IFERROR(VLOOKUP($A3,TRANSPOSE('[1]Fur 2 PLC'!$CI$1:$DM$38),16,0),0)</f>
        <v>0</v>
      </c>
      <c r="DA3" s="54" cm="1">
        <f t="array" ref="DA3">IFERROR(VLOOKUP($A3,TRANSPOSE('[1]Fur 2 PLC'!$CI$1:$DM$38),9,0),0)</f>
        <v>221.01470588235296</v>
      </c>
      <c r="DB3" s="55" cm="1">
        <f t="array" ref="DB3">IFERROR(VLOOKUP($A3,TRANSPOSE('[1]Fur 2 PLC'!$CI$1:$DM$38),17,0),0)</f>
        <v>170.9264705882353</v>
      </c>
      <c r="DC3" s="55" cm="1">
        <f t="array" ref="DC3">IFERROR(VLOOKUP($A3,TRANSPOSE('[1]Fur 2 PLC'!$CI$1:$DM$38),20,0),0)</f>
        <v>0</v>
      </c>
      <c r="DD3" s="54" cm="1">
        <f t="array" ref="DD3">IFERROR(VLOOKUP($A3,TRANSPOSE('[1]Fur 2 PLC'!$CI$1:$DM$38),28,0),0)</f>
        <v>60.764705882352935</v>
      </c>
      <c r="DE3" s="54" cm="1">
        <f t="array" ref="DE3">IFERROR(VLOOKUP($A3,TRANSPOSE('[1]Fur 2 PLC'!$CI$1:$DM$38),13,0),0)</f>
        <v>0</v>
      </c>
      <c r="DF3" s="54" cm="1">
        <f t="array" ref="DF3">IFERROR(VLOOKUP($A3,TRANSPOSE('[1]Fur 2 PLC'!$CI$1:$DM$38),37,0),0)</f>
        <v>278.54411764705884</v>
      </c>
      <c r="DG3" s="54" cm="1">
        <f t="array" ref="DG3">IFERROR(VLOOKUP($A3,TRANSPOSE('[1]Fur 2 PLC'!$CI$1:$DM$38),6,0),0)</f>
        <v>0</v>
      </c>
      <c r="DH3" s="54" cm="1">
        <f t="array" ref="DH3">IFERROR(VLOOKUP($A3,TRANSPOSE('[1]Fur 2 PLC'!$CI$1:$DM$38),21,0),0)</f>
        <v>0</v>
      </c>
      <c r="DI3" s="54" cm="1">
        <f t="array" ref="DI3">IFERROR(VLOOKUP($A3,TRANSPOSE('[1]Fur 2 PLC'!$CI$1:$DM$38),12,0),0)</f>
        <v>0</v>
      </c>
      <c r="DJ3" s="54" cm="1">
        <f t="array" ref="DJ3">IFERROR(VLOOKUP($A3,TRANSPOSE('[1]Fur 2 PLC'!$CI$1:$DM$38),25,0),0)</f>
        <v>0</v>
      </c>
      <c r="DK3" s="54" cm="1">
        <f t="array" ref="DK3">IFERROR(VLOOKUP($A3,TRANSPOSE('[1]Fur 2 PLC'!$CI$1:$DM$38),26,0),0)</f>
        <v>0</v>
      </c>
      <c r="DL3" s="54" cm="1">
        <f t="array" ref="DL3">IFERROR(VLOOKUP($A3,TRANSPOSE('[1]Fur 2 PLC'!$CI$1:$DM$38),27,0),0)</f>
        <v>222.35294117647058</v>
      </c>
      <c r="DM3" s="54" cm="1">
        <f t="array" ref="DM3">IFERROR(VLOOKUP($A3,TRANSPOSE('[1]Fur 2 PLC'!$CI$1:$DM$38),22,0),0)</f>
        <v>0</v>
      </c>
      <c r="DN3" s="54" cm="1">
        <f t="array" ref="DN3">IFERROR(VLOOKUP($A3,TRANSPOSE('[1]Fur 2 PLC'!$CI$1:$DM$38),19,0),0)</f>
        <v>0</v>
      </c>
      <c r="DO3" s="54" cm="1">
        <f t="array" ref="DO3">IFERROR(VLOOKUP($A3,TRANSPOSE('[1]Fur 2 PLC'!$CI$1:$DM$38),29,0),0)</f>
        <v>0</v>
      </c>
      <c r="DP3" s="54" cm="1">
        <f t="array" ref="DP3">IFERROR(VLOOKUP($A3,TRANSPOSE('[1]Fur 2 PLC'!$CI$1:$DM$38),10,0),0)</f>
        <v>0</v>
      </c>
      <c r="DQ3" s="54" cm="1">
        <f t="array" ref="DQ3">IFERROR(VLOOKUP($A3,TRANSPOSE('[1]Fur 2 PLC'!$CI$1:$DM$38),7,0),0)</f>
        <v>115.45588235294117</v>
      </c>
      <c r="DR3" s="54" cm="1">
        <f t="array" ref="DR3">IFERROR(VLOOKUP($A3,TRANSPOSE('[1]Fur 2 PLC'!$CI$1:$DM$38),35,0),0)</f>
        <v>0</v>
      </c>
      <c r="DS3" s="54" cm="1">
        <f t="array" ref="DS3">IFERROR(VLOOKUP($A3,TRANSPOSE('[1]Fur 2 PLC'!$CI$1:$DM$38),11,0),0)</f>
        <v>342.04411764705884</v>
      </c>
      <c r="DT3" s="54" cm="1">
        <f t="array" ref="DT3">IFERROR(VLOOKUP($A3,TRANSPOSE('[1]Fur 2 PLC'!$CI$1:$DM$38),19,0),0)</f>
        <v>0</v>
      </c>
      <c r="DU3" s="54" cm="1">
        <f t="array" ref="DU3">IFERROR(VLOOKUP($A3,TRANSPOSE('[1]Fur 2 PLC'!$CI$1:$DM$38),18,0),0)</f>
        <v>0</v>
      </c>
      <c r="DV3" s="54" cm="1">
        <f t="array" ref="DV3">IFERROR(VLOOKUP($A3,TRANSPOSE('[1]Fur 2 PLC'!$CI$1:$DM$38),15,0),0)</f>
        <v>144.05882352941177</v>
      </c>
      <c r="DW3" t="str">
        <f t="shared" ref="DW3:DW5" si="0">TEXT(C3,"Mmm-yy")</f>
        <v>Dec-25</v>
      </c>
    </row>
    <row r="4" spans="1:127" x14ac:dyDescent="0.3">
      <c r="A4" s="28" t="str">
        <f t="shared" ref="A4:A48" si="1">B4&amp;C4</f>
        <v>F345992</v>
      </c>
      <c r="B4" s="29" t="s">
        <v>28</v>
      </c>
      <c r="C4" s="30">
        <f>C3</f>
        <v>45992</v>
      </c>
      <c r="D4" s="29" t="str">
        <f>VLOOKUP($B4&amp;$C4,'[1]FC3 Prod'!$A$6:$BP$36,[2]Consolidated!D$1)</f>
        <v>Mr. Ajay Singh</v>
      </c>
      <c r="E4" s="29">
        <f>VLOOKUP($B4&amp;$C4,'[1]FC3 Prod'!$A$6:$BP$36,[2]Consolidated!E$1)</f>
        <v>37.305</v>
      </c>
      <c r="F4" s="31">
        <f>VLOOKUP($B4&amp;$C4,'[1]FC3 Prod'!$A$6:$BP$36,[2]Consolidated!F$1)</f>
        <v>0.28000000000000114</v>
      </c>
      <c r="G4" s="32">
        <f>VLOOKUP($B4&amp;$C4,'[1]FC3 Prod'!$A$6:$BP$36,[2]Consolidated!G$1)</f>
        <v>37.585000000000001</v>
      </c>
      <c r="H4" s="32">
        <f>VLOOKUP($B4&amp;$C4,'[1]FC3 Prod'!$A$6:$BP$36,[2]Consolidated!H$1)</f>
        <v>28.310000000000002</v>
      </c>
      <c r="I4" s="32">
        <f>VLOOKUP($B4&amp;$C4,'[1]FC3 Prod'!$A$6:$BP$36,[2]Consolidated!I$1)</f>
        <v>10.26</v>
      </c>
      <c r="J4" s="32">
        <f>VLOOKUP($B4&amp;$C4,'[1]FC3 Prod'!$A$6:$BP$36,[2]Consolidated!J$1)</f>
        <v>38.200000000000003</v>
      </c>
      <c r="K4" s="32">
        <f>VLOOKUP($B4&amp;$C4,'[1]FC3 Prod'!$A$6:$BP$36,[2]Consolidated!K$1)</f>
        <v>1.32</v>
      </c>
      <c r="L4" s="32">
        <f>VLOOKUP($B4&amp;$C4,'[1]FC3 Prod'!$A$6:$BP$36,[2]Consolidated!L$1)</f>
        <v>25.62</v>
      </c>
      <c r="M4" s="32">
        <f>VLOOKUP($B4&amp;$C4,'[1]FC3 Prod'!$A$6:$BP$36,[2]Consolidated!M$1)</f>
        <v>4.8499999999999996</v>
      </c>
      <c r="N4" s="32">
        <f>VLOOKUP($B4&amp;$C4,'[1]FC3 Prod'!$A$6:$BP$36,[2]Consolidated!N$1)</f>
        <v>16.21</v>
      </c>
      <c r="O4" s="32">
        <f>VLOOKUP($B4&amp;$C4,'[1]FC3 Prod'!$A$6:$BP$36,[2]Consolidated!O$1)</f>
        <v>0.8</v>
      </c>
      <c r="P4" s="33">
        <f>VLOOKUP($B4&amp;$C4,'[1]FC3 Prod'!$A$6:$BP$36,[2]Consolidated!P$1)</f>
        <v>8</v>
      </c>
      <c r="Q4" s="29">
        <f>VLOOKUP($B4&amp;$C4,'[1]FC3 Prod'!$A$6:$BP$36,[2]Consolidated!Q$1)</f>
        <v>79.585000000000008</v>
      </c>
      <c r="R4" s="29">
        <f>VLOOKUP($B4&amp;$C4,'[1]FC3 Prod'!$A$6:$BP$36,[2]Consolidated!R$1)</f>
        <v>25.07</v>
      </c>
      <c r="S4" s="34">
        <f>VLOOKUP($B4&amp;$C4,'[1]FC3 Prod'!$A$6:$BP$36,[2]Consolidated!S$1)</f>
        <v>32</v>
      </c>
      <c r="T4" s="34">
        <f>VLOOKUP($B4&amp;$C4,'[1]FC3 Prod'!$A$6:$BP$36,[2]Consolidated!T$1)</f>
        <v>20</v>
      </c>
      <c r="U4" s="34">
        <f>VLOOKUP($B4&amp;$C4,'[1]FC3 Prod'!$A$6:$BP$36,[2]Consolidated!U$1)</f>
        <v>21</v>
      </c>
      <c r="V4" s="34">
        <f>VLOOKUP($B4&amp;$C4,'[1]FC3 Prod'!$A$6:$BP$36,[2]Consolidated!V$1)</f>
        <v>73</v>
      </c>
      <c r="W4" s="35">
        <f>VLOOKUP($B4&amp;$C4,'[1]FC3 Prod'!$A$6:$BP$36,[2]Consolidated!W$1)</f>
        <v>2.1333601393915029</v>
      </c>
      <c r="X4" s="35">
        <f>VLOOKUP($B4&amp;$C4,'[1]FC3 Prod'!$A$6:$BP$36,[2]Consolidated!X$1)</f>
        <v>38.75</v>
      </c>
      <c r="Y4" s="36">
        <f>VLOOKUP($B4&amp;$C4,'[1]FC3 Prod'!$A$6:$BP$36,[2]Consolidated!Y$1)</f>
        <v>0.96270967741935487</v>
      </c>
      <c r="Z4" s="37" t="str">
        <f>VLOOKUP($B4&amp;$C4,'[1]FC3 Prod'!$A$6:$BP$36,[2]Consolidated!Z$1)</f>
        <v>60/15</v>
      </c>
      <c r="AA4" s="31">
        <f>VLOOKUP($B4&amp;$C4,'[1]FC3 Prod'!$A$6:$BP$36,[2]Consolidated!AA$1)</f>
        <v>59.882500000000007</v>
      </c>
      <c r="AB4" s="31">
        <f>VLOOKUP($B4&amp;$C4,'[1]FC3 Prod'!$A$6:$BP$36,[2]Consolidated!AB$1)</f>
        <v>13.934999999999999</v>
      </c>
      <c r="AC4" s="31"/>
      <c r="AD4" s="38">
        <f>VLOOKUP($B4&amp;$C4,'[1]FC3 Prod'!$A$6:$BP$36,[2]Consolidated!AD$1)</f>
        <v>771.841732770406</v>
      </c>
      <c r="AE4" s="38">
        <f>VLOOKUP($B4&amp;$C4,'[1]FC3 Prod'!$A$6:$BP$36,[2]Consolidated!AE$1)</f>
        <v>693.82530187374357</v>
      </c>
      <c r="AF4" s="39">
        <f>VLOOKUP($B4&amp;$C4,'[1]FC3 Prod'!$A$6:$BP$36,[2]Consolidated!AF$1)</f>
        <v>0.77583910609576756</v>
      </c>
      <c r="AG4" s="39">
        <f>VLOOKUP($B4&amp;$C4,'[1]FC3 Prod'!$A$6:$BP$36,[2]Consolidated!AG$1)</f>
        <v>0.86307748994280575</v>
      </c>
      <c r="AH4" s="34">
        <f>VLOOKUP($B4&amp;$C4,'[1]FC3 Prod'!$A$6:$BP$36,[2]Consolidated!AH$1)</f>
        <v>361.77060715721757</v>
      </c>
      <c r="AI4" s="33">
        <f>VLOOKUP($B4&amp;$C4,'[1]FC3 Prod'!$A$6:$BP$36,[2]Consolidated!AI$1)</f>
        <v>408.81747754992625</v>
      </c>
      <c r="AJ4" s="39">
        <f>VLOOKUP($B4&amp;$C4,'[1]FC3 Prod'!$A$6:$BP$36,[2]Consolidated!AJ$1)</f>
        <v>0.49096232730139083</v>
      </c>
      <c r="AK4" s="39">
        <f>VLOOKUP($B4&amp;$C4,'[1]FC3 Prod'!$A$6:$BP$36,[2]Consolidated!AK$1)</f>
        <v>0.40524941776903811</v>
      </c>
      <c r="AL4" s="40" t="str">
        <f>VLOOKUP($B4&amp;$C4,'[1]FC3 Prod'!$A$6:$BP$36,[2]Consolidated!AL$1)</f>
        <v>25/50</v>
      </c>
      <c r="AM4" s="41">
        <f>VLOOKUP($B4&amp;$C4,'[1]FC3 Prod'!$A$6:$BP$36,[2]Consolidated!AM$1)</f>
        <v>3.5383996783273024E-2</v>
      </c>
      <c r="AN4" s="42">
        <f>VLOOKUP($B4&amp;$C4,'[1]FC3 Prod'!$A$6:$BP$36,[2]Consolidated!AN$1)</f>
        <v>144.4</v>
      </c>
      <c r="AO4" s="43">
        <f>VLOOKUP($B4&amp;$C4,'[1]FC3 Prod'!$A$6:$BP$36,[2]Consolidated!AO$1)</f>
        <v>6.6680000000000001</v>
      </c>
      <c r="AP4" s="44">
        <f>VLOOKUP($B4&amp;$C4,'[1]FC3 Prod'!$A$6:$BP$36,[2]Consolidated!AP$1)</f>
        <v>4.0495375954965827</v>
      </c>
      <c r="AQ4" s="44">
        <f>VLOOKUP($B4&amp;$C4,'[1]FC3 Prod'!$A$6:$BP$36,[2]Consolidated!AQ$1)</f>
        <v>29.535177596165919</v>
      </c>
      <c r="AR4" s="45">
        <f>VLOOKUP($B4&amp;$C4,'[1]FC3 Prod'!$A$6:$BP$36,[2]Consolidated!AR$1)</f>
        <v>0.98633879781420786</v>
      </c>
      <c r="AS4" s="46">
        <f>VLOOKUP($B4&amp;$C4,'[1]FC3 Prod'!$A$6:$BP$36,[2]Consolidated!AS$1)</f>
        <v>2.1633333333333336</v>
      </c>
      <c r="AT4" s="29">
        <f>VLOOKUP($B4&amp;$C4,'[1]FC3 Prod'!$A$6:$BP$36,[2]Consolidated!AT$1)</f>
        <v>0.79636185682463634</v>
      </c>
      <c r="AU4" s="34">
        <f>VLOOKUP($B4&amp;$C4,'[1]FC3 Prod'!$A$6:$BP$36,[2]Consolidated!AU$1)</f>
        <v>523.94675925925924</v>
      </c>
      <c r="AV4" s="34">
        <f>VLOOKUP($B4&amp;$C4,'[1]FC3 Prod'!$A$6:$BP$36,[2]Consolidated!AV$1)</f>
        <v>300</v>
      </c>
      <c r="AW4" s="47">
        <f>VLOOKUP($B4&amp;$C4,'[1]FC3 Prod'!$A$6:$BP$36,[2]Consolidated!AW$1)</f>
        <v>29971.963543760892</v>
      </c>
      <c r="AX4" s="47">
        <f>VLOOKUP($B4&amp;$C4,'[1]FC3 Prod'!$A$6:$BP$36,[2]Consolidated!AX$1)</f>
        <v>8519.3105481838902</v>
      </c>
      <c r="AY4" s="48">
        <f>VLOOKUP($B4&amp;$C4,'[1]FC3 Prod'!$A$6:$BP$36,[2]Consolidated!AY$1)</f>
        <v>813.51025331724975</v>
      </c>
      <c r="AZ4" s="47">
        <f>VLOOKUP($B4&amp;$C4,'[1]FC3 Prod'!$A$6:$BP$36,[2]Consolidated!AZ$1)</f>
        <v>1724.593218067283</v>
      </c>
      <c r="BA4" s="47">
        <f>VLOOKUP($B4&amp;$C4,'[1]FC3 Prod'!$A$6:$BP$36,[2]Consolidated!BA$1)</f>
        <v>23689.794933655008</v>
      </c>
      <c r="BB4" s="47">
        <f>VLOOKUP($B4&amp;$C4,'[1]FC3 Prod'!$A$6:$BP$36,[2]Consolidated!BB$1)</f>
        <v>647.19172496984322</v>
      </c>
      <c r="BC4" s="47">
        <f>VLOOKUP($B4&amp;$C4,'[1]FC3 Prod'!$A$6:$BP$36,[2]Consolidated!BC$1)</f>
        <v>7694.1214314435074</v>
      </c>
      <c r="BD4" s="49">
        <f>VLOOKUP($B4&amp;$C4,'[1]FC3 Prod'!$A$6:$BP$36,[2]Consolidated!BD$1)</f>
        <v>73060.485653397671</v>
      </c>
      <c r="BE4" s="47">
        <f>VLOOKUP($B4&amp;$C4,'[1]FC3 Prod'!$A$6:$BP$36,[2]Consolidated!BE$1)</f>
        <v>26947.634097305992</v>
      </c>
      <c r="BF4" s="47">
        <f>VLOOKUP($B4&amp;$C4,'[1]FC3 Prod'!$A$6:$BP$36,[2]Consolidated!BF$1)</f>
        <v>9716.720654067818</v>
      </c>
      <c r="BG4" s="50">
        <f>VLOOKUP($B4&amp;$C4,'[1]FC3 Prod'!$A$6:$BP$36,[2]Consolidated!BG$1)</f>
        <v>1148.1785283474067</v>
      </c>
      <c r="BH4" s="50">
        <f>VLOOKUP($B4&amp;$C4,'[1]FC3 Prod'!$A$6:$BP$36,[2]Consolidated!BH$1)</f>
        <v>632.26921431443509</v>
      </c>
      <c r="BI4" s="50">
        <f>VLOOKUP($B4&amp;$C4,'[1]FC3 Prod'!$A$6:$BP$36,[2]Consolidated!BI$1)</f>
        <v>71553.312077201452</v>
      </c>
      <c r="BJ4" s="37" t="e">
        <f>VLOOKUP($B4&amp;$C4,'[1]FC3 Prod'!$A$6:$BP$36,[2]Consolidated!BJ$1)</f>
        <v>#REF!</v>
      </c>
      <c r="BK4" s="37" t="e">
        <f>VLOOKUP($B4&amp;$C4,'[1]FC3 Prod'!$A$6:$BP$36,[2]Consolidated!BK$1)</f>
        <v>#REF!</v>
      </c>
      <c r="BL4" s="37" t="e">
        <f>VLOOKUP($B4&amp;$C4,'[1]FC3 Prod'!$A$6:$BP$36,[2]Consolidated!BL$1)</f>
        <v>#REF!</v>
      </c>
      <c r="BM4" s="37" t="e">
        <f>VLOOKUP($B4&amp;$C4,'[1]FC3 Prod'!$A$6:$BP$36,[2]Consolidated!BM$1)</f>
        <v>#REF!</v>
      </c>
      <c r="BN4" s="37" t="e">
        <f>VLOOKUP($B4&amp;$C4,'[1]FC3 Prod'!$A$6:$BP$36,[2]Consolidated!BN$1)</f>
        <v>#REF!</v>
      </c>
      <c r="BO4" s="37" t="e">
        <f>VLOOKUP($B4&amp;$C4,'[1]FC3 Prod'!$A$6:$BP$36,[2]Consolidated!BO$1)</f>
        <v>#REF!</v>
      </c>
      <c r="BP4" s="37" t="str">
        <f>VLOOKUP($B4&amp;$C4,'[1]FC3 Prod'!$A$6:$BP$36,[2]Consolidated!BP$1)</f>
        <v>NIL</v>
      </c>
      <c r="BQ4" s="51" t="e">
        <f>VLOOKUP($B4&amp;$C4,'[1]FC3 Prod'!$A$6:$BP$36,[2]Consolidated!BQ$1)</f>
        <v>#REF!</v>
      </c>
      <c r="BR4" s="51">
        <f>VLOOKUP($B4&amp;$C4,'[1]FC3 Prod'!$A$6:$BQ$36,[2]Consolidated!BR$1)</f>
        <v>60369</v>
      </c>
      <c r="BS4" s="52">
        <f>BE4+BF4+BG4+BA4</f>
        <v>61502.328213376226</v>
      </c>
      <c r="BT4" s="32">
        <f t="shared" ref="BT4:BT5" si="2">BR4-BS4</f>
        <v>-1133.3282133762259</v>
      </c>
      <c r="BU4" s="37">
        <f t="shared" ref="BU4:BU5" si="3">E4*BT4</f>
        <v>-42278.80900000011</v>
      </c>
      <c r="BV4" s="53" t="s">
        <v>130</v>
      </c>
      <c r="BW4" s="54" cm="1">
        <f t="array" ref="BW4">IFERROR(VLOOKUP($A4,TRANSPOSE('[1]Fur 3 PLC'!$AS$1:$BX$38),8,0),0)</f>
        <v>903.36416030022792</v>
      </c>
      <c r="BX4" s="54" cm="1">
        <f t="array" ref="BX4">IFERROR(VLOOKUP($A4,TRANSPOSE('[1]Fur 3 PLC'!$AS$1:$BX$38),30,0),0)</f>
        <v>0</v>
      </c>
      <c r="BY4" s="54" cm="1">
        <f t="array" ref="BY4">IFERROR(VLOOKUP($A4,TRANSPOSE('[1]Fur 3 PLC'!$AS$1:$BX$38),14,0),0)</f>
        <v>0</v>
      </c>
      <c r="BZ4" s="54" cm="1">
        <f t="array" ref="BZ4">IFERROR(VLOOKUP($A4,TRANSPOSE('[1]Fur 3 PLC'!$AS$1:$BX$38),16,0),0)</f>
        <v>0</v>
      </c>
      <c r="CA4" s="54" cm="1">
        <f t="array" ref="CA4">IFERROR(VLOOKUP($A4,TRANSPOSE('[1]Fur 3 PLC'!$AS$1:$BX$38),9,0),0)</f>
        <v>411.90188982710089</v>
      </c>
      <c r="CB4" s="54" cm="1">
        <f t="array" ref="CB4">IFERROR(VLOOKUP($A4,TRANSPOSE('[1]Fur 3 PLC'!$AS$1:$BX$38),17,0),0)</f>
        <v>0</v>
      </c>
      <c r="CC4" s="54" cm="1">
        <f t="array" ref="CC4">IFERROR(VLOOKUP($A4,TRANSPOSE('[1]Fur 3 PLC'!$AS$1:$BX$38),20,0),0)</f>
        <v>75.807532502345524</v>
      </c>
      <c r="CD4" s="54" cm="1">
        <f t="array" ref="CD4">IFERROR(VLOOKUP($A4,TRANSPOSE('[1]Fur 3 PLC'!$AS$1:$BX$38),28,0),0)</f>
        <v>0</v>
      </c>
      <c r="CE4" s="54" cm="1">
        <f t="array" ref="CE4">IFERROR(VLOOKUP($A4,TRANSPOSE('[1]Fur 3 PLC'!$AS$1:$BX$38),13,0),0)</f>
        <v>0</v>
      </c>
      <c r="CF4" s="54" cm="1">
        <f t="array" ref="CF4">IFERROR(VLOOKUP($A4,TRANSPOSE('[1]Fur 3 PLC'!$AS$1:$BX$38),37,0),0)</f>
        <v>425.25130679533578</v>
      </c>
      <c r="CG4" s="54" cm="1">
        <f t="array" ref="CG4">IFERROR(VLOOKUP($A4,TRANSPOSE('[1]Fur 3 PLC'!$AS$1:$BX$38),6,0),0)</f>
        <v>0</v>
      </c>
      <c r="CH4" s="54" cm="1">
        <f t="array" ref="CH4">IFERROR(VLOOKUP($A4,TRANSPOSE('[1]Fur 3 PLC'!$AS$1:$BX$38),21,0),0)</f>
        <v>0</v>
      </c>
      <c r="CI4" s="54" cm="1">
        <f t="array" ref="CI4">IFERROR(VLOOKUP($A4,TRANSPOSE('[1]Fur 3 PLC'!$AS$1:$BX$38),12,0),0)</f>
        <v>0</v>
      </c>
      <c r="CJ4" s="54" cm="1">
        <f t="array" ref="CJ4">IFERROR(VLOOKUP($A4,TRANSPOSE('[1]Fur 3 PLC'!$AS$1:$BX$38),25,0),0)</f>
        <v>0</v>
      </c>
      <c r="CK4" s="54" cm="1">
        <f t="array" ref="CK4">IFERROR(VLOOKUP($A4,TRANSPOSE('[1]Fur 3 PLC'!$AS$1:$BX$38),26,0),0)</f>
        <v>362.31068221418042</v>
      </c>
      <c r="CL4" s="54" cm="1">
        <f t="array" ref="CL4">IFERROR(VLOOKUP($A4,TRANSPOSE('[1]Fur 3 PLC'!$AS$1:$BX$38),27,0),0)</f>
        <v>172.25572979493367</v>
      </c>
      <c r="CM4" s="54" cm="1">
        <f t="array" ref="CM4">IFERROR(VLOOKUP($A4,TRANSPOSE('[1]Fur 3 PLC'!$AS$1:$BX$38),22,0),0)</f>
        <v>0</v>
      </c>
      <c r="CN4" s="54"/>
      <c r="CO4" s="54" cm="1">
        <f t="array" ref="CO4">IFERROR(VLOOKUP($A4,TRANSPOSE('[1]Fur 3 PLC'!$AS$1:$BX$38),29,0),0)</f>
        <v>137.46146629138187</v>
      </c>
      <c r="CP4" s="54" cm="1">
        <f t="array" ref="CP4">IFERROR(VLOOKUP($A4,TRANSPOSE('[1]Fur 3 PLC'!$AS$1:$BX$38),10,0),0)</f>
        <v>0</v>
      </c>
      <c r="CQ4" s="54" cm="1">
        <f t="array" ref="CQ4">IFERROR(VLOOKUP($A4,TRANSPOSE('[1]Fur 3 PLC'!$AS$1:$BX$38),7,0),0)</f>
        <v>215.78876826162715</v>
      </c>
      <c r="CR4" s="54" cm="1">
        <f t="array" ref="CR4">IFERROR(VLOOKUP($A4,TRANSPOSE('[1]Fur 3 PLC'!$AS$1:$BX$38),35,0),0)</f>
        <v>0</v>
      </c>
      <c r="CS4" s="54" cm="1">
        <f t="array" ref="CS4">IFERROR(VLOOKUP($A4,TRANSPOSE('[1]Fur 3 PLC'!$AS$1:$BX$38),11,0),0)</f>
        <v>0</v>
      </c>
      <c r="CT4" s="54" cm="1">
        <f t="array" ref="CT4">IFERROR(VLOOKUP($A4,TRANSPOSE('[1]Fur 3 PLC'!$AS$1:$BX$38),19,0),0)</f>
        <v>0</v>
      </c>
      <c r="CU4" s="54" cm="1">
        <f t="array" ref="CU4">IFERROR(VLOOKUP($A4,TRANSPOSE('[1]Fur 3 PLC'!$AS$1:$BX$38),18,0),0)</f>
        <v>334.91489076531292</v>
      </c>
      <c r="CV4" s="54" cm="1">
        <f t="array" ref="CV4">IFERROR(VLOOKUP($A4,TRANSPOSE('[1]Fur 3 PLC'!$AR$1:$BV$38),15,0),0)</f>
        <v>407.37166599651522</v>
      </c>
      <c r="CW4" s="54" cm="1">
        <f t="array" ref="CW4">IFERROR(VLOOKUP($A4,TRANSPOSE('[1]Fur 3 PLC'!$CK$1:$DO$38),8,0),0)</f>
        <v>461.64383561643842</v>
      </c>
      <c r="CX4" s="54" cm="1">
        <f t="array" ref="CX4">IFERROR(VLOOKUP($A4,TRANSPOSE('[1]Fur 3 PLC'!$CK$1:$DO$38),30,0),0)</f>
        <v>0</v>
      </c>
      <c r="CY4" s="54" cm="1">
        <f t="array" ref="CY4">IFERROR(VLOOKUP($A4,TRANSPOSE('[1]Fur 3 PLC'!$CK$1:$DO$38),14,0),0)</f>
        <v>0</v>
      </c>
      <c r="CZ4" s="54" cm="1">
        <f t="array" ref="CZ4">IFERROR(VLOOKUP($A4,TRANSPOSE('[1]Fur 3 PLC'!$CK$1:$DO$38),16,0),0)</f>
        <v>0</v>
      </c>
      <c r="DA4" s="54" cm="1">
        <f t="array" ref="DA4">IFERROR(VLOOKUP($A4,TRANSPOSE('[1]Fur 3 PLC'!$CK$1:$DO$38),9,0),0)</f>
        <v>210.49315068493149</v>
      </c>
      <c r="DB4" s="55" cm="1">
        <f t="array" ref="DB4">IFERROR(VLOOKUP($A4,TRANSPOSE('[1]Fur 3 PLC'!$CK$1:$DO$38),17,0),0)</f>
        <v>0</v>
      </c>
      <c r="DC4" s="55" cm="1">
        <f t="array" ref="DC4">IFERROR(VLOOKUP($A4,TRANSPOSE('[1]Fur 3 PLC'!$CK$1:$DO$38),20,0),0)</f>
        <v>38.739726027397261</v>
      </c>
      <c r="DD4" s="54" cm="1">
        <f t="array" ref="DD4">IFERROR(VLOOKUP($A4,TRANSPOSE('[1]Fur 3 PLC'!$CK$1:$DO$38),28,0),0)</f>
        <v>0</v>
      </c>
      <c r="DE4" s="54" cm="1">
        <f t="array" ref="DE4">IFERROR(VLOOKUP($A4,TRANSPOSE('[1]Fur 3 PLC'!$CK$1:$DO$38),13,0),0)</f>
        <v>0</v>
      </c>
      <c r="DF4" s="54" cm="1">
        <f t="array" ref="DF4">IFERROR(VLOOKUP($A4,TRANSPOSE('[1]Fur 3 PLC'!$CK$1:$DO$38),37,0),0)</f>
        <v>217.31506849315068</v>
      </c>
      <c r="DG4" s="54" cm="1">
        <f t="array" ref="DG4">IFERROR(VLOOKUP($A4,TRANSPOSE('[1]Fur 3 PLC'!$CK$1:$DO$38),6,0),0)</f>
        <v>0</v>
      </c>
      <c r="DH4" s="54" cm="1">
        <f t="array" ref="DH4">IFERROR(VLOOKUP($A4,TRANSPOSE('[1]Fur 3 PLC'!$CK$1:$DO$38),21,0),0)</f>
        <v>0</v>
      </c>
      <c r="DI4" s="54" cm="1">
        <f t="array" ref="DI4">IFERROR(VLOOKUP($A4,TRANSPOSE('[1]Fur 3 PLC'!$CK$1:$DO$38),12,0),0)</f>
        <v>0</v>
      </c>
      <c r="DJ4" s="54" cm="1">
        <f t="array" ref="DJ4">IFERROR(VLOOKUP($A4,TRANSPOSE('[1]Fur 3 PLC'!$CK$1:$DO$38),25,0),0)</f>
        <v>0</v>
      </c>
      <c r="DK4" s="54" cm="1">
        <f t="array" ref="DK4">IFERROR(VLOOKUP($A4,TRANSPOSE('[1]Fur 3 PLC'!$CK$1:$DO$38),26,0),0)</f>
        <v>185.15068493150685</v>
      </c>
      <c r="DL4" s="54" cm="1">
        <f t="array" ref="DL4">IFERROR(VLOOKUP($A4,TRANSPOSE('[1]Fur 3 PLC'!$CK$1:$DO$38),27,0),0)</f>
        <v>88.027397260273972</v>
      </c>
      <c r="DM4" s="54" cm="1">
        <f t="array" ref="DM4">IFERROR(VLOOKUP($A4,TRANSPOSE('[1]Fur 3 PLC'!$CK$1:$DO$38),22,0),0)</f>
        <v>0</v>
      </c>
      <c r="DN4" s="54" cm="1">
        <f t="array" ref="DN4">IFERROR(VLOOKUP($A4,TRANSPOSE('[1]Fur 3 PLC'!$CK$1:$DO$38),19,0),0)</f>
        <v>0</v>
      </c>
      <c r="DO4" s="54" cm="1">
        <f t="array" ref="DO4">IFERROR(VLOOKUP($A4,TRANSPOSE('[1]Fur 3 PLC'!$CK$1:$DO$38),29,0),0)</f>
        <v>70.246575342465761</v>
      </c>
      <c r="DP4" s="54" cm="1">
        <f t="array" ref="DP4">IFERROR(VLOOKUP($A4,TRANSPOSE('[1]Fur 3 PLC'!$CK$1:$DO$38),10,0),0)</f>
        <v>0</v>
      </c>
      <c r="DQ4" s="54" cm="1">
        <f t="array" ref="DQ4">IFERROR(VLOOKUP($A4,TRANSPOSE('[1]Fur 3 PLC'!$CK$1:$DO$38),7,0),0)</f>
        <v>110.27397260273973</v>
      </c>
      <c r="DR4" s="54" cm="1">
        <f t="array" ref="DR4">IFERROR(VLOOKUP($A4,TRANSPOSE('[1]Fur 3 PLC'!$CK$1:$DO$38),35,0),0)</f>
        <v>0</v>
      </c>
      <c r="DS4" s="54" cm="1">
        <f t="array" ref="DS4">IFERROR(VLOOKUP($A4,TRANSPOSE('[1]Fur 3 PLC'!$CK$1:$DO$38),11,0),0)</f>
        <v>0</v>
      </c>
      <c r="DT4" s="54" cm="1">
        <f t="array" ref="DT4">IFERROR(VLOOKUP($A4,TRANSPOSE('[1]Fur 3 PLC'!$CK$1:$DO$38),19,0),0)</f>
        <v>0</v>
      </c>
      <c r="DU4" s="54" cm="1">
        <f t="array" ref="DU4">IFERROR(VLOOKUP($A4,TRANSPOSE('[1]Fur 3 PLC'!$CK$1:$DO$38),18,0),0)</f>
        <v>171.15068493150685</v>
      </c>
      <c r="DV4" s="54" cm="1">
        <f t="array" ref="DV4">IFERROR(VLOOKUP($A4,TRANSPOSE('[1]Fur 3 PLC'!$CK$1:$DO$38),15,0),0)</f>
        <v>208.17808219178079</v>
      </c>
      <c r="DW4" t="str">
        <f t="shared" si="0"/>
        <v>Dec-25</v>
      </c>
    </row>
    <row r="5" spans="1:127" x14ac:dyDescent="0.3">
      <c r="A5" s="28" t="str">
        <f t="shared" si="1"/>
        <v>F445992</v>
      </c>
      <c r="B5" s="29" t="s">
        <v>29</v>
      </c>
      <c r="C5" s="30">
        <f>C4</f>
        <v>45992</v>
      </c>
      <c r="D5" s="29" t="str">
        <f>VLOOKUP($B5&amp;$C5,'[1]FC4 Prod'!$A$6:$BP$36,[2]Consolidated!D$1)</f>
        <v>Mr.Ganesh Ghosh Ji</v>
      </c>
      <c r="E5" s="29">
        <f>VLOOKUP($B5&amp;$C5,'[1]FC4 Prod'!$A$6:$BP$36,[2]Consolidated!E$1)</f>
        <v>50.71</v>
      </c>
      <c r="F5" s="31">
        <f>VLOOKUP($B5&amp;$C5,'[1]FC4 Prod'!$A$6:$BP$36,[2]Consolidated!F$1)</f>
        <v>0.39000000000000057</v>
      </c>
      <c r="G5" s="32">
        <f>VLOOKUP($B5&amp;$C5,'[1]FC4 Prod'!$A$6:$BP$36,[2]Consolidated!G$1)</f>
        <v>51.1</v>
      </c>
      <c r="H5" s="32">
        <f>VLOOKUP($B5&amp;$C5,'[1]FC4 Prod'!$A$6:$BP$36,[2]Consolidated!H$1)</f>
        <v>21.035000000000004</v>
      </c>
      <c r="I5" s="32">
        <f>VLOOKUP($B5&amp;$C5,'[1]FC4 Prod'!$A$6:$BP$36,[2]Consolidated!I$1)</f>
        <v>10.3</v>
      </c>
      <c r="J5" s="32">
        <f>VLOOKUP($B5&amp;$C5,'[1]FC4 Prod'!$A$6:$BP$36,[2]Consolidated!J$1)</f>
        <v>40.82</v>
      </c>
      <c r="K5" s="32">
        <f>VLOOKUP($B5&amp;$C5,'[1]FC4 Prod'!$A$6:$BP$36,[2]Consolidated!K$1)</f>
        <v>1.39</v>
      </c>
      <c r="L5" s="32">
        <f>VLOOKUP($B5&amp;$C5,'[1]FC4 Prod'!$A$6:$BP$36,[2]Consolidated!L$1)</f>
        <v>22.88</v>
      </c>
      <c r="M5" s="32">
        <f>VLOOKUP($B5&amp;$C5,'[1]FC4 Prod'!$A$6:$BP$36,[2]Consolidated!M$1)</f>
        <v>5.0199999999999996</v>
      </c>
      <c r="N5" s="32">
        <f>VLOOKUP($B5&amp;$C5,'[1]FC4 Prod'!$A$6:$BP$36,[2]Consolidated!N$1)</f>
        <v>16.350000000000001</v>
      </c>
      <c r="O5" s="32">
        <f>VLOOKUP($B5&amp;$C5,'[1]FC4 Prod'!$A$6:$BP$36,[2]Consolidated!O$1)</f>
        <v>0.68</v>
      </c>
      <c r="P5" s="33">
        <f>VLOOKUP($B5&amp;$C5,'[1]FC4 Prod'!$A$6:$BP$36,[2]Consolidated!P$1)</f>
        <v>8</v>
      </c>
      <c r="Q5" s="29">
        <f>VLOOKUP($B5&amp;$C5,'[1]FC4 Prod'!$A$6:$BP$36,[2]Consolidated!Q$1)</f>
        <v>96.388000000000005</v>
      </c>
      <c r="R5" s="29">
        <f>VLOOKUP($B5&amp;$C5,'[1]FC4 Prod'!$A$6:$BP$36,[2]Consolidated!R$1)</f>
        <v>30.634999999999998</v>
      </c>
      <c r="S5" s="34">
        <f>VLOOKUP($B5&amp;$C5,'[1]FC4 Prod'!$A$6:$BP$36,[2]Consolidated!S$1)</f>
        <v>40</v>
      </c>
      <c r="T5" s="34">
        <f>VLOOKUP($B5&amp;$C5,'[1]FC4 Prod'!$A$6:$BP$36,[2]Consolidated!T$1)</f>
        <v>30</v>
      </c>
      <c r="U5" s="34">
        <f>VLOOKUP($B5&amp;$C5,'[1]FC4 Prod'!$A$6:$BP$36,[2]Consolidated!U$1)</f>
        <v>28</v>
      </c>
      <c r="V5" s="34">
        <f>VLOOKUP($B5&amp;$C5,'[1]FC4 Prod'!$A$6:$BP$36,[2]Consolidated!V$1)</f>
        <v>98</v>
      </c>
      <c r="W5" s="35">
        <f>VLOOKUP($B5&amp;$C5,'[1]FC4 Prod'!$A$6:$BP$36,[2]Consolidated!W$1)</f>
        <v>1.9007690790771052</v>
      </c>
      <c r="X5" s="35">
        <f>VLOOKUP($B5&amp;$C5,'[1]FC4 Prod'!$A$6:$BP$36,[2]Consolidated!X$1)</f>
        <v>52.664999999999992</v>
      </c>
      <c r="Y5" s="36">
        <f>VLOOKUP($B5&amp;$C5,'[1]FC4 Prod'!$A$6:$BP$36,[2]Consolidated!Y$1)</f>
        <v>0.96287857210671235</v>
      </c>
      <c r="Z5" s="37" t="str">
        <f>VLOOKUP($B5&amp;$C5,'[1]FC4 Prod'!$A$6:$BP$36,[2]Consolidated!Z$1)</f>
        <v>40/8</v>
      </c>
      <c r="AA5" s="31">
        <f>VLOOKUP($B5&amp;$C5,'[1]FC4 Prod'!$A$6:$BP$36,[2]Consolidated!AA$1)</f>
        <v>38.736000000000004</v>
      </c>
      <c r="AB5" s="31">
        <f>VLOOKUP($B5&amp;$C5,'[1]FC4 Prod'!$A$6:$BP$36,[2]Consolidated!AB$1)</f>
        <v>6.15</v>
      </c>
      <c r="AC5" s="31"/>
      <c r="AD5" s="38">
        <f>VLOOKUP($B5&amp;$C5,'[1]FC4 Prod'!$A$6:$BP$36,[2]Consolidated!AD$1)</f>
        <v>474.96815480181425</v>
      </c>
      <c r="AE5" s="38">
        <f>VLOOKUP($B5&amp;$C5,'[1]FC4 Prod'!$A$6:$BP$36,[2]Consolidated!AE$1)</f>
        <v>445.80414901597305</v>
      </c>
      <c r="AF5" s="39">
        <f>VLOOKUP($B5&amp;$C5,'[1]FC4 Prod'!$A$6:$BP$36,[2]Consolidated!AF$1)</f>
        <v>0.8155494133319956</v>
      </c>
      <c r="AG5" s="39">
        <f>VLOOKUP($B5&amp;$C5,'[1]FC4 Prod'!$A$6:$BP$36,[2]Consolidated!AG$1)</f>
        <v>0.86890173825215122</v>
      </c>
      <c r="AH5" s="34">
        <f>VLOOKUP($B5&amp;$C5,'[1]FC4 Prod'!$A$6:$BP$36,[2]Consolidated!AH$1)</f>
        <v>401.93032459081053</v>
      </c>
      <c r="AI5" s="33">
        <f>VLOOKUP($B5&amp;$C5,'[1]FC4 Prod'!$A$6:$BP$36,[2]Consolidated!AI$1)</f>
        <v>335.19782291461246</v>
      </c>
      <c r="AJ5" s="39">
        <f>VLOOKUP($B5&amp;$C5,'[1]FC4 Prod'!$A$6:$BP$36,[2]Consolidated!AJ$1)</f>
        <v>0.46653792913237879</v>
      </c>
      <c r="AK5" s="39">
        <f>VLOOKUP($B5&amp;$C5,'[1]FC4 Prod'!$A$6:$BP$36,[2]Consolidated!AK$1)</f>
        <v>0.58048457911422724</v>
      </c>
      <c r="AL5" s="40" t="str">
        <f>VLOOKUP($B5&amp;$C5,'[1]FC4 Prod'!$A$6:$BP$36,[2]Consolidated!AL$1)</f>
        <v>25/50</v>
      </c>
      <c r="AM5" s="41">
        <f>VLOOKUP($B5&amp;$C5,'[1]FC4 Prod'!$A$6:$BP$36,[2]Consolidated!AM$1)</f>
        <v>4.7327943206468152E-2</v>
      </c>
      <c r="AN5" s="42">
        <f>VLOOKUP($B5&amp;$C5,'[1]FC4 Prod'!$A$6:$BP$36,[2]Consolidated!AN$1)</f>
        <v>145.4</v>
      </c>
      <c r="AO5" s="43">
        <f>VLOOKUP($B5&amp;$C5,'[1]FC4 Prod'!$A$6:$BP$36,[2]Consolidated!AO$1)</f>
        <v>6.6680000000000001</v>
      </c>
      <c r="AP5" s="44">
        <f>VLOOKUP($B5&amp;$C5,'[1]FC4 Prod'!$A$6:$BP$36,[2]Consolidated!AP$1)</f>
        <v>2.9987773614671664</v>
      </c>
      <c r="AQ5" s="44">
        <f>VLOOKUP($B5&amp;$C5,'[1]FC4 Prod'!$A$6:$BP$36,[2]Consolidated!AQ$1)</f>
        <v>22.410191021342815</v>
      </c>
      <c r="AR5" s="45">
        <f>VLOOKUP($B5&amp;$C5,'[1]FC4 Prod'!$A$6:$BP$36,[2]Consolidated!AR$1)</f>
        <v>0.99316939890710398</v>
      </c>
      <c r="AS5" s="46">
        <f>VLOOKUP($B5&amp;$C5,'[1]FC4 Prod'!$A$6:$BP$36,[2]Consolidated!AS$1)</f>
        <v>2.1566666666666667</v>
      </c>
      <c r="AT5" s="29">
        <f>VLOOKUP($B5&amp;$C5,'[1]FC4 Prod'!$A$6:$BP$36,[2]Consolidated!AT$1)</f>
        <v>0.78523850068305867</v>
      </c>
      <c r="AU5" s="34">
        <f>VLOOKUP($B5&amp;$C5,'[1]FC4 Prod'!$A$6:$BP$36,[2]Consolidated!AU$1)</f>
        <v>604.26851851851859</v>
      </c>
      <c r="AV5" s="34">
        <f>VLOOKUP($B5&amp;$C5,'[1]FC4 Prod'!$A$6:$BP$36,[2]Consolidated!AV$1)</f>
        <v>208.33333333333334</v>
      </c>
      <c r="AW5" s="47">
        <f>VLOOKUP($B5&amp;$C5,'[1]FC4 Prod'!$A$6:$BP$36,[2]Consolidated!AW$1)</f>
        <v>17548.52888976533</v>
      </c>
      <c r="AX5" s="47">
        <f>VLOOKUP($B5&amp;$C5,'[1]FC4 Prod'!$A$6:$BP$36,[2]Consolidated!AX$1)</f>
        <v>8128.0212975744435</v>
      </c>
      <c r="AY5" s="48">
        <f>VLOOKUP($B5&amp;$C5,'[1]FC4 Prod'!$A$6:$BP$36,[2]Consolidated!AY$1)</f>
        <v>347.86038256754091</v>
      </c>
      <c r="AZ5" s="47">
        <f>VLOOKUP($B5&amp;$C5,'[1]FC4 Prod'!$A$6:$BP$36,[2]Consolidated!AZ$1)</f>
        <v>1268.7034115559061</v>
      </c>
      <c r="BA5" s="47">
        <f>VLOOKUP($B5&amp;$C5,'[1]FC4 Prod'!$A$6:$BP$36,[2]Consolidated!BA$1)</f>
        <v>17542.847564582924</v>
      </c>
      <c r="BB5" s="47">
        <f>VLOOKUP($B5&amp;$C5,'[1]FC4 Prod'!$A$6:$BP$36,[2]Consolidated!BB$1)</f>
        <v>448.3596154604615</v>
      </c>
      <c r="BC5" s="47">
        <f>VLOOKUP($B5&amp;$C5,'[1]FC4 Prod'!$A$6:$BP$36,[2]Consolidated!BC$1)</f>
        <v>5697.6769867876164</v>
      </c>
      <c r="BD5" s="49">
        <f>VLOOKUP($B5&amp;$C5,'[1]FC4 Prod'!$A$6:$BP$36,[2]Consolidated!BD$1)</f>
        <v>50981.998148294224</v>
      </c>
      <c r="BE5" s="47">
        <f>VLOOKUP($B5&amp;$C5,'[1]FC4 Prod'!$A$6:$BP$36,[2]Consolidated!BE$1)</f>
        <v>16725.781680141983</v>
      </c>
      <c r="BF5" s="47">
        <f>VLOOKUP($B5&amp;$C5,'[1]FC4 Prod'!$A$6:$BP$36,[2]Consolidated!BF$1)</f>
        <v>7073.3596134884638</v>
      </c>
      <c r="BG5" s="50">
        <f>VLOOKUP($B5&amp;$C5,'[1]FC4 Prod'!$A$6:$BP$36,[2]Consolidated!BG$1)</f>
        <v>425.95444685466379</v>
      </c>
      <c r="BH5" s="50">
        <f>VLOOKUP($B5&amp;$C5,'[1]FC4 Prod'!$A$6:$BP$36,[2]Consolidated!BH$1)</f>
        <v>430.36646716623949</v>
      </c>
      <c r="BI5" s="50">
        <f>VLOOKUP($B5&amp;$C5,'[1]FC4 Prod'!$A$6:$BP$36,[2]Consolidated!BI$1)</f>
        <v>49164.6901705778</v>
      </c>
      <c r="BJ5" s="37" t="e">
        <f>VLOOKUP($B5&amp;$C5,'[1]FC4 Prod'!$A$6:$BP$36,[2]Consolidated!BJ$1)</f>
        <v>#REF!</v>
      </c>
      <c r="BK5" s="37" t="e">
        <f>VLOOKUP($B5&amp;$C5,'[1]FC4 Prod'!$A$6:$BP$36,[2]Consolidated!BK$1)</f>
        <v>#REF!</v>
      </c>
      <c r="BL5" s="37" t="e">
        <f>VLOOKUP($B5&amp;$C5,'[1]FC4 Prod'!$A$6:$BP$36,[2]Consolidated!BL$1)</f>
        <v>#REF!</v>
      </c>
      <c r="BM5" s="37" t="e">
        <f>VLOOKUP($B5&amp;$C5,'[1]FC4 Prod'!$A$6:$BP$36,[2]Consolidated!BM$1)</f>
        <v>#REF!</v>
      </c>
      <c r="BN5" s="37" t="e">
        <f>VLOOKUP($B5&amp;$C5,'[1]FC4 Prod'!$A$6:$BP$36,[2]Consolidated!BN$1)</f>
        <v>#REF!</v>
      </c>
      <c r="BO5" s="37" t="e">
        <f>VLOOKUP($B5&amp;$C5,'[1]FC4 Prod'!$A$6:$BP$36,[2]Consolidated!BO$1)</f>
        <v>#REF!</v>
      </c>
      <c r="BP5" s="37" t="str">
        <f>VLOOKUP($B5&amp;$C5,'[1]FC4 Prod'!$A$6:$BP$36,[2]Consolidated!BP$1)</f>
        <v>NIL</v>
      </c>
      <c r="BQ5" s="51" t="e">
        <f>VLOOKUP($B5&amp;$C5,'[1]FC4 Prod'!$A$6:$BP$36,[2]Consolidated!BQ$1)</f>
        <v>#REF!</v>
      </c>
      <c r="BR5" s="51">
        <f>VLOOKUP($B5&amp;$C5,'[1]FC4 Prod'!$A$6:$BQ$36,[2]Consolidated!BR$1)</f>
        <v>41644</v>
      </c>
      <c r="BS5" s="52">
        <f>BE5+BF5*110%+BG5+BA5</f>
        <v>42475.279266416881</v>
      </c>
      <c r="BT5" s="32">
        <f t="shared" si="2"/>
        <v>-831.279266416881</v>
      </c>
      <c r="BU5" s="37">
        <f t="shared" si="3"/>
        <v>-42154.171600000038</v>
      </c>
      <c r="BV5" s="53" t="s">
        <v>130</v>
      </c>
      <c r="BW5" s="54" cm="1">
        <f t="array" ref="BW5">IFERROR(VLOOKUP($A5,TRANSPOSE('[1]Fur 4 PLC'!$AR$1:$BV$39),8,0),0)</f>
        <v>0</v>
      </c>
      <c r="BX5" s="54" cm="1">
        <f t="array" ref="BX5">IFERROR(VLOOKUP($A5,TRANSPOSE('[1]Fur 4 PLC'!$AR$1:$BV$39),30,0),0)</f>
        <v>0</v>
      </c>
      <c r="BY5" s="54" cm="1">
        <f t="array" ref="BY5">IFERROR(VLOOKUP($A5,TRANSPOSE('[1]Fur 4 PLC'!$AR$1:$BV$39),14,0),0)</f>
        <v>0</v>
      </c>
      <c r="BZ5" s="54" cm="1">
        <f t="array" ref="BZ5">IFERROR(VLOOKUP($A5,TRANSPOSE('[1]Fur 4 PLC'!$AR$1:$BV$39),16,0),0)</f>
        <v>0</v>
      </c>
      <c r="CA5" s="54" cm="1">
        <f t="array" ref="CA5">IFERROR(VLOOKUP($A5,TRANSPOSE('[1]Fur 4 PLC'!$AR$1:$BV$39),9,0),0)</f>
        <v>0</v>
      </c>
      <c r="CB5" s="54" cm="1">
        <f t="array" ref="CB5">IFERROR(VLOOKUP($A5,TRANSPOSE('[1]Fur 4 PLC'!$AR$1:$BV$39),17,0),0)</f>
        <v>0</v>
      </c>
      <c r="CC5" s="54" cm="1">
        <f t="array" ref="CC5">IFERROR(VLOOKUP($A5,TRANSPOSE('[1]Fur 4 PLC'!$AR$1:$BV$39),20,0),0)</f>
        <v>1491.6387300335241</v>
      </c>
      <c r="CD5" s="54" cm="1">
        <f t="array" ref="CD5">IFERROR(VLOOKUP($A5,TRANSPOSE('[1]Fur 4 PLC'!$AR$1:$BV$39),28,0),0)</f>
        <v>0</v>
      </c>
      <c r="CE5" s="54" cm="1">
        <f t="array" ref="CE5">IFERROR(VLOOKUP($A5,TRANSPOSE('[1]Fur 4 PLC'!$AR$1:$BV$39),13,0),0)</f>
        <v>97.081443502267803</v>
      </c>
      <c r="CF5" s="54" cm="1">
        <f t="array" ref="CF5">IFERROR(VLOOKUP($A5,TRANSPOSE('[1]Fur 4 PLC'!$AR$1:$BV$39),37,0),0)</f>
        <v>3.0171563794123446</v>
      </c>
      <c r="CG5" s="54" cm="1">
        <f t="array" ref="CG5">IFERROR(VLOOKUP($A5,TRANSPOSE('[1]Fur 4 PLC'!$AR$1:$BV$39),6,0),0)</f>
        <v>0</v>
      </c>
      <c r="CH5" s="54" cm="1">
        <f t="array" ref="CH5">IFERROR(VLOOKUP($A5,TRANSPOSE('[1]Fur 4 PLC'!$AR$1:$BV$39),21,0),0)</f>
        <v>0</v>
      </c>
      <c r="CI5" s="54" cm="1">
        <f t="array" ref="CI5">IFERROR(VLOOKUP($A5,TRANSPOSE('[1]Fur 4 PLC'!$AR$1:$BV$39),12,0),0)</f>
        <v>0</v>
      </c>
      <c r="CJ5" s="54" cm="1">
        <f t="array" ref="CJ5">IFERROR(VLOOKUP($A5,TRANSPOSE('[1]Fur 4 PLC'!$AR$1:$BV$39),25,0),0)</f>
        <v>124.23585091697889</v>
      </c>
      <c r="CK5" s="54" cm="1">
        <f t="array" ref="CK5">IFERROR(VLOOKUP($A5,TRANSPOSE('[1]Fur 4 PLC'!$AR$1:$BV$39),26,0),0)</f>
        <v>355.92585288897646</v>
      </c>
      <c r="CL5" s="54" cm="1">
        <f t="array" ref="CL5">IFERROR(VLOOKUP($A5,TRANSPOSE('[1]Fur 4 PLC'!$AR$1:$BV$39),27,0),0)</f>
        <v>0</v>
      </c>
      <c r="CM5" s="54" cm="1">
        <f t="array" ref="CM5">IFERROR(VLOOKUP($A5,TRANSPOSE('[1]Fur 4 PLC'!$AR$1:$BV$39),22,0),0)</f>
        <v>0</v>
      </c>
      <c r="CN5" s="54"/>
      <c r="CO5" s="54" cm="1">
        <f t="array" ref="CO5">IFERROR(VLOOKUP($A5,TRANSPOSE('[1]Fur 4 PLC'!$AR$1:$BV$39),29,0),0)</f>
        <v>123.95977124827449</v>
      </c>
      <c r="CP5" s="54" cm="1">
        <f t="array" ref="CP5">IFERROR(VLOOKUP($A5,TRANSPOSE('[1]Fur 4 PLC'!$AR$1:$BV$39),10,0),0)</f>
        <v>0</v>
      </c>
      <c r="CQ5" s="54" cm="1">
        <f t="array" ref="CQ5">IFERROR(VLOOKUP($A5,TRANSPOSE('[1]Fur 4 PLC'!$AR$1:$BV$39),7,0),0)</f>
        <v>88.52297377243147</v>
      </c>
      <c r="CR5" s="54" cm="1">
        <f t="array" ref="CR5">IFERROR(VLOOKUP($A5,TRANSPOSE('[1]Fur 4 PLC'!$AR$1:$BV$39),36,0),0)</f>
        <v>176.78958785249458</v>
      </c>
      <c r="CS5" s="54" cm="1">
        <f t="array" ref="CS5">IFERROR(VLOOKUP($A5,TRANSPOSE('[1]Fur 4 PLC'!$AR$1:$BV$39),11,0),0)</f>
        <v>0</v>
      </c>
      <c r="CT5" s="54" cm="1">
        <f t="array" ref="CT5">IFERROR(VLOOKUP($A5,TRANSPOSE('[1]Fur 4 PLC'!$AR$1:$BV$39),19,0),0)</f>
        <v>0</v>
      </c>
      <c r="CU5" s="54" cm="1">
        <f t="array" ref="CU5">IFERROR(VLOOKUP($A5,TRANSPOSE('[1]Fur 4 PLC'!$AR$1:$BV$39),18,0),0)</f>
        <v>312.04890554131333</v>
      </c>
      <c r="CV5" s="54" cm="1">
        <f t="array" ref="CV5">IFERROR(VLOOKUP($A5,TRANSPOSE('[1]Fur 4 PLC'!$AR$1:$BV$38),15,0),0)</f>
        <v>0</v>
      </c>
      <c r="CW5" s="54" cm="1">
        <f t="array" ref="CW5">IFERROR(VLOOKUP($A5,TRANSPOSE('[1]Fur 4 PLC'!$CK$1:$DO$39),8,0),0)</f>
        <v>0</v>
      </c>
      <c r="CX5" s="54" cm="1">
        <f t="array" ref="CX5">IFERROR(VLOOKUP($A5,TRANSPOSE('[1]Fur 4 PLC'!$CK$1:$DO$39),30,0),0)</f>
        <v>0</v>
      </c>
      <c r="CY5" s="54" cm="1">
        <f t="array" ref="CY5">IFERROR(VLOOKUP($A5,TRANSPOSE('[1]Fur 4 PLC'!$CK$1:$DO$39),14,0),0)</f>
        <v>0</v>
      </c>
      <c r="CZ5" s="54" cm="1">
        <f t="array" ref="CZ5">IFERROR(VLOOKUP($A5,TRANSPOSE('[1]Fur 4 PLC'!$CK$1:$DO$39),16,0),0)</f>
        <v>0</v>
      </c>
      <c r="DA5" s="54" cm="1">
        <f t="array" ref="DA5">IFERROR(VLOOKUP($A5,TRANSPOSE('[1]Fur 4 PLC'!$CK$1:$DO$39),9,0),0)</f>
        <v>0</v>
      </c>
      <c r="DB5" s="55" cm="1">
        <f t="array" ref="DB5">IFERROR(VLOOKUP($A5,TRANSPOSE('[1]Fur 4 PLC'!$CK$1:$DO$39),17,0),0)</f>
        <v>0</v>
      </c>
      <c r="DC5" s="55" cm="1">
        <f t="array" ref="DC5">IFERROR(VLOOKUP($A5,TRANSPOSE('[1]Fur 4 PLC'!$CK$1:$DO$39),20,0),0)</f>
        <v>771.84693877551024</v>
      </c>
      <c r="DD5" s="54" cm="1">
        <f t="array" ref="DD5">IFERROR(VLOOKUP($A5,TRANSPOSE('[1]Fur 4 PLC'!$CK$1:$DO$39),28,0),0)</f>
        <v>0</v>
      </c>
      <c r="DE5" s="54" cm="1">
        <f t="array" ref="DE5">IFERROR(VLOOKUP($A5,TRANSPOSE('[1]Fur 4 PLC'!$CK$1:$DO$39),13,0),0)</f>
        <v>50.234693877551024</v>
      </c>
      <c r="DF5" s="54" cm="1">
        <f t="array" ref="DF5">IFERROR(VLOOKUP($A5,TRANSPOSE('[1]Fur 4 PLC'!$CK$1:$DO$39),37,0),0)</f>
        <v>1.5612244897959184</v>
      </c>
      <c r="DG5" s="54" cm="1">
        <f t="array" ref="DG5">IFERROR(VLOOKUP($A5,TRANSPOSE('[1]Fur 4 PLC'!$CK$1:$DO$39),6,0),0)</f>
        <v>0</v>
      </c>
      <c r="DH5" s="54" cm="1">
        <f t="array" ref="DH5">IFERROR(VLOOKUP($A5,TRANSPOSE('[1]Fur 4 PLC'!$CK$1:$DO$39),21,0),0)</f>
        <v>0</v>
      </c>
      <c r="DI5" s="54" cm="1">
        <f t="array" ref="DI5">IFERROR(VLOOKUP($A5,TRANSPOSE('[1]Fur 4 PLC'!$CK$1:$DO$39),12,0),0)</f>
        <v>0</v>
      </c>
      <c r="DJ5" s="54" cm="1">
        <f t="array" ref="DJ5">IFERROR(VLOOKUP($A5,TRANSPOSE('[1]Fur 4 PLC'!$CK$1:$DO$39),25,0),0)</f>
        <v>64.285714285714278</v>
      </c>
      <c r="DK5" s="54" cm="1">
        <f t="array" ref="DK5">IFERROR(VLOOKUP($A5,TRANSPOSE('[1]Fur 4 PLC'!$CK$1:$DO$39),26,0),0)</f>
        <v>184.17346938775509</v>
      </c>
      <c r="DL5" s="54" cm="1">
        <f t="array" ref="DL5">IFERROR(VLOOKUP($A5,TRANSPOSE('[1]Fur 4 PLC'!$CK$1:$DO$39),27,0),0)</f>
        <v>0</v>
      </c>
      <c r="DM5" s="54" cm="1">
        <f t="array" ref="DM5">IFERROR(VLOOKUP($A5,TRANSPOSE('[1]Fur 4 PLC'!$CK$1:$DO$39),22,0),0)</f>
        <v>0</v>
      </c>
      <c r="DN5" s="54" cm="1">
        <f t="array" ref="DN5">IFERROR(VLOOKUP($A5,TRANSPOSE('[1]Fur 4 PLC'!$CK$1:$DO$39),19,0),0)</f>
        <v>0</v>
      </c>
      <c r="DO5" s="54" cm="1">
        <f t="array" ref="DO5">IFERROR(VLOOKUP($A5,TRANSPOSE('[1]Fur 4 PLC'!$CK$1:$DO$39),29,0),0)</f>
        <v>64.142857142857139</v>
      </c>
      <c r="DP5" s="54" cm="1">
        <f t="array" ref="DP5">IFERROR(VLOOKUP($A5,TRANSPOSE('[1]Fur 4 PLC'!$CK$1:$DO$39),10,0),0)</f>
        <v>0</v>
      </c>
      <c r="DQ5" s="54" cm="1">
        <f t="array" ref="DQ5">IFERROR(VLOOKUP($A5,TRANSPOSE('[1]Fur 4 PLC'!$CK$1:$DO$39),7,0),0)</f>
        <v>45.806122448979586</v>
      </c>
      <c r="DR5" s="54" cm="1">
        <f t="array" ref="DR5">IFERROR(VLOOKUP($A5,TRANSPOSE('[1]Fur 4 PLC'!$CK$1:$DO$39),36,0),0)</f>
        <v>91.479591836734699</v>
      </c>
      <c r="DS5" s="54" cm="1">
        <f t="array" ref="DS5">IFERROR(VLOOKUP($A5,TRANSPOSE('[1]Fur 4 PLC'!$CK$1:$DO$39),11,0),0)</f>
        <v>0</v>
      </c>
      <c r="DT5" s="54" cm="1">
        <f t="array" ref="DT5">IFERROR(VLOOKUP($A5,TRANSPOSE('[1]Fur 4 PLC'!$CK$1:$DO$39),19,0),0)</f>
        <v>0</v>
      </c>
      <c r="DU5" s="54" cm="1">
        <f t="array" ref="DU5">IFERROR(VLOOKUP($A5,TRANSPOSE('[1]Fur 4 PLC'!$CK$1:$DO$39),18,0),0)</f>
        <v>161.46938775510202</v>
      </c>
      <c r="DV5" s="54" cm="1">
        <f t="array" ref="DV5">IFERROR(VLOOKUP($A5,TRANSPOSE('[1]Fur 4 PLC'!$CK$1:$DO$39),15,0),0)</f>
        <v>0</v>
      </c>
      <c r="DW5" t="str">
        <f t="shared" si="0"/>
        <v>Dec-25</v>
      </c>
    </row>
    <row r="6" spans="1:127" x14ac:dyDescent="0.3">
      <c r="A6" s="28" t="str">
        <f t="shared" si="1"/>
        <v>F145993</v>
      </c>
      <c r="B6" s="29" t="s">
        <v>26</v>
      </c>
      <c r="C6" s="30">
        <f>C2+1</f>
        <v>45993</v>
      </c>
      <c r="D6" s="29" t="str">
        <f>VLOOKUP($B6&amp;$C6,'[1]FC1 Prod'!$A$6:$BP$36,[2]Consolidated!D$1)</f>
        <v>Raju Singh</v>
      </c>
      <c r="E6" s="29">
        <f>VLOOKUP($B6&amp;$C6,'[1]FC1 Prod'!$A$6:$BP$36,[2]Consolidated!E$1)</f>
        <v>23.245000000000001</v>
      </c>
      <c r="F6" s="31">
        <f>VLOOKUP($B6&amp;$C6,'[1]FC1 Prod'!$A$6:$BP$36,[2]Consolidated!F$1)</f>
        <v>0</v>
      </c>
      <c r="G6" s="32">
        <f>VLOOKUP($B6&amp;$C6,'[1]FC1 Prod'!$A$6:$BP$36,[2]Consolidated!G$1)</f>
        <v>23.245000000000001</v>
      </c>
      <c r="H6" s="32">
        <f>VLOOKUP($B6&amp;$C6,'[1]FC1 Prod'!$A$6:$BP$36,[2]Consolidated!H$1)</f>
        <v>16.745000000000001</v>
      </c>
      <c r="I6" s="32">
        <f>VLOOKUP($B6&amp;$C6,'[1]FC1 Prod'!$A$6:$BP$36,[2]Consolidated!I$1)</f>
        <v>5.82</v>
      </c>
      <c r="J6" s="32">
        <f>VLOOKUP($B6&amp;$C6,'[1]FC1 Prod'!$A$6:$BP$36,[2]Consolidated!J$1)</f>
        <v>39.119999999999997</v>
      </c>
      <c r="K6" s="32">
        <f>VLOOKUP($B6&amp;$C6,'[1]FC1 Prod'!$A$6:$BP$36,[2]Consolidated!K$1)</f>
        <v>1.32</v>
      </c>
      <c r="L6" s="32">
        <f>VLOOKUP($B6&amp;$C6,'[1]FC1 Prod'!$A$6:$BP$36,[2]Consolidated!L$1)</f>
        <v>28.32</v>
      </c>
      <c r="M6" s="32">
        <f>VLOOKUP($B6&amp;$C6,'[1]FC1 Prod'!$A$6:$BP$36,[2]Consolidated!M$1)</f>
        <v>5.25</v>
      </c>
      <c r="N6" s="32">
        <f>VLOOKUP($B6&amp;$C6,'[1]FC1 Prod'!$A$6:$BP$36,[2]Consolidated!N$1)</f>
        <v>16.579999999999998</v>
      </c>
      <c r="O6" s="32">
        <f>VLOOKUP($B6&amp;$C6,'[1]FC1 Prod'!$A$6:$BP$36,[2]Consolidated!O$1)</f>
        <v>0.86</v>
      </c>
      <c r="P6" s="33">
        <f>VLOOKUP($B6&amp;$C6,'[1]FC1 Prod'!$A$6:$BP$36,[2]Consolidated!P$1)</f>
        <v>8</v>
      </c>
      <c r="Q6" s="29">
        <f>VLOOKUP($B6&amp;$C6,'[1]FC1 Prod'!$A$6:$BP$36,[2]Consolidated!Q$1)</f>
        <v>42.595999999999997</v>
      </c>
      <c r="R6" s="29">
        <f>VLOOKUP($B6&amp;$C6,'[1]FC1 Prod'!$A$6:$BP$36,[2]Consolidated!R$1)</f>
        <v>13.928999999999998</v>
      </c>
      <c r="S6" s="34">
        <f>VLOOKUP($B6&amp;$C6,'[1]FC1 Prod'!$A$6:$BP$36,[2]Consolidated!S$1)</f>
        <v>22</v>
      </c>
      <c r="T6" s="34">
        <f>VLOOKUP($B6&amp;$C6,'[1]FC1 Prod'!$A$6:$BP$36,[2]Consolidated!T$1)</f>
        <v>16</v>
      </c>
      <c r="U6" s="34">
        <f>VLOOKUP($B6&amp;$C6,'[1]FC1 Prod'!$A$6:$BP$36,[2]Consolidated!U$1)</f>
        <v>16</v>
      </c>
      <c r="V6" s="34">
        <f>VLOOKUP($B6&amp;$C6,'[1]FC1 Prod'!$A$6:$BP$36,[2]Consolidated!V$1)</f>
        <v>54</v>
      </c>
      <c r="W6" s="35">
        <f>VLOOKUP($B6&amp;$C6,'[1]FC1 Prod'!$A$6:$BP$36,[2]Consolidated!W$1)</f>
        <v>1.83248010324801</v>
      </c>
      <c r="X6" s="35">
        <f>VLOOKUP($B6&amp;$C6,'[1]FC1 Prod'!$A$6:$BP$36,[2]Consolidated!X$1)</f>
        <v>23.965</v>
      </c>
      <c r="Y6" s="36">
        <f>VLOOKUP($B6&amp;$C6,'[1]FC1 Prod'!$A$6:$BP$36,[2]Consolidated!Y$1)</f>
        <v>0.96995618610473611</v>
      </c>
      <c r="Z6" s="37" t="str">
        <f>VLOOKUP($B6&amp;$C6,'[1]FC1 Prod'!$A$6:$BP$36,[2]Consolidated!Z$1)</f>
        <v>40/22</v>
      </c>
      <c r="AA6" s="31">
        <f>VLOOKUP($B6&amp;$C6,'[1]FC1 Prod'!$A$6:$BP$36,[2]Consolidated!AA$1)</f>
        <v>40.177499999999995</v>
      </c>
      <c r="AB6" s="31">
        <f>VLOOKUP($B6&amp;$C6,'[1]FC1 Prod'!$A$6:$BP$36,[2]Consolidated!AB$1)</f>
        <v>21.192499999999999</v>
      </c>
      <c r="AC6" s="31">
        <f>VLOOKUP($B6&amp;$C6,'[1]FC1 Prod'!$A$6:$BP$36,[2]Consolidated!AC$1)</f>
        <v>0.45749999999999996</v>
      </c>
      <c r="AD6" s="38">
        <f>VLOOKUP($B6&amp;$C6,'[1]FC1 Prod'!$A$6:$BP$36,[2]Consolidated!AD$1)</f>
        <v>558.14049460098943</v>
      </c>
      <c r="AE6" s="38">
        <f>VLOOKUP($B6&amp;$C6,'[1]FC1 Prod'!$A$6:$BP$36,[2]Consolidated!AE$1)</f>
        <v>475.45303834372982</v>
      </c>
      <c r="AF6" s="39">
        <f>VLOOKUP($B6&amp;$C6,'[1]FC1 Prod'!$A$6:$BP$36,[2]Consolidated!AF$1)</f>
        <v>0.71984563723014927</v>
      </c>
      <c r="AG6" s="39">
        <f>VLOOKUP($B6&amp;$C6,'[1]FC1 Prod'!$A$6:$BP$36,[2]Consolidated!AG$1)</f>
        <v>0.84503613942526923</v>
      </c>
      <c r="AH6" s="34">
        <f>VLOOKUP($B6&amp;$C6,'[1]FC1 Prod'!$A$6:$BP$36,[2]Consolidated!AH$1)</f>
        <v>499.5999139599914</v>
      </c>
      <c r="AI6" s="33">
        <f>VLOOKUP($B6&amp;$C6,'[1]FC1 Prod'!$A$6:$BP$36,[2]Consolidated!AI$1)</f>
        <v>454.00937836093789</v>
      </c>
      <c r="AJ6" s="39">
        <f>VLOOKUP($B6&amp;$C6,'[1]FC1 Prod'!$A$6:$BP$36,[2]Consolidated!AJ$1)</f>
        <v>1.3655094163463635</v>
      </c>
      <c r="AK6" s="39">
        <f>VLOOKUP($B6&amp;$C6,'[1]FC1 Prod'!$A$6:$BP$36,[2]Consolidated!AK$1)</f>
        <v>0.57460122708407013</v>
      </c>
      <c r="AL6" s="40" t="str">
        <f>VLOOKUP($B6&amp;$C6,'[1]FC1 Prod'!$A$6:$BP$36,[2]Consolidated!AL$1)</f>
        <v>10/70</v>
      </c>
      <c r="AM6" s="41">
        <f>VLOOKUP($B6&amp;$C6,'[1]FC1 Prod'!$A$6:$BP$36,[2]Consolidated!AM$1)</f>
        <v>0</v>
      </c>
      <c r="AN6" s="42">
        <f>VLOOKUP($B6&amp;$C6,'[1]FC1 Prod'!$A$6:$BP$36,[2]Consolidated!AN$1)</f>
        <v>104.1</v>
      </c>
      <c r="AO6" s="43">
        <f>VLOOKUP($B6&amp;$C6,'[1]FC1 Prod'!$A$6:$BP$36,[2]Consolidated!AO$1)</f>
        <v>3.976</v>
      </c>
      <c r="AP6" s="44">
        <f>VLOOKUP($B6&amp;$C6,'[1]FC1 Prod'!$A$6:$BP$36,[2]Consolidated!AP$1)</f>
        <v>4.6494299849429979</v>
      </c>
      <c r="AQ6" s="44">
        <f>VLOOKUP($B6&amp;$C6,'[1]FC1 Prod'!$A$6:$BP$36,[2]Consolidated!AQ$1)</f>
        <v>22.500724533368622</v>
      </c>
      <c r="AR6" s="45">
        <f>VLOOKUP($B6&amp;$C6,'[1]FC1 Prod'!$A$6:$BP$36,[2]Consolidated!AR$1)</f>
        <v>0.98579545454545436</v>
      </c>
      <c r="AS6" s="46">
        <f>VLOOKUP($B6&amp;$C6,'[1]FC1 Prod'!$A$6:$BP$36,[2]Consolidated!AS$1)</f>
        <v>2.2533333333333334</v>
      </c>
      <c r="AT6" s="29">
        <f>VLOOKUP($B6&amp;$C6,'[1]FC1 Prod'!$A$6:$BP$36,[2]Consolidated!AT$1)</f>
        <v>0.80492855598659896</v>
      </c>
      <c r="AU6" s="34">
        <f>VLOOKUP($B6&amp;$C6,'[1]FC1 Prod'!$A$6:$BP$36,[2]Consolidated!AU$1)</f>
        <v>312.67939814814815</v>
      </c>
      <c r="AV6" s="34">
        <f>VLOOKUP($B6&amp;$C6,'[1]FC1 Prod'!$A$6:$BP$36,[2]Consolidated!AV$1)</f>
        <v>283.33333333333331</v>
      </c>
      <c r="AW6" s="47">
        <f>VLOOKUP($B6&amp;$C6,'[1]FC1 Prod'!$A$6:$BP$36,[2]Consolidated!AW$1)</f>
        <v>20550.064530006453</v>
      </c>
      <c r="AX6" s="47">
        <f>VLOOKUP($B6&amp;$C6,'[1]FC1 Prod'!$A$6:$BP$36,[2]Consolidated!AX$1)</f>
        <v>15015.702301570229</v>
      </c>
      <c r="AY6" s="48">
        <f>VLOOKUP($B6&amp;$C6,'[1]FC1 Prod'!$A$6:$BP$36,[2]Consolidated!AY$1)</f>
        <v>3104.9257904925789</v>
      </c>
      <c r="AZ6" s="47">
        <f>VLOOKUP($B6&amp;$C6,'[1]FC1 Prod'!$A$6:$BP$36,[2]Consolidated!AZ$1)</f>
        <v>2463.2544633254461</v>
      </c>
      <c r="BA6" s="47">
        <f>VLOOKUP($B6&amp;$C6,'[1]FC1 Prod'!$A$6:$BP$36,[2]Consolidated!BA$1)</f>
        <v>27199.165411916536</v>
      </c>
      <c r="BB6" s="47">
        <f>VLOOKUP($B6&amp;$C6,'[1]FC1 Prod'!$A$6:$BP$36,[2]Consolidated!BB$1)</f>
        <v>683.33112497311231</v>
      </c>
      <c r="BC6" s="47">
        <f>VLOOKUP($B6&amp;$C6,'[1]FC1 Prod'!$A$6:$BP$36,[2]Consolidated!BC$1)</f>
        <v>8833.9169713916963</v>
      </c>
      <c r="BD6" s="49">
        <f>VLOOKUP($B6&amp;$C6,'[1]FC1 Prod'!$A$6:$BP$36,[2]Consolidated!BD$1)</f>
        <v>77850.360593676029</v>
      </c>
      <c r="BE6" s="47">
        <f>VLOOKUP($B6&amp;$C6,'[1]FC1 Prod'!$A$6:$BP$36,[2]Consolidated!BE$1)</f>
        <v>17960.741449774145</v>
      </c>
      <c r="BF6" s="47">
        <f>VLOOKUP($B6&amp;$C6,'[1]FC1 Prod'!$A$6:$BP$36,[2]Consolidated!BF$1)</f>
        <v>13867.309098730908</v>
      </c>
      <c r="BG6" s="50">
        <f>VLOOKUP($B6&amp;$C6,'[1]FC1 Prod'!$A$6:$BP$36,[2]Consolidated!BG$1)</f>
        <v>2021.2862981286296</v>
      </c>
      <c r="BH6" s="50">
        <f>VLOOKUP($B6&amp;$C6,'[1]FC1 Prod'!$A$6:$BP$36,[2]Consolidated!BH$1)</f>
        <v>635.11756721875656</v>
      </c>
      <c r="BI6" s="50">
        <f>VLOOKUP($B6&amp;$C6,'[1]FC1 Prod'!$A$6:$BP$36,[2]Consolidated!BI$1)</f>
        <v>72980.791260486119</v>
      </c>
      <c r="BJ6" s="37" t="e">
        <f>VLOOKUP($B6&amp;$C6,'[1]FC1 Prod'!$A$6:$BP$36,[2]Consolidated!BJ$1)</f>
        <v>#REF!</v>
      </c>
      <c r="BK6" s="37" t="e">
        <f>VLOOKUP($B6&amp;$C6,'[1]FC1 Prod'!$A$6:$BP$36,[2]Consolidated!BK$1)</f>
        <v>#REF!</v>
      </c>
      <c r="BL6" s="37" t="e">
        <f>VLOOKUP($B6&amp;$C6,'[1]FC1 Prod'!$A$6:$BP$36,[2]Consolidated!BL$1)</f>
        <v>#REF!</v>
      </c>
      <c r="BM6" s="37" t="e">
        <f>VLOOKUP($B6&amp;$C6,'[1]FC1 Prod'!$A$6:$BP$36,[2]Consolidated!BM$1)</f>
        <v>#REF!</v>
      </c>
      <c r="BN6" s="37" t="e">
        <f>VLOOKUP($B6&amp;$C6,'[1]FC1 Prod'!$A$6:$BP$36,[2]Consolidated!BN$1)</f>
        <v>#REF!</v>
      </c>
      <c r="BO6" s="37" t="e">
        <f>VLOOKUP($B6&amp;$C6,'[1]FC1 Prod'!$A$6:$BP$36,[2]Consolidated!BO$1)</f>
        <v>#REF!</v>
      </c>
      <c r="BP6" s="37" t="str">
        <f>VLOOKUP($B6&amp;$C6,'[1]FC1 Prod'!$A$6:$BP$36,[2]Consolidated!BP$1)</f>
        <v>NIL</v>
      </c>
      <c r="BQ6" s="51" t="e">
        <f>VLOOKUP($B6&amp;$C6,'[1]FC1 Prod'!$A$6:$BP$36,[2]Consolidated!BQ$1)</f>
        <v>#REF!</v>
      </c>
      <c r="BR6" s="51">
        <f>VLOOKUP($B6&amp;$C6,'[1]FC1 Prod'!$A$6:$BQ$36,[2]Consolidated!BR$1)</f>
        <v>60759</v>
      </c>
      <c r="BS6" s="52">
        <f t="shared" ref="BS6:BS8" si="4">BE6+BF6+BG6+BA6</f>
        <v>61048.502258550216</v>
      </c>
      <c r="BT6" s="32">
        <f>BR6-BS6</f>
        <v>-289.50225855021563</v>
      </c>
      <c r="BU6" s="37">
        <f>E6*BT6</f>
        <v>-6729.4799999997622</v>
      </c>
      <c r="BV6" s="53" t="s">
        <v>130</v>
      </c>
      <c r="BW6" s="54" cm="1">
        <f t="array" ref="BW6">IFERROR(VLOOKUP($A6,TRANSPOSE('[1]Fur 1 PLC'!$AR$1:$BV$38),8,0),0)</f>
        <v>0</v>
      </c>
      <c r="BX6" s="54" cm="1">
        <f t="array" ref="BX6">IFERROR(VLOOKUP($A6,TRANSPOSE('[1]Fur 1 PLC'!$AR$1:$BV$38),30,0),0)</f>
        <v>116.84233168423317</v>
      </c>
      <c r="BY6" s="54" cm="1">
        <f t="array" ref="BY6">IFERROR(VLOOKUP($A6,TRANSPOSE('[1]Fur 1 PLC'!$AR$1:$BV$38),14,0),0)</f>
        <v>0</v>
      </c>
      <c r="BZ6" s="54" cm="1">
        <f t="array" ref="BZ6">IFERROR(VLOOKUP($A6,TRANSPOSE('[1]Fur 1 PLC'!$AR$1:$BV$38),16,0),0)</f>
        <v>0</v>
      </c>
      <c r="CA6" s="54" cm="1">
        <f t="array" ref="CA6">IFERROR(VLOOKUP($A6,TRANSPOSE('[1]Fur 1 PLC'!$AR$1:$BV$38),9,0),0)</f>
        <v>314.21811142181116</v>
      </c>
      <c r="CB6" s="54" cm="1">
        <f t="array" ref="CB6">IFERROR(VLOOKUP($A6,TRANSPOSE('[1]Fur 1 PLC'!$AR$1:$BV$38),17,0),0)</f>
        <v>0</v>
      </c>
      <c r="CC6" s="54" cm="1">
        <f t="array" ref="CC6">IFERROR(VLOOKUP($A6,TRANSPOSE('[1]Fur 1 PLC'!$AR$1:$BV$38),20,0),0)</f>
        <v>836.95418369541835</v>
      </c>
      <c r="CD6" s="54" cm="1">
        <f t="array" ref="CD6">IFERROR(VLOOKUP($A6,TRANSPOSE('[1]Fur 1 PLC'!$AR$1:$BV$38),28,0),0)</f>
        <v>0</v>
      </c>
      <c r="CE6" s="54" cm="1">
        <f t="array" ref="CE6">IFERROR(VLOOKUP($A6,TRANSPOSE('[1]Fur 1 PLC'!$AR$1:$BV$38),13,0),0)</f>
        <v>0</v>
      </c>
      <c r="CF6" s="54" cm="1">
        <f t="array" ref="CF6">IFERROR(VLOOKUP($A6,TRANSPOSE('[1]Fur 1 PLC'!$AR$1:$BV$38),37,0),0)</f>
        <v>570.27317702731773</v>
      </c>
      <c r="CG6" s="54" cm="1">
        <f t="array" ref="CG6">IFERROR(VLOOKUP($A6,TRANSPOSE('[1]Fur 1 PLC'!$AR$1:$BV$38),6,0),0)</f>
        <v>0</v>
      </c>
      <c r="CH6" s="54" cm="1">
        <f t="array" ref="CH6">IFERROR(VLOOKUP($A6,TRANSPOSE('[1]Fur 1 PLC'!$AR$1:$BV$38),21,0),0)</f>
        <v>0</v>
      </c>
      <c r="CI6" s="54" cm="1">
        <f t="array" ref="CI6">IFERROR(VLOOKUP($A6,TRANSPOSE('[1]Fur 1 PLC'!$AR$1:$BV$38),12,0),0)</f>
        <v>0</v>
      </c>
      <c r="CJ6" s="54" cm="1">
        <f t="array" ref="CJ6">IFERROR(VLOOKUP($A6,TRANSPOSE('[1]Fur 1 PLC'!$AR$1:$BV$38),25,0),0)</f>
        <v>0</v>
      </c>
      <c r="CK6" s="54" cm="1">
        <f t="array" ref="CK6">IFERROR(VLOOKUP($A6,TRANSPOSE('[1]Fur 1 PLC'!$AR$1:$BV$38),26,0),0)</f>
        <v>0</v>
      </c>
      <c r="CL6" s="54" cm="1">
        <f t="array" ref="CL6">IFERROR(VLOOKUP($A6,TRANSPOSE('[1]Fur 1 PLC'!$AR$1:$BV$38),27,0),0)</f>
        <v>482.38330823833076</v>
      </c>
      <c r="CM6" s="54" cm="1">
        <f t="array" ref="CM6">IFERROR(VLOOKUP($A6,TRANSPOSE('[1]Fur 1 PLC'!$AR$1:$BV$38),22,0),0)</f>
        <v>0</v>
      </c>
      <c r="CN6" s="54"/>
      <c r="CO6" s="54" cm="1">
        <f t="array" ref="CO6">IFERROR(VLOOKUP($A6,TRANSPOSE('[1]Fur 1 PLC'!$AR$1:$BV$38),29,0),0)</f>
        <v>0</v>
      </c>
      <c r="CP6" s="54" cm="1">
        <f t="array" ref="CP6">IFERROR(VLOOKUP($A6,TRANSPOSE('[1]Fur 1 PLC'!$AR$1:$BV$38),10,0),0)</f>
        <v>0</v>
      </c>
      <c r="CQ6" s="54" cm="1">
        <f t="array" ref="CQ6">IFERROR(VLOOKUP($A6,TRANSPOSE('[1]Fur 1 PLC'!$AR$1:$BV$38),7,0),0)</f>
        <v>280.57646805764682</v>
      </c>
      <c r="CR6" s="54" cm="1">
        <f t="array" ref="CR6">IFERROR(VLOOKUP($A6,TRANSPOSE('[1]Fur 1 PLC'!$AR$1:$BV$38),35,0),0)</f>
        <v>200.64530006453001</v>
      </c>
      <c r="CS6" s="54" cm="1">
        <f t="array" ref="CS6">IFERROR(VLOOKUP($A6,TRANSPOSE('[1]Fur 1 PLC'!$AR$1:$BV$38),11,0),0)</f>
        <v>0</v>
      </c>
      <c r="CT6" s="54" cm="1">
        <f t="array" ref="CT6">IFERROR(VLOOKUP($A6,TRANSPOSE('[1]Fur 1 PLC'!$AR$1:$BV$38),19,0),0)</f>
        <v>0</v>
      </c>
      <c r="CU6" s="54" cm="1">
        <f t="array" ref="CU6">IFERROR(VLOOKUP($A6,TRANSPOSE('[1]Fur 1 PLC'!$AR$1:$BV$38),18,0),0)</f>
        <v>523.42439234243921</v>
      </c>
      <c r="CV6" s="54" cm="1">
        <f t="array" ref="CV6">IFERROR(VLOOKUP($A6,TRANSPOSE('[1]Fur 1 PLC'!$AR$1:$BV$38),15,0),0)</f>
        <v>157.88341578834155</v>
      </c>
      <c r="CW6" s="54" cm="1">
        <f t="array" ref="CW6">IFERROR(VLOOKUP($A6,TRANSPOSE('[1]Fur 1 PLC'!$CL$1:$DP$38),8,0),0)</f>
        <v>0</v>
      </c>
      <c r="CX6" s="54" cm="1">
        <f t="array" ref="CX6">IFERROR(VLOOKUP($A6,TRANSPOSE('[1]Fur 1 PLC'!$CL$1:$DP$38),30,0),0)</f>
        <v>50.296296296296298</v>
      </c>
      <c r="CY6" s="54" cm="1">
        <f t="array" ref="CY6">IFERROR(VLOOKUP($A6,TRANSPOSE('[1]Fur 1 PLC'!$CL$1:$DP$38),14,0),0)</f>
        <v>0</v>
      </c>
      <c r="CZ6" s="54" cm="1">
        <f t="array" ref="CZ6">IFERROR(VLOOKUP($A6,TRANSPOSE('[1]Fur 1 PLC'!$CL$1:$DP$38),16,0),0)</f>
        <v>0</v>
      </c>
      <c r="DA6" s="54" cm="1">
        <f t="array" ref="DA6">IFERROR(VLOOKUP($A6,TRANSPOSE('[1]Fur 1 PLC'!$CL$1:$DP$38),9,0),0)</f>
        <v>135.25925925925927</v>
      </c>
      <c r="DB6" s="55" cm="1">
        <f t="array" ref="DB6">IFERROR(VLOOKUP($A6,TRANSPOSE('[1]Fur 1 PLC'!$CL$1:$DP$38),17,0),0)</f>
        <v>0</v>
      </c>
      <c r="DC6" s="55" cm="1">
        <f t="array" ref="DC6">IFERROR(VLOOKUP($A6,TRANSPOSE('[1]Fur 1 PLC'!$CL$1:$DP$38),20,0),0)</f>
        <v>360.27777777777777</v>
      </c>
      <c r="DD6" s="54" cm="1">
        <f t="array" ref="DD6">IFERROR(VLOOKUP($A6,TRANSPOSE('[1]Fur 1 PLC'!$CL$1:$DP$38),28,0),0)</f>
        <v>0</v>
      </c>
      <c r="DE6" s="54" cm="1">
        <f t="array" ref="DE6">IFERROR(VLOOKUP($A6,TRANSPOSE('[1]Fur 1 PLC'!$CL$1:$DP$38),13,0),0)</f>
        <v>0</v>
      </c>
      <c r="DF6" s="54" cm="1">
        <f t="array" ref="DF6">IFERROR(VLOOKUP($A6,TRANSPOSE('[1]Fur 1 PLC'!$CL$1:$DP$38),37,0),0)</f>
        <v>245.4814814814815</v>
      </c>
      <c r="DG6" s="54" cm="1">
        <f t="array" ref="DG6">IFERROR(VLOOKUP($A6,TRANSPOSE('[1]Fur 1 PLC'!$CL$1:$DP$38),6,0),0)</f>
        <v>0</v>
      </c>
      <c r="DH6" s="54" cm="1">
        <f t="array" ref="DH6">IFERROR(VLOOKUP($A6,TRANSPOSE('[1]Fur 1 PLC'!$CL$1:$DP$38),21,0),0)</f>
        <v>0</v>
      </c>
      <c r="DI6" s="54" cm="1">
        <f t="array" ref="DI6">IFERROR(VLOOKUP($A6,TRANSPOSE('[1]Fur 1 PLC'!$CL$1:$DP$38),12,0),0)</f>
        <v>0</v>
      </c>
      <c r="DJ6" s="54" cm="1">
        <f t="array" ref="DJ6">IFERROR(VLOOKUP($A6,TRANSPOSE('[1]Fur 1 PLC'!$CL$1:$DP$38),25,0),0)</f>
        <v>0</v>
      </c>
      <c r="DK6" s="54" cm="1">
        <f t="array" ref="DK6">IFERROR(VLOOKUP($A6,TRANSPOSE('[1]Fur 1 PLC'!$CL$1:$DP$38),26,0),0)</f>
        <v>0</v>
      </c>
      <c r="DL6" s="54" cm="1">
        <f t="array" ref="DL6">IFERROR(VLOOKUP($A6,TRANSPOSE('[1]Fur 1 PLC'!$CL$1:$DP$38),27,0),0)</f>
        <v>207.64814814814812</v>
      </c>
      <c r="DM6" s="54" cm="1">
        <f t="array" ref="DM6">IFERROR(VLOOKUP($A6,TRANSPOSE('[1]Fur 1 PLC'!$CL$1:$DP$38),22,0),0)</f>
        <v>0</v>
      </c>
      <c r="DN6" s="54" cm="1">
        <f t="array" ref="DN6">IFERROR(VLOOKUP($A6,TRANSPOSE('[1]Fur 1 PLC'!$CL$1:$DP$38),19,0),0)</f>
        <v>0</v>
      </c>
      <c r="DO6" s="54" cm="1">
        <f t="array" ref="DO6">IFERROR(VLOOKUP($A6,TRANSPOSE('[1]Fur 1 PLC'!$CL$1:$DP$38),29,0),0)</f>
        <v>0</v>
      </c>
      <c r="DP6" s="54" cm="1">
        <f t="array" ref="DP6">IFERROR(VLOOKUP($A6,TRANSPOSE('[1]Fur 1 PLC'!$CL$1:$DP$38),10,0),0)</f>
        <v>0</v>
      </c>
      <c r="DQ6" s="54" cm="1">
        <f t="array" ref="DQ6">IFERROR(VLOOKUP($A6,TRANSPOSE('[1]Fur 1 PLC'!$CL$1:$DP$38),7,0),0)</f>
        <v>120.77777777777777</v>
      </c>
      <c r="DR6" s="54" cm="1">
        <f t="array" ref="DR6">IFERROR(VLOOKUP($A6,TRANSPOSE('[1]Fur 1 PLC'!$CL$1:$DP$38),35,0),0)</f>
        <v>86.370370370370367</v>
      </c>
      <c r="DS6" s="54" cm="1">
        <f t="array" ref="DS6">IFERROR(VLOOKUP($A6,TRANSPOSE('[1]Fur 1 PLC'!$CL$1:$DP$38),11,0),0)</f>
        <v>0</v>
      </c>
      <c r="DT6" s="54" cm="1">
        <f t="array" ref="DT6">IFERROR(VLOOKUP($A6,TRANSPOSE('[1]Fur 1 PLC'!$CL$1:$DP$38),19,0),0)</f>
        <v>0</v>
      </c>
      <c r="DU6" s="54" cm="1">
        <f t="array" ref="DU6">IFERROR(VLOOKUP($A6,TRANSPOSE('[1]Fur 1 PLC'!$CL$1:$DP$38),18,0),0)</f>
        <v>225.31481481481481</v>
      </c>
      <c r="DV6" s="54" cm="1">
        <f t="array" ref="DV6">IFERROR(VLOOKUP($A6,TRANSPOSE('[1]Fur 1 PLC'!$CL$1:$DP$38),15,0),0)</f>
        <v>67.962962962962962</v>
      </c>
      <c r="DW6" t="str">
        <f>TEXT(C6,"Mmm-yy")</f>
        <v>Dec-25</v>
      </c>
    </row>
    <row r="7" spans="1:127" x14ac:dyDescent="0.3">
      <c r="A7" s="28" t="str">
        <f t="shared" si="1"/>
        <v>F245993</v>
      </c>
      <c r="B7" s="29" t="s">
        <v>27</v>
      </c>
      <c r="C7" s="30">
        <f>C6</f>
        <v>45993</v>
      </c>
      <c r="D7" s="29" t="str">
        <f>VLOOKUP($B7&amp;$C7,'[1]FC2 Prod'!$A$6:$BP$36,[2]Consolidated!D$1)</f>
        <v>Mr. Girish Malik</v>
      </c>
      <c r="E7" s="29">
        <f>VLOOKUP($B7&amp;$C7,'[1]FC2 Prod'!$A$6:$BP$36,[2]Consolidated!E$1)</f>
        <v>29.63</v>
      </c>
      <c r="F7" s="29">
        <f>VLOOKUP($B7&amp;$C7,'[1]FC2 Prod'!$A$6:$BP$36,[2]Consolidated!F$1)</f>
        <v>0.28000000000000114</v>
      </c>
      <c r="G7" s="29">
        <f>VLOOKUP($B7&amp;$C7,'[1]FC2 Prod'!$A$6:$BP$36,[2]Consolidated!G$1)</f>
        <v>29.91</v>
      </c>
      <c r="H7" s="32">
        <f>VLOOKUP($B7&amp;$C7,'[1]FC2 Prod'!$A$6:$BP$36,[2]Consolidated!H$1)</f>
        <v>21.58</v>
      </c>
      <c r="I7" s="32">
        <f>VLOOKUP($B7&amp;$C7,'[1]FC2 Prod'!$A$6:$BP$36,[2]Consolidated!I$1)</f>
        <v>5.76</v>
      </c>
      <c r="J7" s="32">
        <f>VLOOKUP($B7&amp;$C7,'[1]FC2 Prod'!$A$6:$BP$36,[2]Consolidated!J$1)</f>
        <v>40.21</v>
      </c>
      <c r="K7" s="32">
        <f>VLOOKUP($B7&amp;$C7,'[1]FC2 Prod'!$A$6:$BP$36,[2]Consolidated!K$1)</f>
        <v>1.38</v>
      </c>
      <c r="L7" s="32">
        <f>VLOOKUP($B7&amp;$C7,'[1]FC2 Prod'!$A$6:$BP$36,[2]Consolidated!L$1)</f>
        <v>28.28</v>
      </c>
      <c r="M7" s="32">
        <f>VLOOKUP($B7&amp;$C7,'[1]FC2 Prod'!$A$6:$BP$36,[2]Consolidated!M$1)</f>
        <v>5.0199999999999996</v>
      </c>
      <c r="N7" s="32">
        <f>VLOOKUP($B7&amp;$C7,'[1]FC2 Prod'!$A$6:$BP$36,[2]Consolidated!N$1)</f>
        <v>15.62</v>
      </c>
      <c r="O7" s="32">
        <f>VLOOKUP($B7&amp;$C7,'[1]FC2 Prod'!$A$6:$BP$36,[2]Consolidated!O$1)</f>
        <v>0.83</v>
      </c>
      <c r="P7" s="34">
        <f>VLOOKUP($B7&amp;$C7,'[1]FC2 Prod'!$A$6:$BP$36,[2]Consolidated!P$1)</f>
        <v>9</v>
      </c>
      <c r="Q7" s="29">
        <f>VLOOKUP($B7&amp;$C7,'[1]FC2 Prod'!$A$6:$BP$36,[2]Consolidated!Q$1)</f>
        <v>59.881</v>
      </c>
      <c r="R7" s="29">
        <f>VLOOKUP($B7&amp;$C7,'[1]FC2 Prod'!$A$6:$BP$36,[2]Consolidated!R$1)</f>
        <v>19.170000000000002</v>
      </c>
      <c r="S7" s="34">
        <f>VLOOKUP($B7&amp;$C7,'[1]FC2 Prod'!$A$6:$BP$36,[2]Consolidated!S$1)</f>
        <v>30</v>
      </c>
      <c r="T7" s="34">
        <f>VLOOKUP($B7&amp;$C7,'[1]FC2 Prod'!$A$6:$BP$36,[2]Consolidated!T$1)</f>
        <v>20</v>
      </c>
      <c r="U7" s="34">
        <f>VLOOKUP($B7&amp;$C7,'[1]FC2 Prod'!$A$6:$BP$36,[2]Consolidated!U$1)</f>
        <v>18</v>
      </c>
      <c r="V7" s="34">
        <f>VLOOKUP($B7&amp;$C7,'[1]FC2 Prod'!$A$6:$BP$36,[2]Consolidated!V$1)</f>
        <v>68</v>
      </c>
      <c r="W7" s="29">
        <f>VLOOKUP($B7&amp;$C7,'[1]FC2 Prod'!$A$6:$BP$36,[2]Consolidated!W$1)</f>
        <v>2.0209584880188998</v>
      </c>
      <c r="X7" s="35">
        <f>VLOOKUP($B7&amp;$C7,'[1]FC2 Prod'!$A$6:$BP$36,[2]Consolidated!X$1)</f>
        <v>30.84</v>
      </c>
      <c r="Y7" s="36">
        <f>VLOOKUP($B7&amp;$C7,'[1]FC2 Prod'!$A$6:$BP$36,[2]Consolidated!Y$1)</f>
        <v>0.96076523994811924</v>
      </c>
      <c r="Z7" s="37" t="str">
        <f>VLOOKUP($B7&amp;$C7,'[1]FC2 Prod'!$A$6:$BP$36,[2]Consolidated!Z$1)</f>
        <v>55/22</v>
      </c>
      <c r="AA7" s="31">
        <f>VLOOKUP($B7&amp;$C7,'[1]FC2 Prod'!$A$6:$BP$36,[2]Consolidated!AA$1)</f>
        <v>55.143333333333331</v>
      </c>
      <c r="AB7" s="31">
        <f>VLOOKUP($B7&amp;$C7,'[1]FC2 Prod'!$A$6:$BP$36,[2]Consolidated!AB$1)</f>
        <v>21.798888888888886</v>
      </c>
      <c r="AC7" s="31">
        <f>VLOOKUP($B7&amp;$C7,'[1]FC2 Prod'!$A$6:$BP$36,[2]Consolidated!AC$1)</f>
        <v>0.4466666666666666</v>
      </c>
      <c r="AD7" s="38">
        <f>VLOOKUP($B7&amp;$C7,'[1]FC2 Prod'!$A$6:$BP$36,[2]Consolidated!AD$1)</f>
        <v>646.91752095848813</v>
      </c>
      <c r="AE7" s="38">
        <f>VLOOKUP($B7&amp;$C7,'[1]FC2 Prod'!$A$6:$BP$36,[2]Consolidated!AE$1)</f>
        <v>641.90677177860277</v>
      </c>
      <c r="AF7" s="39">
        <f>VLOOKUP($B7&amp;$C7,'[1]FC2 Prod'!$A$6:$BP$36,[2]Consolidated!AF$1)</f>
        <v>0.85240129609771098</v>
      </c>
      <c r="AG7" s="39">
        <f>VLOOKUP($B7&amp;$C7,'[1]FC2 Prod'!$A$6:$BP$36,[2]Consolidated!AG$1)</f>
        <v>0.85905517370601248</v>
      </c>
      <c r="AH7" s="34">
        <f>VLOOKUP($B7&amp;$C7,'[1]FC2 Prod'!$A$6:$BP$36,[2]Consolidated!AH$1)</f>
        <v>575.82172392845098</v>
      </c>
      <c r="AI7" s="33">
        <f>VLOOKUP($B7&amp;$C7,'[1]FC2 Prod'!$A$6:$BP$36,[2]Consolidated!AI$1)</f>
        <v>475.83126236922044</v>
      </c>
      <c r="AJ7" s="39">
        <f>VLOOKUP($B7&amp;$C7,'[1]FC2 Prod'!$A$6:$BP$36,[2]Consolidated!AJ$1)</f>
        <v>0.43276498007007835</v>
      </c>
      <c r="AK7" s="39">
        <f>VLOOKUP($B7&amp;$C7,'[1]FC2 Prod'!$A$6:$BP$36,[2]Consolidated!AK$1)</f>
        <v>0.4913458271851206</v>
      </c>
      <c r="AL7" s="40" t="str">
        <f>VLOOKUP($B7&amp;$C7,'[1]FC2 Prod'!$A$6:$BP$36,[2]Consolidated!AL$1)</f>
        <v>10/70</v>
      </c>
      <c r="AM7" s="41">
        <f>VLOOKUP($B7&amp;$C7,'[1]FC2 Prod'!$A$6:$BP$36,[2]Consolidated!AM$1)</f>
        <v>2.6999662504218699E-2</v>
      </c>
      <c r="AN7" s="42">
        <f>VLOOKUP($B7&amp;$C7,'[1]FC2 Prod'!$A$6:$BP$36,[2]Consolidated!AN$1)</f>
        <v>141.5</v>
      </c>
      <c r="AO7" s="43">
        <f>VLOOKUP($B7&amp;$C7,'[1]FC2 Prod'!$A$6:$BP$36,[2]Consolidated!AO$1)</f>
        <v>6.4710000000000001</v>
      </c>
      <c r="AP7" s="44">
        <f>VLOOKUP($B7&amp;$C7,'[1]FC2 Prod'!$A$6:$BP$36,[2]Consolidated!AP$1)</f>
        <v>4.9939588255146816</v>
      </c>
      <c r="AQ7" s="44">
        <f>VLOOKUP($B7&amp;$C7,'[1]FC2 Prod'!$A$6:$BP$36,[2]Consolidated!AQ$1)</f>
        <v>28.024131264347492</v>
      </c>
      <c r="AR7" s="45">
        <f>VLOOKUP($B7&amp;$C7,'[1]FC2 Prod'!$A$6:$BP$36,[2]Consolidated!AR$1)</f>
        <v>0.9665300546448089</v>
      </c>
      <c r="AS7" s="46">
        <f>VLOOKUP($B7&amp;$C7,'[1]FC2 Prod'!$A$6:$BP$36,[2]Consolidated!AS$1)</f>
        <v>2.1733333333333333</v>
      </c>
      <c r="AT7" s="29">
        <f>VLOOKUP($B7&amp;$C7,'[1]FC2 Prod'!$A$6:$BP$36,[2]Consolidated!AT$1)</f>
        <v>0.79344788531343113</v>
      </c>
      <c r="AU7" s="34">
        <f>VLOOKUP($B7&amp;$C7,'[1]FC2 Prod'!$A$6:$BP$36,[2]Consolidated!AU$1)</f>
        <v>485.6631944444444</v>
      </c>
      <c r="AV7" s="34">
        <f>VLOOKUP($B7&amp;$C7,'[1]FC2 Prod'!$A$6:$BP$36,[2]Consolidated!AV$1)</f>
        <v>266.66666666666669</v>
      </c>
      <c r="AW7" s="47">
        <f>VLOOKUP($B7&amp;$C7,'[1]FC2 Prod'!$A$6:$BP$36,[2]Consolidated!AW$1)</f>
        <v>25574.946675666553</v>
      </c>
      <c r="AX7" s="47">
        <f>VLOOKUP($B7&amp;$C7,'[1]FC2 Prod'!$A$6:$BP$36,[2]Consolidated!AX$1)</f>
        <v>17627.134660816744</v>
      </c>
      <c r="AY7" s="48">
        <f>VLOOKUP($B7&amp;$C7,'[1]FC2 Prod'!$A$6:$BP$36,[2]Consolidated!AY$1)</f>
        <v>1990.1451231859603</v>
      </c>
      <c r="AZ7" s="47">
        <f>VLOOKUP($B7&amp;$C7,'[1]FC2 Prod'!$A$6:$BP$36,[2]Consolidated!AZ$1)</f>
        <v>1558.9385757678028</v>
      </c>
      <c r="BA7" s="47">
        <f>VLOOKUP($B7&amp;$C7,'[1]FC2 Prod'!$A$6:$BP$36,[2]Consolidated!BA$1)</f>
        <v>29214.659129260886</v>
      </c>
      <c r="BB7" s="47">
        <f>VLOOKUP($B7&amp;$C7,'[1]FC2 Prod'!$A$6:$BP$36,[2]Consolidated!BB$1)</f>
        <v>759.6582416469796</v>
      </c>
      <c r="BC7" s="47">
        <f>VLOOKUP($B7&amp;$C7,'[1]FC2 Prod'!$A$6:$BP$36,[2]Consolidated!BC$1)</f>
        <v>9488.5217684778945</v>
      </c>
      <c r="BD7" s="49">
        <f>VLOOKUP($B7&amp;$C7,'[1]FC2 Prod'!$A$6:$BP$36,[2]Consolidated!BD$1)</f>
        <v>86214.004174822825</v>
      </c>
      <c r="BE7" s="47">
        <f>VLOOKUP($B7&amp;$C7,'[1]FC2 Prod'!$A$6:$BP$36,[2]Consolidated!BE$1)</f>
        <v>25358.279311508606</v>
      </c>
      <c r="BF7" s="47">
        <f>VLOOKUP($B7&amp;$C7,'[1]FC2 Prod'!$A$6:$BP$36,[2]Consolidated!BF$1)</f>
        <v>14573.25683428957</v>
      </c>
      <c r="BG7" s="50">
        <f>VLOOKUP($B7&amp;$C7,'[1]FC2 Prod'!$A$6:$BP$36,[2]Consolidated!BG$1)</f>
        <v>1756.7769152885589</v>
      </c>
      <c r="BH7" s="50">
        <f>VLOOKUP($B7&amp;$C7,'[1]FC2 Prod'!$A$6:$BP$36,[2]Consolidated!BH$1)</f>
        <v>724.61910766115432</v>
      </c>
      <c r="BI7" s="50">
        <f>VLOOKUP($B7&amp;$C7,'[1]FC2 Prod'!$A$6:$BP$36,[2]Consolidated!BI$1)</f>
        <v>82675.051642254475</v>
      </c>
      <c r="BJ7" s="37" t="e">
        <f>VLOOKUP($B7&amp;$C7,'[1]FC2 Prod'!$A$6:$BP$36,[2]Consolidated!BJ$1)</f>
        <v>#REF!</v>
      </c>
      <c r="BK7" s="37" t="e">
        <f>VLOOKUP($B7&amp;$C7,'[1]FC2 Prod'!$A$6:$BP$36,[2]Consolidated!BK$1)</f>
        <v>#REF!</v>
      </c>
      <c r="BL7" s="37" t="e">
        <f>VLOOKUP($B7&amp;$C7,'[1]FC2 Prod'!$A$6:$BP$36,[2]Consolidated!BL$1)</f>
        <v>#REF!</v>
      </c>
      <c r="BM7" s="37" t="e">
        <f>VLOOKUP($B7&amp;$C7,'[1]FC2 Prod'!$A$6:$BP$36,[2]Consolidated!BM$1)</f>
        <v>#REF!</v>
      </c>
      <c r="BN7" s="37" t="e">
        <f>VLOOKUP($B7&amp;$C7,'[1]FC2 Prod'!$A$6:$BP$36,[2]Consolidated!BN$1)</f>
        <v>#REF!</v>
      </c>
      <c r="BO7" s="37" t="e">
        <f>VLOOKUP($B7&amp;$C7,'[1]FC2 Prod'!$A$6:$BP$36,[2]Consolidated!BO$1)</f>
        <v>#REF!</v>
      </c>
      <c r="BP7" s="37" t="str">
        <f>VLOOKUP($B7&amp;$C7,'[1]FC2 Prod'!$A$6:$BP$36,[2]Consolidated!BP$1)</f>
        <v>NIL</v>
      </c>
      <c r="BQ7" s="29" t="e">
        <f>VLOOKUP($B7&amp;$C7,'[1]FC2 Prod'!$A$6:$BP$36,[2]Consolidated!BQ$1)</f>
        <v>#REF!</v>
      </c>
      <c r="BR7" s="51">
        <f>VLOOKUP($B7&amp;$C7,'[1]FC2 Prod'!$A$6:$BQ$36,[2]Consolidated!BR$1)</f>
        <v>69902</v>
      </c>
      <c r="BS7" s="52">
        <f t="shared" si="4"/>
        <v>70902.972190347617</v>
      </c>
      <c r="BT7" s="32">
        <f>BR7-BS7</f>
        <v>-1000.9721903476166</v>
      </c>
      <c r="BU7" s="37">
        <f>E7*BT7</f>
        <v>-29658.805999999877</v>
      </c>
      <c r="BV7" s="53" t="s">
        <v>130</v>
      </c>
      <c r="BW7" s="54" cm="1">
        <f t="array" ref="BW7">IFERROR(VLOOKUP($A7,TRANSPOSE('[1]Fur 2 PLC'!$AR$1:$BV$38),8,0),0)</f>
        <v>0</v>
      </c>
      <c r="BX7" s="54" cm="1">
        <f t="array" ref="BX7">IFERROR(VLOOKUP($A7,TRANSPOSE('[1]Fur 2 PLC'!$AR$1:$BV$38),30,0),0)</f>
        <v>0</v>
      </c>
      <c r="BY7" s="54" cm="1">
        <f t="array" ref="BY7">IFERROR(VLOOKUP($A7,TRANSPOSE('[1]Fur 2 PLC'!$AR$1:$BV$38),14,0),0)</f>
        <v>0</v>
      </c>
      <c r="BZ7" s="54" cm="1">
        <f t="array" ref="BZ7">IFERROR(VLOOKUP($A7,TRANSPOSE('[1]Fur 2 PLC'!$AR$1:$BV$38),16,0),0)</f>
        <v>0</v>
      </c>
      <c r="CA7" s="54" cm="1">
        <f t="array" ref="CA7">IFERROR(VLOOKUP($A7,TRANSPOSE('[1]Fur 2 PLC'!$AR$1:$BV$38),9,0),0)</f>
        <v>507.12116098548768</v>
      </c>
      <c r="CB7" s="54" cm="1">
        <f t="array" ref="CB7">IFERROR(VLOOKUP($A7,TRANSPOSE('[1]Fur 2 PLC'!$AR$1:$BV$38),17,0),0)</f>
        <v>404.18494768815395</v>
      </c>
      <c r="CC7" s="54" cm="1">
        <f t="array" ref="CC7">IFERROR(VLOOKUP($A7,TRANSPOSE('[1]Fur 2 PLC'!$AR$1:$BV$38),20,0),0)</f>
        <v>0</v>
      </c>
      <c r="CD7" s="54" cm="1">
        <f t="array" ref="CD7">IFERROR(VLOOKUP($A7,TRANSPOSE('[1]Fur 2 PLC'!$AR$1:$BV$38),28,0),0)</f>
        <v>140.3307458656767</v>
      </c>
      <c r="CE7" s="54" cm="1">
        <f t="array" ref="CE7">IFERROR(VLOOKUP($A7,TRANSPOSE('[1]Fur 2 PLC'!$AR$1:$BV$38),13,0),0)</f>
        <v>0</v>
      </c>
      <c r="CF7" s="54" cm="1">
        <f t="array" ref="CF7">IFERROR(VLOOKUP($A7,TRANSPOSE('[1]Fur 2 PLC'!$AR$1:$BV$38),37,0),0)</f>
        <v>650.65811677354031</v>
      </c>
      <c r="CG7" s="54" cm="1">
        <f t="array" ref="CG7">IFERROR(VLOOKUP($A7,TRANSPOSE('[1]Fur 2 PLC'!$AR$1:$BV$38),6,0),0)</f>
        <v>0</v>
      </c>
      <c r="CH7" s="54" cm="1">
        <f t="array" ref="CH7">IFERROR(VLOOKUP($A7,TRANSPOSE('[1]Fur 2 PLC'!$AR$1:$BV$38),21,0),0)</f>
        <v>0</v>
      </c>
      <c r="CI7" s="54" cm="1">
        <f t="array" ref="CI7">IFERROR(VLOOKUP($A7,TRANSPOSE('[1]Fur 2 PLC'!$AR$1:$BV$38),12,0),0)</f>
        <v>0</v>
      </c>
      <c r="CJ7" s="54" cm="1">
        <f t="array" ref="CJ7">IFERROR(VLOOKUP($A7,TRANSPOSE('[1]Fur 2 PLC'!$AR$1:$BV$38),25,0),0)</f>
        <v>0</v>
      </c>
      <c r="CK7" s="54" cm="1">
        <f t="array" ref="CK7">IFERROR(VLOOKUP($A7,TRANSPOSE('[1]Fur 2 PLC'!$AR$1:$BV$38),26,0),0)</f>
        <v>0</v>
      </c>
      <c r="CL7" s="54" cm="1">
        <f t="array" ref="CL7">IFERROR(VLOOKUP($A7,TRANSPOSE('[1]Fur 2 PLC'!$AR$1:$BV$38),27,0),0)</f>
        <v>506.64866689166388</v>
      </c>
      <c r="CM7" s="54" cm="1">
        <f t="array" ref="CM7">IFERROR(VLOOKUP($A7,TRANSPOSE('[1]Fur 2 PLC'!$AR$1:$BV$38),22,0),0)</f>
        <v>0</v>
      </c>
      <c r="CN7" s="54"/>
      <c r="CO7" s="54" cm="1">
        <f t="array" ref="CO7">IFERROR(VLOOKUP($A7,TRANSPOSE('[1]Fur 2 PLC'!$AR$1:$BV$38),29,0),0)</f>
        <v>0</v>
      </c>
      <c r="CP7" s="54" cm="1">
        <f t="array" ref="CP7">IFERROR(VLOOKUP($A7,TRANSPOSE('[1]Fur 2 PLC'!$AR$1:$BV$38),10,0),0)</f>
        <v>0</v>
      </c>
      <c r="CQ7" s="54" cm="1">
        <f t="array" ref="CQ7">IFERROR(VLOOKUP($A7,TRANSPOSE('[1]Fur 2 PLC'!$AR$1:$BV$38),7,0),0)</f>
        <v>269.59163010462373</v>
      </c>
      <c r="CR7" s="54" cm="1">
        <f t="array" ref="CR7">IFERROR(VLOOKUP($A7,TRANSPOSE('[1]Fur 2 PLC'!$AR$1:$BV$38),35,0),0)</f>
        <v>0</v>
      </c>
      <c r="CS7" s="54" cm="1">
        <f t="array" ref="CS7">IFERROR(VLOOKUP($A7,TRANSPOSE('[1]Fur 2 PLC'!$AR$1:$BV$38),11,0),0)</f>
        <v>768.07289908876146</v>
      </c>
      <c r="CT7" s="54" cm="1">
        <f t="array" ref="CT7">IFERROR(VLOOKUP($A7,TRANSPOSE('[1]Fur 2 PLC'!$AR$1:$BV$38),19,0),0)</f>
        <v>0</v>
      </c>
      <c r="CU7" s="54" cm="1">
        <f t="array" ref="CU7">IFERROR(VLOOKUP($A7,TRANSPOSE('[1]Fur 2 PLC'!$AR$1:$BV$38),18,0),0)</f>
        <v>0</v>
      </c>
      <c r="CV7" s="54" cm="1">
        <f t="array" ref="CV7">IFERROR(VLOOKUP($A7,TRANSPOSE('[1]Fur 2 PLC'!$AR$1:$BV$38),15,0),0)</f>
        <v>341.57948025649682</v>
      </c>
      <c r="CW7" s="54" cm="1">
        <f t="array" ref="CW7">IFERROR(VLOOKUP($A7,TRANSPOSE('[1]Fur 2 PLC'!$CI$1:$DM$38),8,0),0)</f>
        <v>0</v>
      </c>
      <c r="CX7" s="54" cm="1">
        <f t="array" ref="CX7">IFERROR(VLOOKUP($A7,TRANSPOSE('[1]Fur 2 PLC'!$CI$1:$DM$38),30,0),0)</f>
        <v>0</v>
      </c>
      <c r="CY7" s="54" cm="1">
        <f t="array" ref="CY7">IFERROR(VLOOKUP($A7,TRANSPOSE('[1]Fur 2 PLC'!$CI$1:$DM$38),14,0),0)</f>
        <v>0</v>
      </c>
      <c r="CZ7" s="54" cm="1">
        <f t="array" ref="CZ7">IFERROR(VLOOKUP($A7,TRANSPOSE('[1]Fur 2 PLC'!$CI$1:$DM$38),16,0),0)</f>
        <v>0</v>
      </c>
      <c r="DA7" s="54" cm="1">
        <f t="array" ref="DA7">IFERROR(VLOOKUP($A7,TRANSPOSE('[1]Fur 2 PLC'!$CI$1:$DM$38),9,0),0)</f>
        <v>220.97058823529412</v>
      </c>
      <c r="DB7" s="55" cm="1">
        <f t="array" ref="DB7">IFERROR(VLOOKUP($A7,TRANSPOSE('[1]Fur 2 PLC'!$CI$1:$DM$38),17,0),0)</f>
        <v>176.11764705882354</v>
      </c>
      <c r="DC7" s="55" cm="1">
        <f t="array" ref="DC7">IFERROR(VLOOKUP($A7,TRANSPOSE('[1]Fur 2 PLC'!$CI$1:$DM$38),20,0),0)</f>
        <v>0</v>
      </c>
      <c r="DD7" s="54" cm="1">
        <f t="array" ref="DD7">IFERROR(VLOOKUP($A7,TRANSPOSE('[1]Fur 2 PLC'!$CI$1:$DM$38),28,0),0)</f>
        <v>61.147058823529413</v>
      </c>
      <c r="DE7" s="54" cm="1">
        <f t="array" ref="DE7">IFERROR(VLOOKUP($A7,TRANSPOSE('[1]Fur 2 PLC'!$CI$1:$DM$38),13,0),0)</f>
        <v>0</v>
      </c>
      <c r="DF7" s="54" cm="1">
        <f t="array" ref="DF7">IFERROR(VLOOKUP($A7,TRANSPOSE('[1]Fur 2 PLC'!$CI$1:$DM$38),37,0),0)</f>
        <v>283.51470588235293</v>
      </c>
      <c r="DG7" s="54" cm="1">
        <f t="array" ref="DG7">IFERROR(VLOOKUP($A7,TRANSPOSE('[1]Fur 2 PLC'!$CI$1:$DM$38),6,0),0)</f>
        <v>0</v>
      </c>
      <c r="DH7" s="54" cm="1">
        <f t="array" ref="DH7">IFERROR(VLOOKUP($A7,TRANSPOSE('[1]Fur 2 PLC'!$CI$1:$DM$38),21,0),0)</f>
        <v>0</v>
      </c>
      <c r="DI7" s="54" cm="1">
        <f t="array" ref="DI7">IFERROR(VLOOKUP($A7,TRANSPOSE('[1]Fur 2 PLC'!$CI$1:$DM$38),12,0),0)</f>
        <v>0</v>
      </c>
      <c r="DJ7" s="54" cm="1">
        <f t="array" ref="DJ7">IFERROR(VLOOKUP($A7,TRANSPOSE('[1]Fur 2 PLC'!$CI$1:$DM$38),25,0),0)</f>
        <v>0</v>
      </c>
      <c r="DK7" s="54" cm="1">
        <f t="array" ref="DK7">IFERROR(VLOOKUP($A7,TRANSPOSE('[1]Fur 2 PLC'!$CI$1:$DM$38),26,0),0)</f>
        <v>0</v>
      </c>
      <c r="DL7" s="54" cm="1">
        <f t="array" ref="DL7">IFERROR(VLOOKUP($A7,TRANSPOSE('[1]Fur 2 PLC'!$CI$1:$DM$38),27,0),0)</f>
        <v>220.76470588235296</v>
      </c>
      <c r="DM7" s="54" cm="1">
        <f t="array" ref="DM7">IFERROR(VLOOKUP($A7,TRANSPOSE('[1]Fur 2 PLC'!$CI$1:$DM$38),22,0),0)</f>
        <v>0</v>
      </c>
      <c r="DN7" s="54" cm="1">
        <f t="array" ref="DN7">IFERROR(VLOOKUP($A7,TRANSPOSE('[1]Fur 2 PLC'!$CI$1:$DM$38),19,0),0)</f>
        <v>0</v>
      </c>
      <c r="DO7" s="54" cm="1">
        <f t="array" ref="DO7">IFERROR(VLOOKUP($A7,TRANSPOSE('[1]Fur 2 PLC'!$CI$1:$DM$38),29,0),0)</f>
        <v>0</v>
      </c>
      <c r="DP7" s="54" cm="1">
        <f t="array" ref="DP7">IFERROR(VLOOKUP($A7,TRANSPOSE('[1]Fur 2 PLC'!$CI$1:$DM$38),10,0),0)</f>
        <v>0</v>
      </c>
      <c r="DQ7" s="54" cm="1">
        <f t="array" ref="DQ7">IFERROR(VLOOKUP($A7,TRANSPOSE('[1]Fur 2 PLC'!$CI$1:$DM$38),7,0),0)</f>
        <v>117.47058823529412</v>
      </c>
      <c r="DR7" s="54" cm="1">
        <f t="array" ref="DR7">IFERROR(VLOOKUP($A7,TRANSPOSE('[1]Fur 2 PLC'!$CI$1:$DM$38),35,0),0)</f>
        <v>0</v>
      </c>
      <c r="DS7" s="54" cm="1">
        <f t="array" ref="DS7">IFERROR(VLOOKUP($A7,TRANSPOSE('[1]Fur 2 PLC'!$CI$1:$DM$38),11,0),0)</f>
        <v>334.6764705882353</v>
      </c>
      <c r="DT7" s="54" cm="1">
        <f t="array" ref="DT7">IFERROR(VLOOKUP($A7,TRANSPOSE('[1]Fur 2 PLC'!$CI$1:$DM$38),19,0),0)</f>
        <v>0</v>
      </c>
      <c r="DU7" s="54" cm="1">
        <f t="array" ref="DU7">IFERROR(VLOOKUP($A7,TRANSPOSE('[1]Fur 2 PLC'!$CI$1:$DM$38),18,0),0)</f>
        <v>0</v>
      </c>
      <c r="DV7" s="54" cm="1">
        <f t="array" ref="DV7">IFERROR(VLOOKUP($A7,TRANSPOSE('[1]Fur 2 PLC'!$CI$1:$DM$38),15,0),0)</f>
        <v>148.83823529411765</v>
      </c>
      <c r="DW7" t="str">
        <f t="shared" ref="DW7:DW9" si="5">TEXT(C7,"Mmm-yy")</f>
        <v>Dec-25</v>
      </c>
    </row>
    <row r="8" spans="1:127" x14ac:dyDescent="0.3">
      <c r="A8" s="28" t="str">
        <f t="shared" si="1"/>
        <v>F345993</v>
      </c>
      <c r="B8" s="29" t="s">
        <v>28</v>
      </c>
      <c r="C8" s="30">
        <f>C7</f>
        <v>45993</v>
      </c>
      <c r="D8" s="29" t="str">
        <f>VLOOKUP($B8&amp;$C8,'[1]FC3 Prod'!$A$6:$BP$36,[2]Consolidated!D$1)</f>
        <v>Mr. Ajay Singh</v>
      </c>
      <c r="E8" s="29">
        <f>VLOOKUP($B8&amp;$C8,'[1]FC3 Prod'!$A$6:$BP$36,[2]Consolidated!E$1)</f>
        <v>35.71</v>
      </c>
      <c r="F8" s="31">
        <f>VLOOKUP($B8&amp;$C8,'[1]FC3 Prod'!$A$6:$BP$36,[2]Consolidated!F$1)</f>
        <v>0.28999999999999915</v>
      </c>
      <c r="G8" s="32">
        <f>VLOOKUP($B8&amp;$C8,'[1]FC3 Prod'!$A$6:$BP$36,[2]Consolidated!G$1)</f>
        <v>36</v>
      </c>
      <c r="H8" s="32">
        <f>VLOOKUP($B8&amp;$C8,'[1]FC3 Prod'!$A$6:$BP$36,[2]Consolidated!H$1)</f>
        <v>27.149000000000001</v>
      </c>
      <c r="I8" s="32">
        <f>VLOOKUP($B8&amp;$C8,'[1]FC3 Prod'!$A$6:$BP$36,[2]Consolidated!I$1)</f>
        <v>10.32</v>
      </c>
      <c r="J8" s="32">
        <f>VLOOKUP($B8&amp;$C8,'[1]FC3 Prod'!$A$6:$BP$36,[2]Consolidated!J$1)</f>
        <v>38.619999999999997</v>
      </c>
      <c r="K8" s="32">
        <f>VLOOKUP($B8&amp;$C8,'[1]FC3 Prod'!$A$6:$BP$36,[2]Consolidated!K$1)</f>
        <v>1.36</v>
      </c>
      <c r="L8" s="32">
        <f>VLOOKUP($B8&amp;$C8,'[1]FC3 Prod'!$A$6:$BP$36,[2]Consolidated!L$1)</f>
        <v>25.88</v>
      </c>
      <c r="M8" s="32">
        <f>VLOOKUP($B8&amp;$C8,'[1]FC3 Prod'!$A$6:$BP$36,[2]Consolidated!M$1)</f>
        <v>4.6500000000000004</v>
      </c>
      <c r="N8" s="32">
        <f>VLOOKUP($B8&amp;$C8,'[1]FC3 Prod'!$A$6:$BP$36,[2]Consolidated!N$1)</f>
        <v>16.079999999999998</v>
      </c>
      <c r="O8" s="32">
        <f>VLOOKUP($B8&amp;$C8,'[1]FC3 Prod'!$A$6:$BP$36,[2]Consolidated!O$1)</f>
        <v>0.79</v>
      </c>
      <c r="P8" s="33">
        <f>VLOOKUP($B8&amp;$C8,'[1]FC3 Prod'!$A$6:$BP$36,[2]Consolidated!P$1)</f>
        <v>8</v>
      </c>
      <c r="Q8" s="29">
        <f>VLOOKUP($B8&amp;$C8,'[1]FC3 Prod'!$A$6:$BP$36,[2]Consolidated!Q$1)</f>
        <v>74.933999999999997</v>
      </c>
      <c r="R8" s="29">
        <f>VLOOKUP($B8&amp;$C8,'[1]FC3 Prod'!$A$6:$BP$36,[2]Consolidated!R$1)</f>
        <v>23.159999999999997</v>
      </c>
      <c r="S8" s="34">
        <f>VLOOKUP($B8&amp;$C8,'[1]FC3 Prod'!$A$6:$BP$36,[2]Consolidated!S$1)</f>
        <v>32</v>
      </c>
      <c r="T8" s="34">
        <f>VLOOKUP($B8&amp;$C8,'[1]FC3 Prod'!$A$6:$BP$36,[2]Consolidated!T$1)</f>
        <v>18</v>
      </c>
      <c r="U8" s="34">
        <f>VLOOKUP($B8&amp;$C8,'[1]FC3 Prod'!$A$6:$BP$36,[2]Consolidated!U$1)</f>
        <v>20</v>
      </c>
      <c r="V8" s="34">
        <f>VLOOKUP($B8&amp;$C8,'[1]FC3 Prod'!$A$6:$BP$36,[2]Consolidated!V$1)</f>
        <v>70</v>
      </c>
      <c r="W8" s="35">
        <f>VLOOKUP($B8&amp;$C8,'[1]FC3 Prod'!$A$6:$BP$36,[2]Consolidated!W$1)</f>
        <v>2.0984038084570149</v>
      </c>
      <c r="X8" s="35">
        <f>VLOOKUP($B8&amp;$C8,'[1]FC3 Prod'!$A$6:$BP$36,[2]Consolidated!X$1)</f>
        <v>37.11</v>
      </c>
      <c r="Y8" s="36">
        <f>VLOOKUP($B8&amp;$C8,'[1]FC3 Prod'!$A$6:$BP$36,[2]Consolidated!Y$1)</f>
        <v>0.96227431959040699</v>
      </c>
      <c r="Z8" s="37" t="str">
        <f>VLOOKUP($B8&amp;$C8,'[1]FC3 Prod'!$A$6:$BP$36,[2]Consolidated!Z$1)</f>
        <v>60/15</v>
      </c>
      <c r="AA8" s="31">
        <f>VLOOKUP($B8&amp;$C8,'[1]FC3 Prod'!$A$6:$BP$36,[2]Consolidated!AA$1)</f>
        <v>59.482499999999995</v>
      </c>
      <c r="AB8" s="31">
        <f>VLOOKUP($B8&amp;$C8,'[1]FC3 Prod'!$A$6:$BP$36,[2]Consolidated!AB$1)</f>
        <v>15.605</v>
      </c>
      <c r="AC8" s="31"/>
      <c r="AD8" s="38">
        <f>VLOOKUP($B8&amp;$C8,'[1]FC3 Prod'!$A$6:$BP$36,[2]Consolidated!AD$1)</f>
        <v>1020.6994978157378</v>
      </c>
      <c r="AE8" s="38">
        <f>VLOOKUP($B8&amp;$C8,'[1]FC3 Prod'!$A$6:$BP$36,[2]Consolidated!AE$1)</f>
        <v>684.36377515541858</v>
      </c>
      <c r="AF8" s="39">
        <f>VLOOKUP($B8&amp;$C8,'[1]FC3 Prod'!$A$6:$BP$36,[2]Consolidated!AF$1)</f>
        <v>0.58276211683546941</v>
      </c>
      <c r="AG8" s="39">
        <f>VLOOKUP($B8&amp;$C8,'[1]FC3 Prod'!$A$6:$BP$36,[2]Consolidated!AG$1)</f>
        <v>0.86916494062666538</v>
      </c>
      <c r="AH8" s="34">
        <f>VLOOKUP($B8&amp;$C8,'[1]FC3 Prod'!$A$6:$BP$36,[2]Consolidated!AH$1)</f>
        <v>377.23963875665078</v>
      </c>
      <c r="AI8" s="33">
        <f>VLOOKUP($B8&amp;$C8,'[1]FC3 Prod'!$A$6:$BP$36,[2]Consolidated!AI$1)</f>
        <v>392.11031923830853</v>
      </c>
      <c r="AJ8" s="39">
        <f>VLOOKUP($B8&amp;$C8,'[1]FC3 Prod'!$A$6:$BP$36,[2]Consolidated!AJ$1)</f>
        <v>0.42668656845679248</v>
      </c>
      <c r="AK8" s="39">
        <f>VLOOKUP($B8&amp;$C8,'[1]FC3 Prod'!$A$6:$BP$36,[2]Consolidated!AK$1)</f>
        <v>0.47680701296933548</v>
      </c>
      <c r="AL8" s="40" t="str">
        <f>VLOOKUP($B8&amp;$C8,'[1]FC3 Prod'!$A$6:$BP$36,[2]Consolidated!AL$1)</f>
        <v>25/50</v>
      </c>
      <c r="AM8" s="41">
        <f>VLOOKUP($B8&amp;$C8,'[1]FC3 Prod'!$A$6:$BP$36,[2]Consolidated!AM$1)</f>
        <v>3.668440212825539E-2</v>
      </c>
      <c r="AN8" s="42">
        <f>VLOOKUP($B8&amp;$C8,'[1]FC3 Prod'!$A$6:$BP$36,[2]Consolidated!AN$1)</f>
        <v>139</v>
      </c>
      <c r="AO8" s="43">
        <f>VLOOKUP($B8&amp;$C8,'[1]FC3 Prod'!$A$6:$BP$36,[2]Consolidated!AO$1)</f>
        <v>6.4710000000000001</v>
      </c>
      <c r="AP8" s="44">
        <f>VLOOKUP($B8&amp;$C8,'[1]FC3 Prod'!$A$6:$BP$36,[2]Consolidated!AP$1)</f>
        <v>4.0736768412209461</v>
      </c>
      <c r="AQ8" s="44">
        <f>VLOOKUP($B8&amp;$C8,'[1]FC3 Prod'!$A$6:$BP$36,[2]Consolidated!AQ$1)</f>
        <v>29.568105322073269</v>
      </c>
      <c r="AR8" s="45">
        <f>VLOOKUP($B8&amp;$C8,'[1]FC3 Prod'!$A$6:$BP$36,[2]Consolidated!AR$1)</f>
        <v>0.94945355191256842</v>
      </c>
      <c r="AS8" s="46">
        <f>VLOOKUP($B8&amp;$C8,'[1]FC3 Prod'!$A$6:$BP$36,[2]Consolidated!AS$1)</f>
        <v>2.15</v>
      </c>
      <c r="AT8" s="29">
        <f>VLOOKUP($B8&amp;$C8,'[1]FC3 Prod'!$A$6:$BP$36,[2]Consolidated!AT$1)</f>
        <v>0.79456402720933861</v>
      </c>
      <c r="AU8" s="34">
        <f>VLOOKUP($B8&amp;$C8,'[1]FC3 Prod'!$A$6:$BP$36,[2]Consolidated!AU$1)</f>
        <v>522.33680555555554</v>
      </c>
      <c r="AV8" s="34">
        <f>VLOOKUP($B8&amp;$C8,'[1]FC3 Prod'!$A$6:$BP$36,[2]Consolidated!AV$1)</f>
        <v>333.33333333333331</v>
      </c>
      <c r="AW8" s="47">
        <f>VLOOKUP($B8&amp;$C8,'[1]FC3 Prod'!$A$6:$BP$36,[2]Consolidated!AW$1)</f>
        <v>40041.386166339958</v>
      </c>
      <c r="AX8" s="47">
        <f>VLOOKUP($B8&amp;$C8,'[1]FC3 Prod'!$A$6:$BP$36,[2]Consolidated!AX$1)</f>
        <v>9056.5589470736486</v>
      </c>
      <c r="AY8" s="48">
        <f>VLOOKUP($B8&amp;$C8,'[1]FC3 Prod'!$A$6:$BP$36,[2]Consolidated!AY$1)</f>
        <v>1277.7933352002237</v>
      </c>
      <c r="AZ8" s="47">
        <f>VLOOKUP($B8&amp;$C8,'[1]FC3 Prod'!$A$6:$BP$36,[2]Consolidated!AZ$1)</f>
        <v>2355.2828339400726</v>
      </c>
      <c r="BA8" s="47">
        <f>VLOOKUP($B8&amp;$C8,'[1]FC3 Prod'!$A$6:$BP$36,[2]Consolidated!BA$1)</f>
        <v>23831.009521142536</v>
      </c>
      <c r="BB8" s="47">
        <f>VLOOKUP($B8&amp;$C8,'[1]FC3 Prod'!$A$6:$BP$36,[2]Consolidated!BB$1)</f>
        <v>765.62030803696427</v>
      </c>
      <c r="BC8" s="47">
        <f>VLOOKUP($B8&amp;$C8,'[1]FC3 Prod'!$A$6:$BP$36,[2]Consolidated!BC$1)</f>
        <v>7739.9859983197975</v>
      </c>
      <c r="BD8" s="49">
        <f>VLOOKUP($B8&amp;$C8,'[1]FC3 Prod'!$A$6:$BP$36,[2]Consolidated!BD$1)</f>
        <v>85067.637110053183</v>
      </c>
      <c r="BE8" s="47">
        <f>VLOOKUP($B8&amp;$C8,'[1]FC3 Prod'!$A$6:$BP$36,[2]Consolidated!BE$1)</f>
        <v>26589.637636516385</v>
      </c>
      <c r="BF8" s="47">
        <f>VLOOKUP($B8&amp;$C8,'[1]FC3 Prod'!$A$6:$BP$36,[2]Consolidated!BF$1)</f>
        <v>9187.9302156258746</v>
      </c>
      <c r="BG8" s="50">
        <f>VLOOKUP($B8&amp;$C8,'[1]FC3 Prod'!$A$6:$BP$36,[2]Consolidated!BG$1)</f>
        <v>1078.9834780173621</v>
      </c>
      <c r="BH8" s="50">
        <f>VLOOKUP($B8&amp;$C8,'[1]FC3 Prod'!$A$6:$BP$36,[2]Consolidated!BH$1)</f>
        <v>630.42843685242235</v>
      </c>
      <c r="BI8" s="50">
        <f>VLOOKUP($B8&amp;$C8,'[1]FC3 Prod'!$A$6:$BP$36,[2]Consolidated!BI$1)</f>
        <v>71413.258120414452</v>
      </c>
      <c r="BJ8" s="37" t="e">
        <f>VLOOKUP($B8&amp;$C8,'[1]FC3 Prod'!$A$6:$BP$36,[2]Consolidated!BJ$1)</f>
        <v>#REF!</v>
      </c>
      <c r="BK8" s="37" t="e">
        <f>VLOOKUP($B8&amp;$C8,'[1]FC3 Prod'!$A$6:$BP$36,[2]Consolidated!BK$1)</f>
        <v>#REF!</v>
      </c>
      <c r="BL8" s="37" t="e">
        <f>VLOOKUP($B8&amp;$C8,'[1]FC3 Prod'!$A$6:$BP$36,[2]Consolidated!BL$1)</f>
        <v>#REF!</v>
      </c>
      <c r="BM8" s="37" t="e">
        <f>VLOOKUP($B8&amp;$C8,'[1]FC3 Prod'!$A$6:$BP$36,[2]Consolidated!BM$1)</f>
        <v>#REF!</v>
      </c>
      <c r="BN8" s="37" t="e">
        <f>VLOOKUP($B8&amp;$C8,'[1]FC3 Prod'!$A$6:$BP$36,[2]Consolidated!BN$1)</f>
        <v>#REF!</v>
      </c>
      <c r="BO8" s="37" t="e">
        <f>VLOOKUP($B8&amp;$C8,'[1]FC3 Prod'!$A$6:$BP$36,[2]Consolidated!BO$1)</f>
        <v>#REF!</v>
      </c>
      <c r="BP8" s="37" t="str">
        <f>VLOOKUP($B8&amp;$C8,'[1]FC3 Prod'!$A$6:$BP$36,[2]Consolidated!BP$1)</f>
        <v>NIL</v>
      </c>
      <c r="BQ8" s="51" t="e">
        <f>VLOOKUP($B8&amp;$C8,'[1]FC3 Prod'!$A$6:$BP$36,[2]Consolidated!BQ$1)</f>
        <v>#REF!</v>
      </c>
      <c r="BR8" s="51">
        <f>VLOOKUP($B8&amp;$C8,'[1]FC3 Prod'!$A$6:$BQ$36,[2]Consolidated!BR$1)</f>
        <v>60369</v>
      </c>
      <c r="BS8" s="52">
        <f t="shared" si="4"/>
        <v>60687.560851302158</v>
      </c>
      <c r="BT8" s="32">
        <f t="shared" ref="BT8:BT9" si="6">BR8-BS8</f>
        <v>-318.56085130215797</v>
      </c>
      <c r="BU8" s="37">
        <f t="shared" ref="BU8:BU9" si="7">E8*BT8</f>
        <v>-11375.808000000061</v>
      </c>
      <c r="BV8" s="53" t="s">
        <v>130</v>
      </c>
      <c r="BW8" s="54" cm="1">
        <f t="array" ref="BW8">IFERROR(VLOOKUP($A8,TRANSPOSE('[1]Fur 3 PLC'!$AS$1:$BX$38),8,0),0)</f>
        <v>912.23746849621955</v>
      </c>
      <c r="BX8" s="54" cm="1">
        <f t="array" ref="BX8">IFERROR(VLOOKUP($A8,TRANSPOSE('[1]Fur 3 PLC'!$AS$1:$BX$38),30,0),0)</f>
        <v>0</v>
      </c>
      <c r="BY8" s="54" cm="1">
        <f t="array" ref="BY8">IFERROR(VLOOKUP($A8,TRANSPOSE('[1]Fur 3 PLC'!$AS$1:$BX$38),14,0),0)</f>
        <v>0</v>
      </c>
      <c r="BZ8" s="54" cm="1">
        <f t="array" ref="BZ8">IFERROR(VLOOKUP($A8,TRANSPOSE('[1]Fur 3 PLC'!$AS$1:$BX$38),16,0),0)</f>
        <v>0</v>
      </c>
      <c r="CA8" s="54" cm="1">
        <f t="array" ref="CA8">IFERROR(VLOOKUP($A8,TRANSPOSE('[1]Fur 3 PLC'!$AS$1:$BX$38),9,0),0)</f>
        <v>411.76141136936434</v>
      </c>
      <c r="CB8" s="54" cm="1">
        <f t="array" ref="CB8">IFERROR(VLOOKUP($A8,TRANSPOSE('[1]Fur 3 PLC'!$AS$1:$BX$38),17,0),0)</f>
        <v>0</v>
      </c>
      <c r="CC8" s="54" cm="1">
        <f t="array" ref="CC8">IFERROR(VLOOKUP($A8,TRANSPOSE('[1]Fur 3 PLC'!$AS$1:$BX$38),20,0),0)</f>
        <v>49.397927751330158</v>
      </c>
      <c r="CD8" s="54" cm="1">
        <f t="array" ref="CD8">IFERROR(VLOOKUP($A8,TRANSPOSE('[1]Fur 3 PLC'!$AS$1:$BX$38),28,0),0)</f>
        <v>0</v>
      </c>
      <c r="CE8" s="54" cm="1">
        <f t="array" ref="CE8">IFERROR(VLOOKUP($A8,TRANSPOSE('[1]Fur 3 PLC'!$AS$1:$BX$38),13,0),0)</f>
        <v>0</v>
      </c>
      <c r="CF8" s="54" cm="1">
        <f t="array" ref="CF8">IFERROR(VLOOKUP($A8,TRANSPOSE('[1]Fur 3 PLC'!$AS$1:$BX$38),37,0),0)</f>
        <v>393.25119014281711</v>
      </c>
      <c r="CG8" s="54" cm="1">
        <f t="array" ref="CG8">IFERROR(VLOOKUP($A8,TRANSPOSE('[1]Fur 3 PLC'!$AS$1:$BX$38),6,0),0)</f>
        <v>0</v>
      </c>
      <c r="CH8" s="54" cm="1">
        <f t="array" ref="CH8">IFERROR(VLOOKUP($A8,TRANSPOSE('[1]Fur 3 PLC'!$AS$1:$BX$38),21,0),0)</f>
        <v>0</v>
      </c>
      <c r="CI8" s="54" cm="1">
        <f t="array" ref="CI8">IFERROR(VLOOKUP($A8,TRANSPOSE('[1]Fur 3 PLC'!$AS$1:$BX$38),12,0),0)</f>
        <v>0</v>
      </c>
      <c r="CJ8" s="54" cm="1">
        <f t="array" ref="CJ8">IFERROR(VLOOKUP($A8,TRANSPOSE('[1]Fur 3 PLC'!$AS$1:$BX$38),25,0),0)</f>
        <v>0</v>
      </c>
      <c r="CK8" s="54" cm="1">
        <f t="array" ref="CK8">IFERROR(VLOOKUP($A8,TRANSPOSE('[1]Fur 3 PLC'!$AS$1:$BX$38),26,0),0)</f>
        <v>359.05908709045082</v>
      </c>
      <c r="CL8" s="54" cm="1">
        <f t="array" ref="CL8">IFERROR(VLOOKUP($A8,TRANSPOSE('[1]Fur 3 PLC'!$AS$1:$BX$38),27,0),0)</f>
        <v>147.07364883786053</v>
      </c>
      <c r="CM8" s="54" cm="1">
        <f t="array" ref="CM8">IFERROR(VLOOKUP($A8,TRANSPOSE('[1]Fur 3 PLC'!$AS$1:$BX$38),22,0),0)</f>
        <v>0</v>
      </c>
      <c r="CN8" s="54"/>
      <c r="CO8" s="54" cm="1">
        <f t="array" ref="CO8">IFERROR(VLOOKUP($A8,TRANSPOSE('[1]Fur 3 PLC'!$AS$1:$BX$38),29,0),0)</f>
        <v>142.42509101092134</v>
      </c>
      <c r="CP8" s="54" cm="1">
        <f t="array" ref="CP8">IFERROR(VLOOKUP($A8,TRANSPOSE('[1]Fur 3 PLC'!$AS$1:$BX$38),10,0),0)</f>
        <v>0</v>
      </c>
      <c r="CQ8" s="54" cm="1">
        <f t="array" ref="CQ8">IFERROR(VLOOKUP($A8,TRANSPOSE('[1]Fur 3 PLC'!$AS$1:$BX$38),7,0),0)</f>
        <v>216.12993559227107</v>
      </c>
      <c r="CR8" s="54" cm="1">
        <f t="array" ref="CR8">IFERROR(VLOOKUP($A8,TRANSPOSE('[1]Fur 3 PLC'!$AS$1:$BX$38),35,0),0)</f>
        <v>7.1688602632315872</v>
      </c>
      <c r="CS8" s="54" cm="1">
        <f t="array" ref="CS8">IFERROR(VLOOKUP($A8,TRANSPOSE('[1]Fur 3 PLC'!$AS$1:$BX$38),11,0),0)</f>
        <v>0</v>
      </c>
      <c r="CT8" s="54" cm="1">
        <f t="array" ref="CT8">IFERROR(VLOOKUP($A8,TRANSPOSE('[1]Fur 3 PLC'!$AS$1:$BX$38),19,0),0)</f>
        <v>0</v>
      </c>
      <c r="CU8" s="54" cm="1">
        <f t="array" ref="CU8">IFERROR(VLOOKUP($A8,TRANSPOSE('[1]Fur 3 PLC'!$AS$1:$BX$38),18,0),0)</f>
        <v>332.76393167180055</v>
      </c>
      <c r="CV8" s="54" cm="1">
        <f t="array" ref="CV8">IFERROR(VLOOKUP($A8,TRANSPOSE('[1]Fur 3 PLC'!$AR$1:$BV$38),15,0),0)</f>
        <v>392.24306916830017</v>
      </c>
      <c r="CW8" s="54" cm="1">
        <f t="array" ref="CW8">IFERROR(VLOOKUP($A8,TRANSPOSE('[1]Fur 3 PLC'!$CK$1:$DO$38),8,0),0)</f>
        <v>465.37142857142862</v>
      </c>
      <c r="CX8" s="54" cm="1">
        <f t="array" ref="CX8">IFERROR(VLOOKUP($A8,TRANSPOSE('[1]Fur 3 PLC'!$CK$1:$DO$38),30,0),0)</f>
        <v>0</v>
      </c>
      <c r="CY8" s="54" cm="1">
        <f t="array" ref="CY8">IFERROR(VLOOKUP($A8,TRANSPOSE('[1]Fur 3 PLC'!$CK$1:$DO$38),14,0),0)</f>
        <v>0</v>
      </c>
      <c r="CZ8" s="54" cm="1">
        <f t="array" ref="CZ8">IFERROR(VLOOKUP($A8,TRANSPOSE('[1]Fur 3 PLC'!$CK$1:$DO$38),16,0),0)</f>
        <v>0</v>
      </c>
      <c r="DA8" s="54" cm="1">
        <f t="array" ref="DA8">IFERROR(VLOOKUP($A8,TRANSPOSE('[1]Fur 3 PLC'!$CK$1:$DO$38),9,0),0)</f>
        <v>210.05714285714285</v>
      </c>
      <c r="DB8" s="55" cm="1">
        <f t="array" ref="DB8">IFERROR(VLOOKUP($A8,TRANSPOSE('[1]Fur 3 PLC'!$CK$1:$DO$38),17,0),0)</f>
        <v>0</v>
      </c>
      <c r="DC8" s="55" cm="1">
        <f t="array" ref="DC8">IFERROR(VLOOKUP($A8,TRANSPOSE('[1]Fur 3 PLC'!$CK$1:$DO$38),20,0),0)</f>
        <v>25.2</v>
      </c>
      <c r="DD8" s="54" cm="1">
        <f t="array" ref="DD8">IFERROR(VLOOKUP($A8,TRANSPOSE('[1]Fur 3 PLC'!$CK$1:$DO$38),28,0),0)</f>
        <v>0</v>
      </c>
      <c r="DE8" s="54" cm="1">
        <f t="array" ref="DE8">IFERROR(VLOOKUP($A8,TRANSPOSE('[1]Fur 3 PLC'!$CK$1:$DO$38),13,0),0)</f>
        <v>0</v>
      </c>
      <c r="DF8" s="54" cm="1">
        <f t="array" ref="DF8">IFERROR(VLOOKUP($A8,TRANSPOSE('[1]Fur 3 PLC'!$CK$1:$DO$38),37,0),0)</f>
        <v>200.61428571428573</v>
      </c>
      <c r="DG8" s="54" cm="1">
        <f t="array" ref="DG8">IFERROR(VLOOKUP($A8,TRANSPOSE('[1]Fur 3 PLC'!$CK$1:$DO$38),6,0),0)</f>
        <v>0</v>
      </c>
      <c r="DH8" s="54" cm="1">
        <f t="array" ref="DH8">IFERROR(VLOOKUP($A8,TRANSPOSE('[1]Fur 3 PLC'!$CK$1:$DO$38),21,0),0)</f>
        <v>0</v>
      </c>
      <c r="DI8" s="54" cm="1">
        <f t="array" ref="DI8">IFERROR(VLOOKUP($A8,TRANSPOSE('[1]Fur 3 PLC'!$CK$1:$DO$38),12,0),0)</f>
        <v>0</v>
      </c>
      <c r="DJ8" s="54" cm="1">
        <f t="array" ref="DJ8">IFERROR(VLOOKUP($A8,TRANSPOSE('[1]Fur 3 PLC'!$CK$1:$DO$38),25,0),0)</f>
        <v>0</v>
      </c>
      <c r="DK8" s="54" cm="1">
        <f t="array" ref="DK8">IFERROR(VLOOKUP($A8,TRANSPOSE('[1]Fur 3 PLC'!$CK$1:$DO$38),26,0),0)</f>
        <v>183.17142857142858</v>
      </c>
      <c r="DL8" s="54" cm="1">
        <f t="array" ref="DL8">IFERROR(VLOOKUP($A8,TRANSPOSE('[1]Fur 3 PLC'!$CK$1:$DO$38),27,0),0)</f>
        <v>75.028571428571425</v>
      </c>
      <c r="DM8" s="54" cm="1">
        <f t="array" ref="DM8">IFERROR(VLOOKUP($A8,TRANSPOSE('[1]Fur 3 PLC'!$CK$1:$DO$38),22,0),0)</f>
        <v>0</v>
      </c>
      <c r="DN8" s="54" cm="1">
        <f t="array" ref="DN8">IFERROR(VLOOKUP($A8,TRANSPOSE('[1]Fur 3 PLC'!$CK$1:$DO$38),19,0),0)</f>
        <v>0</v>
      </c>
      <c r="DO8" s="54" cm="1">
        <f t="array" ref="DO8">IFERROR(VLOOKUP($A8,TRANSPOSE('[1]Fur 3 PLC'!$CK$1:$DO$38),29,0),0)</f>
        <v>72.657142857142858</v>
      </c>
      <c r="DP8" s="54" cm="1">
        <f t="array" ref="DP8">IFERROR(VLOOKUP($A8,TRANSPOSE('[1]Fur 3 PLC'!$CK$1:$DO$38),10,0),0)</f>
        <v>0</v>
      </c>
      <c r="DQ8" s="54" cm="1">
        <f t="array" ref="DQ8">IFERROR(VLOOKUP($A8,TRANSPOSE('[1]Fur 3 PLC'!$CK$1:$DO$38),7,0),0)</f>
        <v>110.25714285714285</v>
      </c>
      <c r="DR8" s="54" cm="1">
        <f t="array" ref="DR8">IFERROR(VLOOKUP($A8,TRANSPOSE('[1]Fur 3 PLC'!$CK$1:$DO$38),35,0),0)</f>
        <v>3.657142857142857</v>
      </c>
      <c r="DS8" s="54" cm="1">
        <f t="array" ref="DS8">IFERROR(VLOOKUP($A8,TRANSPOSE('[1]Fur 3 PLC'!$CK$1:$DO$38),11,0),0)</f>
        <v>0</v>
      </c>
      <c r="DT8" s="54" cm="1">
        <f t="array" ref="DT8">IFERROR(VLOOKUP($A8,TRANSPOSE('[1]Fur 3 PLC'!$CK$1:$DO$38),19,0),0)</f>
        <v>0</v>
      </c>
      <c r="DU8" s="54" cm="1">
        <f t="array" ref="DU8">IFERROR(VLOOKUP($A8,TRANSPOSE('[1]Fur 3 PLC'!$CK$1:$DO$38),18,0),0)</f>
        <v>169.75714285714287</v>
      </c>
      <c r="DV8" s="54" cm="1">
        <f t="array" ref="DV8">IFERROR(VLOOKUP($A8,TRANSPOSE('[1]Fur 3 PLC'!$CK$1:$DO$38),15,0),0)</f>
        <v>200.1</v>
      </c>
      <c r="DW8" t="str">
        <f t="shared" si="5"/>
        <v>Dec-25</v>
      </c>
    </row>
    <row r="9" spans="1:127" x14ac:dyDescent="0.3">
      <c r="A9" s="28" t="str">
        <f t="shared" si="1"/>
        <v>F445993</v>
      </c>
      <c r="B9" s="29" t="s">
        <v>29</v>
      </c>
      <c r="C9" s="30">
        <f>C8</f>
        <v>45993</v>
      </c>
      <c r="D9" s="29" t="str">
        <f>VLOOKUP($B9&amp;$C9,'[1]FC4 Prod'!$A$6:$BP$36,[2]Consolidated!D$1)</f>
        <v>Mr.Ganesh Ghosh Ji</v>
      </c>
      <c r="E9" s="29">
        <f>VLOOKUP($B9&amp;$C9,'[1]FC4 Prod'!$A$6:$BP$36,[2]Consolidated!E$1)</f>
        <v>50.699999999999996</v>
      </c>
      <c r="F9" s="31">
        <f>VLOOKUP($B9&amp;$C9,'[1]FC4 Prod'!$A$6:$BP$36,[2]Consolidated!F$1)</f>
        <v>0.41000000000000369</v>
      </c>
      <c r="G9" s="32">
        <f>VLOOKUP($B9&amp;$C9,'[1]FC4 Prod'!$A$6:$BP$36,[2]Consolidated!G$1)</f>
        <v>51.11</v>
      </c>
      <c r="H9" s="32">
        <f>VLOOKUP($B9&amp;$C9,'[1]FC4 Prod'!$A$6:$BP$36,[2]Consolidated!H$1)</f>
        <v>21.220000000000002</v>
      </c>
      <c r="I9" s="32">
        <f>VLOOKUP($B9&amp;$C9,'[1]FC4 Prod'!$A$6:$BP$36,[2]Consolidated!I$1)</f>
        <v>10.06</v>
      </c>
      <c r="J9" s="32">
        <f>VLOOKUP($B9&amp;$C9,'[1]FC4 Prod'!$A$6:$BP$36,[2]Consolidated!J$1)</f>
        <v>40.51</v>
      </c>
      <c r="K9" s="32">
        <f>VLOOKUP($B9&amp;$C9,'[1]FC4 Prod'!$A$6:$BP$36,[2]Consolidated!K$1)</f>
        <v>1.33</v>
      </c>
      <c r="L9" s="32">
        <f>VLOOKUP($B9&amp;$C9,'[1]FC4 Prod'!$A$6:$BP$36,[2]Consolidated!L$1)</f>
        <v>22.62</v>
      </c>
      <c r="M9" s="32">
        <f>VLOOKUP($B9&amp;$C9,'[1]FC4 Prod'!$A$6:$BP$36,[2]Consolidated!M$1)</f>
        <v>4.8499999999999996</v>
      </c>
      <c r="N9" s="32">
        <f>VLOOKUP($B9&amp;$C9,'[1]FC4 Prod'!$A$6:$BP$36,[2]Consolidated!N$1)</f>
        <v>17.28</v>
      </c>
      <c r="O9" s="32">
        <f>VLOOKUP($B9&amp;$C9,'[1]FC4 Prod'!$A$6:$BP$36,[2]Consolidated!O$1)</f>
        <v>0.68</v>
      </c>
      <c r="P9" s="33">
        <f>VLOOKUP($B9&amp;$C9,'[1]FC4 Prod'!$A$6:$BP$36,[2]Consolidated!P$1)</f>
        <v>8</v>
      </c>
      <c r="Q9" s="29">
        <f>VLOOKUP($B9&amp;$C9,'[1]FC4 Prod'!$A$6:$BP$36,[2]Consolidated!Q$1)</f>
        <v>92.269000000000005</v>
      </c>
      <c r="R9" s="29">
        <f>VLOOKUP($B9&amp;$C9,'[1]FC4 Prod'!$A$6:$BP$36,[2]Consolidated!R$1)</f>
        <v>29.805</v>
      </c>
      <c r="S9" s="34">
        <f>VLOOKUP($B9&amp;$C9,'[1]FC4 Prod'!$A$6:$BP$36,[2]Consolidated!S$1)</f>
        <v>41</v>
      </c>
      <c r="T9" s="34">
        <f>VLOOKUP($B9&amp;$C9,'[1]FC4 Prod'!$A$6:$BP$36,[2]Consolidated!T$1)</f>
        <v>27</v>
      </c>
      <c r="U9" s="34">
        <f>VLOOKUP($B9&amp;$C9,'[1]FC4 Prod'!$A$6:$BP$36,[2]Consolidated!U$1)</f>
        <v>26</v>
      </c>
      <c r="V9" s="34">
        <f>VLOOKUP($B9&amp;$C9,'[1]FC4 Prod'!$A$6:$BP$36,[2]Consolidated!V$1)</f>
        <v>94</v>
      </c>
      <c r="W9" s="35">
        <f>VLOOKUP($B9&amp;$C9,'[1]FC4 Prod'!$A$6:$BP$36,[2]Consolidated!W$1)</f>
        <v>1.8199013806706117</v>
      </c>
      <c r="X9" s="35">
        <f>VLOOKUP($B9&amp;$C9,'[1]FC4 Prod'!$A$6:$BP$36,[2]Consolidated!X$1)</f>
        <v>52.695</v>
      </c>
      <c r="Y9" s="36">
        <f>VLOOKUP($B9&amp;$C9,'[1]FC4 Prod'!$A$6:$BP$36,[2]Consolidated!Y$1)</f>
        <v>0.96214062055223448</v>
      </c>
      <c r="Z9" s="37" t="str">
        <f>VLOOKUP($B9&amp;$C9,'[1]FC4 Prod'!$A$6:$BP$36,[2]Consolidated!Z$1)</f>
        <v>40/8</v>
      </c>
      <c r="AA9" s="31">
        <f>VLOOKUP($B9&amp;$C9,'[1]FC4 Prod'!$A$6:$BP$36,[2]Consolidated!AA$1)</f>
        <v>38.533999999999999</v>
      </c>
      <c r="AB9" s="31">
        <f>VLOOKUP($B9&amp;$C9,'[1]FC4 Prod'!$A$6:$BP$36,[2]Consolidated!AB$1)</f>
        <v>7.4799999999999995</v>
      </c>
      <c r="AC9" s="31"/>
      <c r="AD9" s="38">
        <f>VLOOKUP($B9&amp;$C9,'[1]FC4 Prod'!$A$6:$BP$36,[2]Consolidated!AD$1)</f>
        <v>523.85623224852066</v>
      </c>
      <c r="AE9" s="38">
        <f>VLOOKUP($B9&amp;$C9,'[1]FC4 Prod'!$A$6:$BP$36,[2]Consolidated!AE$1)</f>
        <v>426.75701067455623</v>
      </c>
      <c r="AF9" s="39">
        <f>VLOOKUP($B9&amp;$C9,'[1]FC4 Prod'!$A$6:$BP$36,[2]Consolidated!AF$1)</f>
        <v>0.73558349844579551</v>
      </c>
      <c r="AG9" s="39">
        <f>VLOOKUP($B9&amp;$C9,'[1]FC4 Prod'!$A$6:$BP$36,[2]Consolidated!AG$1)</f>
        <v>0.90294943108470516</v>
      </c>
      <c r="AH9" s="34">
        <f>VLOOKUP($B9&amp;$C9,'[1]FC4 Prod'!$A$6:$BP$36,[2]Consolidated!AH$1)</f>
        <v>261.83651518737673</v>
      </c>
      <c r="AI9" s="33">
        <f>VLOOKUP($B9&amp;$C9,'[1]FC4 Prod'!$A$6:$BP$36,[2]Consolidated!AI$1)</f>
        <v>327.16393704142013</v>
      </c>
      <c r="AJ9" s="39">
        <f>VLOOKUP($B9&amp;$C9,'[1]FC4 Prod'!$A$6:$BP$36,[2]Consolidated!AJ$1)</f>
        <v>0.85453874169309396</v>
      </c>
      <c r="AK9" s="39">
        <f>VLOOKUP($B9&amp;$C9,'[1]FC4 Prod'!$A$6:$BP$36,[2]Consolidated!AK$1)</f>
        <v>0.70924225140025299</v>
      </c>
      <c r="AL9" s="40" t="str">
        <f>VLOOKUP($B9&amp;$C9,'[1]FC4 Prod'!$A$6:$BP$36,[2]Consolidated!AL$1)</f>
        <v>25/50</v>
      </c>
      <c r="AM9" s="41">
        <f>VLOOKUP($B9&amp;$C9,'[1]FC4 Prod'!$A$6:$BP$36,[2]Consolidated!AM$1)</f>
        <v>5.0295857988165681E-2</v>
      </c>
      <c r="AN9" s="42">
        <f>VLOOKUP($B9&amp;$C9,'[1]FC4 Prod'!$A$6:$BP$36,[2]Consolidated!AN$1)</f>
        <v>140.4</v>
      </c>
      <c r="AO9" s="43">
        <f>VLOOKUP($B9&amp;$C9,'[1]FC4 Prod'!$A$6:$BP$36,[2]Consolidated!AO$1)</f>
        <v>6.4710000000000001</v>
      </c>
      <c r="AP9" s="44">
        <f>VLOOKUP($B9&amp;$C9,'[1]FC4 Prod'!$A$6:$BP$36,[2]Consolidated!AP$1)</f>
        <v>2.8968639053254441</v>
      </c>
      <c r="AQ9" s="44">
        <f>VLOOKUP($B9&amp;$C9,'[1]FC4 Prod'!$A$6:$BP$36,[2]Consolidated!AQ$1)</f>
        <v>21.577888584250836</v>
      </c>
      <c r="AR9" s="45">
        <f>VLOOKUP($B9&amp;$C9,'[1]FC4 Prod'!$A$6:$BP$36,[2]Consolidated!AR$1)</f>
        <v>0.95901639344262313</v>
      </c>
      <c r="AS9" s="46">
        <f>VLOOKUP($B9&amp;$C9,'[1]FC4 Prod'!$A$6:$BP$36,[2]Consolidated!AS$1)</f>
        <v>2.16</v>
      </c>
      <c r="AT9" s="29">
        <f>VLOOKUP($B9&amp;$C9,'[1]FC4 Prod'!$A$6:$BP$36,[2]Consolidated!AT$1)</f>
        <v>0.80077140571342564</v>
      </c>
      <c r="AU9" s="34">
        <f>VLOOKUP($B9&amp;$C9,'[1]FC4 Prod'!$A$6:$BP$36,[2]Consolidated!AU$1)</f>
        <v>451.58796296296299</v>
      </c>
      <c r="AV9" s="34">
        <f>VLOOKUP($B9&amp;$C9,'[1]FC4 Prod'!$A$6:$BP$36,[2]Consolidated!AV$1)</f>
        <v>183.33333333333334</v>
      </c>
      <c r="AW9" s="47">
        <f>VLOOKUP($B9&amp;$C9,'[1]FC4 Prod'!$A$6:$BP$36,[2]Consolidated!AW$1)</f>
        <v>20056.127218934911</v>
      </c>
      <c r="AX9" s="47">
        <f>VLOOKUP($B9&amp;$C9,'[1]FC4 Prod'!$A$6:$BP$36,[2]Consolidated!AX$1)</f>
        <v>5743.1893491124265</v>
      </c>
      <c r="AY9" s="48">
        <f>VLOOKUP($B9&amp;$C9,'[1]FC4 Prod'!$A$6:$BP$36,[2]Consolidated!AY$1)</f>
        <v>498.46153846153851</v>
      </c>
      <c r="AZ9" s="47">
        <f>VLOOKUP($B9&amp;$C9,'[1]FC4 Prod'!$A$6:$BP$36,[2]Consolidated!AZ$1)</f>
        <v>911.97534516765302</v>
      </c>
      <c r="BA9" s="47">
        <f>VLOOKUP($B9&amp;$C9,'[1]FC4 Prod'!$A$6:$BP$36,[2]Consolidated!BA$1)</f>
        <v>16946.653846153848</v>
      </c>
      <c r="BB9" s="47">
        <f>VLOOKUP($B9&amp;$C9,'[1]FC4 Prod'!$A$6:$BP$36,[2]Consolidated!BB$1)</f>
        <v>441.56407297830373</v>
      </c>
      <c r="BC9" s="47">
        <f>VLOOKUP($B9&amp;$C9,'[1]FC4 Prod'!$A$6:$BP$36,[2]Consolidated!BC$1)</f>
        <v>5504.0414201183439</v>
      </c>
      <c r="BD9" s="49">
        <f>VLOOKUP($B9&amp;$C9,'[1]FC4 Prod'!$A$6:$BP$36,[2]Consolidated!BD$1)</f>
        <v>50102.012790927023</v>
      </c>
      <c r="BE9" s="47">
        <f>VLOOKUP($B9&amp;$C9,'[1]FC4 Prod'!$A$6:$BP$36,[2]Consolidated!BE$1)</f>
        <v>16010.744437869824</v>
      </c>
      <c r="BF9" s="47">
        <f>VLOOKUP($B9&amp;$C9,'[1]FC4 Prod'!$A$6:$BP$36,[2]Consolidated!BF$1)</f>
        <v>6921.1508481262335</v>
      </c>
      <c r="BG9" s="50">
        <f>VLOOKUP($B9&amp;$C9,'[1]FC4 Prod'!$A$6:$BP$36,[2]Consolidated!BG$1)</f>
        <v>407.00493096646949</v>
      </c>
      <c r="BH9" s="50">
        <f>VLOOKUP($B9&amp;$C9,'[1]FC4 Prod'!$A$6:$BP$36,[2]Consolidated!BH$1)</f>
        <v>411.97529408284026</v>
      </c>
      <c r="BI9" s="50">
        <f>VLOOKUP($B9&amp;$C9,'[1]FC4 Prod'!$A$6:$BP$36,[2]Consolidated!BI$1)</f>
        <v>47113.546122485204</v>
      </c>
      <c r="BJ9" s="37" t="e">
        <f>VLOOKUP($B9&amp;$C9,'[1]FC4 Prod'!$A$6:$BP$36,[2]Consolidated!BJ$1)</f>
        <v>#REF!</v>
      </c>
      <c r="BK9" s="37" t="e">
        <f>VLOOKUP($B9&amp;$C9,'[1]FC4 Prod'!$A$6:$BP$36,[2]Consolidated!BK$1)</f>
        <v>#REF!</v>
      </c>
      <c r="BL9" s="37" t="e">
        <f>VLOOKUP($B9&amp;$C9,'[1]FC4 Prod'!$A$6:$BP$36,[2]Consolidated!BL$1)</f>
        <v>#REF!</v>
      </c>
      <c r="BM9" s="37" t="e">
        <f>VLOOKUP($B9&amp;$C9,'[1]FC4 Prod'!$A$6:$BP$36,[2]Consolidated!BM$1)</f>
        <v>#REF!</v>
      </c>
      <c r="BN9" s="37" t="e">
        <f>VLOOKUP($B9&amp;$C9,'[1]FC4 Prod'!$A$6:$BP$36,[2]Consolidated!BN$1)</f>
        <v>#REF!</v>
      </c>
      <c r="BO9" s="37" t="e">
        <f>VLOOKUP($B9&amp;$C9,'[1]FC4 Prod'!$A$6:$BP$36,[2]Consolidated!BO$1)</f>
        <v>#REF!</v>
      </c>
      <c r="BP9" s="37" t="str">
        <f>VLOOKUP($B9&amp;$C9,'[1]FC4 Prod'!$A$6:$BP$36,[2]Consolidated!BP$1)</f>
        <v>NIL</v>
      </c>
      <c r="BQ9" s="51" t="e">
        <f>VLOOKUP($B9&amp;$C9,'[1]FC4 Prod'!$A$6:$BP$36,[2]Consolidated!BQ$1)</f>
        <v>#REF!</v>
      </c>
      <c r="BR9" s="51">
        <f>VLOOKUP($B9&amp;$C9,'[1]FC4 Prod'!$A$6:$BQ$36,[2]Consolidated!BR$1)</f>
        <v>41644</v>
      </c>
      <c r="BS9" s="52">
        <f t="shared" ref="BS9" si="8">BE9+BF9*110%+BG9+BA9</f>
        <v>40977.669147929002</v>
      </c>
      <c r="BT9" s="32">
        <f t="shared" si="6"/>
        <v>666.33085207099793</v>
      </c>
      <c r="BU9" s="37">
        <f t="shared" si="7"/>
        <v>33782.974199999589</v>
      </c>
      <c r="BV9" s="53" t="s">
        <v>130</v>
      </c>
      <c r="BW9" s="54" cm="1">
        <f t="array" ref="BW9">IFERROR(VLOOKUP($A9,TRANSPOSE('[1]Fur 4 PLC'!$AR$1:$BV$39),8,0),0)</f>
        <v>0</v>
      </c>
      <c r="BX9" s="54" cm="1">
        <f t="array" ref="BX9">IFERROR(VLOOKUP($A9,TRANSPOSE('[1]Fur 4 PLC'!$AR$1:$BV$39),30,0),0)</f>
        <v>0</v>
      </c>
      <c r="BY9" s="54" cm="1">
        <f t="array" ref="BY9">IFERROR(VLOOKUP($A9,TRANSPOSE('[1]Fur 4 PLC'!$AR$1:$BV$39),14,0),0)</f>
        <v>0</v>
      </c>
      <c r="BZ9" s="54" cm="1">
        <f t="array" ref="BZ9">IFERROR(VLOOKUP($A9,TRANSPOSE('[1]Fur 4 PLC'!$AR$1:$BV$39),16,0),0)</f>
        <v>0</v>
      </c>
      <c r="CA9" s="54" cm="1">
        <f t="array" ref="CA9">IFERROR(VLOOKUP($A9,TRANSPOSE('[1]Fur 4 PLC'!$AR$1:$BV$39),9,0),0)</f>
        <v>0</v>
      </c>
      <c r="CB9" s="54" cm="1">
        <f t="array" ref="CB9">IFERROR(VLOOKUP($A9,TRANSPOSE('[1]Fur 4 PLC'!$AR$1:$BV$39),17,0),0)</f>
        <v>0</v>
      </c>
      <c r="CC9" s="54" cm="1">
        <f t="array" ref="CC9">IFERROR(VLOOKUP($A9,TRANSPOSE('[1]Fur 4 PLC'!$AR$1:$BV$39),20,0),0)</f>
        <v>1428.8165680473376</v>
      </c>
      <c r="CD9" s="54" cm="1">
        <f t="array" ref="CD9">IFERROR(VLOOKUP($A9,TRANSPOSE('[1]Fur 4 PLC'!$AR$1:$BV$39),28,0),0)</f>
        <v>0</v>
      </c>
      <c r="CE9" s="54" cm="1">
        <f t="array" ref="CE9">IFERROR(VLOOKUP($A9,TRANSPOSE('[1]Fur 4 PLC'!$AR$1:$BV$39),13,0),0)</f>
        <v>92.919132149901401</v>
      </c>
      <c r="CF9" s="54" cm="1">
        <f t="array" ref="CF9">IFERROR(VLOOKUP($A9,TRANSPOSE('[1]Fur 4 PLC'!$AR$1:$BV$39),37,0),0)</f>
        <v>10.670611439842212</v>
      </c>
      <c r="CG9" s="54" cm="1">
        <f t="array" ref="CG9">IFERROR(VLOOKUP($A9,TRANSPOSE('[1]Fur 4 PLC'!$AR$1:$BV$39),6,0),0)</f>
        <v>0</v>
      </c>
      <c r="CH9" s="54" cm="1">
        <f t="array" ref="CH9">IFERROR(VLOOKUP($A9,TRANSPOSE('[1]Fur 4 PLC'!$AR$1:$BV$39),21,0),0)</f>
        <v>0</v>
      </c>
      <c r="CI9" s="54" cm="1">
        <f t="array" ref="CI9">IFERROR(VLOOKUP($A9,TRANSPOSE('[1]Fur 4 PLC'!$AR$1:$BV$39),12,0),0)</f>
        <v>0</v>
      </c>
      <c r="CJ9" s="54" cm="1">
        <f t="array" ref="CJ9">IFERROR(VLOOKUP($A9,TRANSPOSE('[1]Fur 4 PLC'!$AR$1:$BV$39),25,0),0)</f>
        <v>121.08481262327419</v>
      </c>
      <c r="CK9" s="54" cm="1">
        <f t="array" ref="CK9">IFERROR(VLOOKUP($A9,TRANSPOSE('[1]Fur 4 PLC'!$AR$1:$BV$39),26,0),0)</f>
        <v>343.23471400394482</v>
      </c>
      <c r="CL9" s="54" cm="1">
        <f t="array" ref="CL9">IFERROR(VLOOKUP($A9,TRANSPOSE('[1]Fur 4 PLC'!$AR$1:$BV$39),27,0),0)</f>
        <v>0</v>
      </c>
      <c r="CM9" s="54" cm="1">
        <f t="array" ref="CM9">IFERROR(VLOOKUP($A9,TRANSPOSE('[1]Fur 4 PLC'!$AR$1:$BV$39),22,0),0)</f>
        <v>0</v>
      </c>
      <c r="CN9" s="54"/>
      <c r="CO9" s="54" cm="1">
        <f t="array" ref="CO9">IFERROR(VLOOKUP($A9,TRANSPOSE('[1]Fur 4 PLC'!$AR$1:$BV$39),29,0),0)</f>
        <v>123.55029585798819</v>
      </c>
      <c r="CP9" s="54" cm="1">
        <f t="array" ref="CP9">IFERROR(VLOOKUP($A9,TRANSPOSE('[1]Fur 4 PLC'!$AR$1:$BV$39),10,0),0)</f>
        <v>0</v>
      </c>
      <c r="CQ9" s="54" cm="1">
        <f t="array" ref="CQ9">IFERROR(VLOOKUP($A9,TRANSPOSE('[1]Fur 4 PLC'!$AR$1:$BV$39),7,0),0)</f>
        <v>157.8500986193294</v>
      </c>
      <c r="CR9" s="54" cm="1">
        <f t="array" ref="CR9">IFERROR(VLOOKUP($A9,TRANSPOSE('[1]Fur 4 PLC'!$AR$1:$BV$39),36,0),0)</f>
        <v>167.14003944773179</v>
      </c>
      <c r="CS9" s="54" cm="1">
        <f t="array" ref="CS9">IFERROR(VLOOKUP($A9,TRANSPOSE('[1]Fur 4 PLC'!$AR$1:$BV$39),11,0),0)</f>
        <v>0</v>
      </c>
      <c r="CT9" s="54" cm="1">
        <f t="array" ref="CT9">IFERROR(VLOOKUP($A9,TRANSPOSE('[1]Fur 4 PLC'!$AR$1:$BV$39),19,0),0)</f>
        <v>0</v>
      </c>
      <c r="CU9" s="54" cm="1">
        <f t="array" ref="CU9">IFERROR(VLOOKUP($A9,TRANSPOSE('[1]Fur 4 PLC'!$AR$1:$BV$39),18,0),0)</f>
        <v>298.16568047337284</v>
      </c>
      <c r="CV9" s="54" cm="1">
        <f t="array" ref="CV9">IFERROR(VLOOKUP($A9,TRANSPOSE('[1]Fur 4 PLC'!$AR$1:$BV$38),15,0),0)</f>
        <v>0</v>
      </c>
      <c r="CW9" s="54" cm="1">
        <f t="array" ref="CW9">IFERROR(VLOOKUP($A9,TRANSPOSE('[1]Fur 4 PLC'!$CK$1:$DO$39),8,0),0)</f>
        <v>0</v>
      </c>
      <c r="CX9" s="54" cm="1">
        <f t="array" ref="CX9">IFERROR(VLOOKUP($A9,TRANSPOSE('[1]Fur 4 PLC'!$CK$1:$DO$39),30,0),0)</f>
        <v>0</v>
      </c>
      <c r="CY9" s="54" cm="1">
        <f t="array" ref="CY9">IFERROR(VLOOKUP($A9,TRANSPOSE('[1]Fur 4 PLC'!$CK$1:$DO$39),14,0),0)</f>
        <v>0</v>
      </c>
      <c r="CZ9" s="54" cm="1">
        <f t="array" ref="CZ9">IFERROR(VLOOKUP($A9,TRANSPOSE('[1]Fur 4 PLC'!$CK$1:$DO$39),16,0),0)</f>
        <v>0</v>
      </c>
      <c r="DA9" s="54" cm="1">
        <f t="array" ref="DA9">IFERROR(VLOOKUP($A9,TRANSPOSE('[1]Fur 4 PLC'!$CK$1:$DO$39),9,0),0)</f>
        <v>0</v>
      </c>
      <c r="DB9" s="55" cm="1">
        <f t="array" ref="DB9">IFERROR(VLOOKUP($A9,TRANSPOSE('[1]Fur 4 PLC'!$CK$1:$DO$39),17,0),0)</f>
        <v>0</v>
      </c>
      <c r="DC9" s="55" cm="1">
        <f t="array" ref="DC9">IFERROR(VLOOKUP($A9,TRANSPOSE('[1]Fur 4 PLC'!$CK$1:$DO$39),20,0),0)</f>
        <v>770.64893617021278</v>
      </c>
      <c r="DD9" s="54" cm="1">
        <f t="array" ref="DD9">IFERROR(VLOOKUP($A9,TRANSPOSE('[1]Fur 4 PLC'!$CK$1:$DO$39),28,0),0)</f>
        <v>0</v>
      </c>
      <c r="DE9" s="54" cm="1">
        <f t="array" ref="DE9">IFERROR(VLOOKUP($A9,TRANSPOSE('[1]Fur 4 PLC'!$CK$1:$DO$39),13,0),0)</f>
        <v>50.11702127659575</v>
      </c>
      <c r="DF9" s="54" cm="1">
        <f t="array" ref="DF9">IFERROR(VLOOKUP($A9,TRANSPOSE('[1]Fur 4 PLC'!$CK$1:$DO$39),37,0),0)</f>
        <v>5.755319148936171</v>
      </c>
      <c r="DG9" s="54" cm="1">
        <f t="array" ref="DG9">IFERROR(VLOOKUP($A9,TRANSPOSE('[1]Fur 4 PLC'!$CK$1:$DO$39),6,0),0)</f>
        <v>0</v>
      </c>
      <c r="DH9" s="54" cm="1">
        <f t="array" ref="DH9">IFERROR(VLOOKUP($A9,TRANSPOSE('[1]Fur 4 PLC'!$CK$1:$DO$39),21,0),0)</f>
        <v>0</v>
      </c>
      <c r="DI9" s="54" cm="1">
        <f t="array" ref="DI9">IFERROR(VLOOKUP($A9,TRANSPOSE('[1]Fur 4 PLC'!$CK$1:$DO$39),12,0),0)</f>
        <v>0</v>
      </c>
      <c r="DJ9" s="54" cm="1">
        <f t="array" ref="DJ9">IFERROR(VLOOKUP($A9,TRANSPOSE('[1]Fur 4 PLC'!$CK$1:$DO$39),25,0),0)</f>
        <v>65.308510638297875</v>
      </c>
      <c r="DK9" s="54" cm="1">
        <f t="array" ref="DK9">IFERROR(VLOOKUP($A9,TRANSPOSE('[1]Fur 4 PLC'!$CK$1:$DO$39),26,0),0)</f>
        <v>185.12765957446808</v>
      </c>
      <c r="DL9" s="54" cm="1">
        <f t="array" ref="DL9">IFERROR(VLOOKUP($A9,TRANSPOSE('[1]Fur 4 PLC'!$CK$1:$DO$39),27,0),0)</f>
        <v>0</v>
      </c>
      <c r="DM9" s="54" cm="1">
        <f t="array" ref="DM9">IFERROR(VLOOKUP($A9,TRANSPOSE('[1]Fur 4 PLC'!$CK$1:$DO$39),22,0),0)</f>
        <v>0</v>
      </c>
      <c r="DN9" s="54" cm="1">
        <f t="array" ref="DN9">IFERROR(VLOOKUP($A9,TRANSPOSE('[1]Fur 4 PLC'!$CK$1:$DO$39),19,0),0)</f>
        <v>0</v>
      </c>
      <c r="DO9" s="54" cm="1">
        <f t="array" ref="DO9">IFERROR(VLOOKUP($A9,TRANSPOSE('[1]Fur 4 PLC'!$CK$1:$DO$39),29,0),0)</f>
        <v>66.638297872340416</v>
      </c>
      <c r="DP9" s="54" cm="1">
        <f t="array" ref="DP9">IFERROR(VLOOKUP($A9,TRANSPOSE('[1]Fur 4 PLC'!$CK$1:$DO$39),10,0),0)</f>
        <v>0</v>
      </c>
      <c r="DQ9" s="54" cm="1">
        <f t="array" ref="DQ9">IFERROR(VLOOKUP($A9,TRANSPOSE('[1]Fur 4 PLC'!$CK$1:$DO$39),7,0),0)</f>
        <v>85.138297872340431</v>
      </c>
      <c r="DR9" s="54" cm="1">
        <f t="array" ref="DR9">IFERROR(VLOOKUP($A9,TRANSPOSE('[1]Fur 4 PLC'!$CK$1:$DO$39),36,0),0)</f>
        <v>90.148936170212778</v>
      </c>
      <c r="DS9" s="54" cm="1">
        <f t="array" ref="DS9">IFERROR(VLOOKUP($A9,TRANSPOSE('[1]Fur 4 PLC'!$CK$1:$DO$39),11,0),0)</f>
        <v>0</v>
      </c>
      <c r="DT9" s="54" cm="1">
        <f t="array" ref="DT9">IFERROR(VLOOKUP($A9,TRANSPOSE('[1]Fur 4 PLC'!$CK$1:$DO$39),19,0),0)</f>
        <v>0</v>
      </c>
      <c r="DU9" s="54" cm="1">
        <f t="array" ref="DU9">IFERROR(VLOOKUP($A9,TRANSPOSE('[1]Fur 4 PLC'!$CK$1:$DO$39),18,0),0)</f>
        <v>160.81914893617022</v>
      </c>
      <c r="DV9" s="54" cm="1">
        <f t="array" ref="DV9">IFERROR(VLOOKUP($A9,TRANSPOSE('[1]Fur 4 PLC'!$CK$1:$DO$39),15,0),0)</f>
        <v>0</v>
      </c>
      <c r="DW9" t="str">
        <f t="shared" si="5"/>
        <v>Dec-25</v>
      </c>
    </row>
    <row r="10" spans="1:127" x14ac:dyDescent="0.3">
      <c r="A10" s="28" t="str">
        <f t="shared" si="1"/>
        <v>F145994</v>
      </c>
      <c r="B10" s="29" t="s">
        <v>26</v>
      </c>
      <c r="C10" s="30">
        <f>C6+1</f>
        <v>45994</v>
      </c>
      <c r="D10" s="29" t="str">
        <f>VLOOKUP($B10&amp;$C10,'[1]FC1 Prod'!$A$6:$BP$36,[2]Consolidated!D$1)</f>
        <v>Raju Singh</v>
      </c>
      <c r="E10" s="29">
        <f>VLOOKUP($B10&amp;$C10,'[1]FC1 Prod'!$A$6:$BP$36,[2]Consolidated!E$1)</f>
        <v>23.94</v>
      </c>
      <c r="F10" s="31">
        <f>VLOOKUP($B10&amp;$C10,'[1]FC1 Prod'!$A$6:$BP$36,[2]Consolidated!F$1)</f>
        <v>0</v>
      </c>
      <c r="G10" s="32">
        <f>VLOOKUP($B10&amp;$C10,'[1]FC1 Prod'!$A$6:$BP$36,[2]Consolidated!G$1)</f>
        <v>23.94</v>
      </c>
      <c r="H10" s="32">
        <f>VLOOKUP($B10&amp;$C10,'[1]FC1 Prod'!$A$6:$BP$36,[2]Consolidated!H$1)</f>
        <v>17.380000000000003</v>
      </c>
      <c r="I10" s="32">
        <f>VLOOKUP($B10&amp;$C10,'[1]FC1 Prod'!$A$6:$BP$36,[2]Consolidated!I$1)</f>
        <v>5.62</v>
      </c>
      <c r="J10" s="32">
        <f>VLOOKUP($B10&amp;$C10,'[1]FC1 Prod'!$A$6:$BP$36,[2]Consolidated!J$1)</f>
        <v>39.42</v>
      </c>
      <c r="K10" s="32">
        <f>VLOOKUP($B10&amp;$C10,'[1]FC1 Prod'!$A$6:$BP$36,[2]Consolidated!K$1)</f>
        <v>1.28</v>
      </c>
      <c r="L10" s="32">
        <f>VLOOKUP($B10&amp;$C10,'[1]FC1 Prod'!$A$6:$BP$36,[2]Consolidated!L$1)</f>
        <v>28.32</v>
      </c>
      <c r="M10" s="32">
        <f>VLOOKUP($B10&amp;$C10,'[1]FC1 Prod'!$A$6:$BP$36,[2]Consolidated!M$1)</f>
        <v>5.12</v>
      </c>
      <c r="N10" s="32">
        <f>VLOOKUP($B10&amp;$C10,'[1]FC1 Prod'!$A$6:$BP$36,[2]Consolidated!N$1)</f>
        <v>16.28</v>
      </c>
      <c r="O10" s="32">
        <f>VLOOKUP($B10&amp;$C10,'[1]FC1 Prod'!$A$6:$BP$36,[2]Consolidated!O$1)</f>
        <v>0.85</v>
      </c>
      <c r="P10" s="33">
        <f>VLOOKUP($B10&amp;$C10,'[1]FC1 Prod'!$A$6:$BP$36,[2]Consolidated!P$1)</f>
        <v>8</v>
      </c>
      <c r="Q10" s="29">
        <f>VLOOKUP($B10&amp;$C10,'[1]FC1 Prod'!$A$6:$BP$36,[2]Consolidated!Q$1)</f>
        <v>43.355000000000004</v>
      </c>
      <c r="R10" s="29">
        <f>VLOOKUP($B10&amp;$C10,'[1]FC1 Prod'!$A$6:$BP$36,[2]Consolidated!R$1)</f>
        <v>14.483999999999998</v>
      </c>
      <c r="S10" s="34">
        <f>VLOOKUP($B10&amp;$C10,'[1]FC1 Prod'!$A$6:$BP$36,[2]Consolidated!S$1)</f>
        <v>27</v>
      </c>
      <c r="T10" s="34">
        <f>VLOOKUP($B10&amp;$C10,'[1]FC1 Prod'!$A$6:$BP$36,[2]Consolidated!T$1)</f>
        <v>13</v>
      </c>
      <c r="U10" s="34">
        <f>VLOOKUP($B10&amp;$C10,'[1]FC1 Prod'!$A$6:$BP$36,[2]Consolidated!U$1)</f>
        <v>16</v>
      </c>
      <c r="V10" s="34">
        <f>VLOOKUP($B10&amp;$C10,'[1]FC1 Prod'!$A$6:$BP$36,[2]Consolidated!V$1)</f>
        <v>56</v>
      </c>
      <c r="W10" s="35">
        <f>VLOOKUP($B10&amp;$C10,'[1]FC1 Prod'!$A$6:$BP$36,[2]Consolidated!W$1)</f>
        <v>1.8109857978279031</v>
      </c>
      <c r="X10" s="35">
        <f>VLOOKUP($B10&amp;$C10,'[1]FC1 Prod'!$A$6:$BP$36,[2]Consolidated!X$1)</f>
        <v>24.685000000000002</v>
      </c>
      <c r="Y10" s="36">
        <f>VLOOKUP($B10&amp;$C10,'[1]FC1 Prod'!$A$6:$BP$36,[2]Consolidated!Y$1)</f>
        <v>0.96981972858010934</v>
      </c>
      <c r="Z10" s="37" t="str">
        <f>VLOOKUP($B10&amp;$C10,'[1]FC1 Prod'!$A$6:$BP$36,[2]Consolidated!Z$1)</f>
        <v>40/22</v>
      </c>
      <c r="AA10" s="31">
        <f>VLOOKUP($B10&amp;$C10,'[1]FC1 Prod'!$A$6:$BP$36,[2]Consolidated!AA$1)</f>
        <v>40.172499999999999</v>
      </c>
      <c r="AB10" s="31">
        <f>VLOOKUP($B10&amp;$C10,'[1]FC1 Prod'!$A$6:$BP$36,[2]Consolidated!AB$1)</f>
        <v>21.307499999999997</v>
      </c>
      <c r="AC10" s="31">
        <f>VLOOKUP($B10&amp;$C10,'[1]FC1 Prod'!$A$6:$BP$36,[2]Consolidated!AC$1)</f>
        <v>0.44624999999999998</v>
      </c>
      <c r="AD10" s="38">
        <f>VLOOKUP($B10&amp;$C10,'[1]FC1 Prod'!$A$6:$BP$36,[2]Consolidated!AD$1)</f>
        <v>500.10125338345864</v>
      </c>
      <c r="AE10" s="38">
        <f>VLOOKUP($B10&amp;$C10,'[1]FC1 Prod'!$A$6:$BP$36,[2]Consolidated!AE$1)</f>
        <v>472.10958286131995</v>
      </c>
      <c r="AF10" s="39">
        <f>VLOOKUP($B10&amp;$C10,'[1]FC1 Prod'!$A$6:$BP$36,[2]Consolidated!AF$1)</f>
        <v>0.80328732888012289</v>
      </c>
      <c r="AG10" s="39">
        <f>VLOOKUP($B10&amp;$C10,'[1]FC1 Prod'!$A$6:$BP$36,[2]Consolidated!AG$1)</f>
        <v>0.8509147337473234</v>
      </c>
      <c r="AH10" s="34">
        <f>VLOOKUP($B10&amp;$C10,'[1]FC1 Prod'!$A$6:$BP$36,[2]Consolidated!AH$1)</f>
        <v>373.96825396825392</v>
      </c>
      <c r="AI10" s="33">
        <f>VLOOKUP($B10&amp;$C10,'[1]FC1 Prod'!$A$6:$BP$36,[2]Consolidated!AI$1)</f>
        <v>458.39799498746862</v>
      </c>
      <c r="AJ10" s="39">
        <f>VLOOKUP($B10&amp;$C10,'[1]FC1 Prod'!$A$6:$BP$36,[2]Consolidated!AJ$1)</f>
        <v>1.5520576938711139</v>
      </c>
      <c r="AK10" s="39">
        <f>VLOOKUP($B10&amp;$C10,'[1]FC1 Prod'!$A$6:$BP$36,[2]Consolidated!AK$1)</f>
        <v>0.58283384728399934</v>
      </c>
      <c r="AL10" s="40" t="str">
        <f>VLOOKUP($B10&amp;$C10,'[1]FC1 Prod'!$A$6:$BP$36,[2]Consolidated!AL$1)</f>
        <v>10/70</v>
      </c>
      <c r="AM10" s="41">
        <f>VLOOKUP($B10&amp;$C10,'[1]FC1 Prod'!$A$6:$BP$36,[2]Consolidated!AM$1)</f>
        <v>0</v>
      </c>
      <c r="AN10" s="42">
        <f>VLOOKUP($B10&amp;$C10,'[1]FC1 Prod'!$A$6:$BP$36,[2]Consolidated!AN$1)</f>
        <v>104.5</v>
      </c>
      <c r="AO10" s="43">
        <f>VLOOKUP($B10&amp;$C10,'[1]FC1 Prod'!$A$6:$BP$36,[2]Consolidated!AO$1)</f>
        <v>3.9980000000000002</v>
      </c>
      <c r="AP10" s="44">
        <f>VLOOKUP($B10&amp;$C10,'[1]FC1 Prod'!$A$6:$BP$36,[2]Consolidated!AP$1)</f>
        <v>4.5320802005012535</v>
      </c>
      <c r="AQ10" s="44">
        <f>VLOOKUP($B10&amp;$C10,'[1]FC1 Prod'!$A$6:$BP$36,[2]Consolidated!AQ$1)</f>
        <v>22.556336267786932</v>
      </c>
      <c r="AR10" s="45">
        <f>VLOOKUP($B10&amp;$C10,'[1]FC1 Prod'!$A$6:$BP$36,[2]Consolidated!AR$1)</f>
        <v>0.98958333333333326</v>
      </c>
      <c r="AS10" s="46">
        <f>VLOOKUP($B10&amp;$C10,'[1]FC1 Prod'!$A$6:$BP$36,[2]Consolidated!AS$1)</f>
        <v>2.2533333333333334</v>
      </c>
      <c r="AT10" s="29">
        <f>VLOOKUP($B10&amp;$C10,'[1]FC1 Prod'!$A$6:$BP$36,[2]Consolidated!AT$1)</f>
        <v>0.80557713870668868</v>
      </c>
      <c r="AU10" s="34">
        <f>VLOOKUP($B10&amp;$C10,'[1]FC1 Prod'!$A$6:$BP$36,[2]Consolidated!AU$1)</f>
        <v>317.5007610350076</v>
      </c>
      <c r="AV10" s="34">
        <f>VLOOKUP($B10&amp;$C10,'[1]FC1 Prod'!$A$6:$BP$36,[2]Consolidated!AV$1)</f>
        <v>283.33333333333331</v>
      </c>
      <c r="AW10" s="47">
        <f>VLOOKUP($B10&amp;$C10,'[1]FC1 Prod'!$A$6:$BP$36,[2]Consolidated!AW$1)</f>
        <v>18592.343358395989</v>
      </c>
      <c r="AX10" s="47">
        <f>VLOOKUP($B10&amp;$C10,'[1]FC1 Prod'!$A$6:$BP$36,[2]Consolidated!AX$1)</f>
        <v>11809.523809523809</v>
      </c>
      <c r="AY10" s="48">
        <f>VLOOKUP($B10&amp;$C10,'[1]FC1 Prod'!$A$6:$BP$36,[2]Consolidated!AY$1)</f>
        <v>2590.6015037593984</v>
      </c>
      <c r="AZ10" s="47">
        <f>VLOOKUP($B10&amp;$C10,'[1]FC1 Prod'!$A$6:$BP$36,[2]Consolidated!AZ$1)</f>
        <v>2048.093149540518</v>
      </c>
      <c r="BA10" s="47">
        <f>VLOOKUP($B10&amp;$C10,'[1]FC1 Prod'!$A$6:$BP$36,[2]Consolidated!BA$1)</f>
        <v>26512.669172932332</v>
      </c>
      <c r="BB10" s="47">
        <f>VLOOKUP($B10&amp;$C10,'[1]FC1 Prod'!$A$6:$BP$36,[2]Consolidated!BB$1)</f>
        <v>615.53230994152057</v>
      </c>
      <c r="BC10" s="47">
        <f>VLOOKUP($B10&amp;$C10,'[1]FC1 Prod'!$A$6:$BP$36,[2]Consolidated!BC$1)</f>
        <v>8610.9523809523816</v>
      </c>
      <c r="BD10" s="49">
        <f>VLOOKUP($B10&amp;$C10,'[1]FC1 Prod'!$A$6:$BP$36,[2]Consolidated!BD$1)</f>
        <v>70779.715685045958</v>
      </c>
      <c r="BE10" s="47">
        <f>VLOOKUP($B10&amp;$C10,'[1]FC1 Prod'!$A$6:$BP$36,[2]Consolidated!BE$1)</f>
        <v>17881.641812865495</v>
      </c>
      <c r="BF10" s="47">
        <f>VLOOKUP($B10&amp;$C10,'[1]FC1 Prod'!$A$6:$BP$36,[2]Consolidated!BF$1)</f>
        <v>14002.740183792814</v>
      </c>
      <c r="BG10" s="50">
        <f>VLOOKUP($B10&amp;$C10,'[1]FC1 Prod'!$A$6:$BP$36,[2]Consolidated!BG$1)</f>
        <v>2012.2431077694234</v>
      </c>
      <c r="BH10" s="50">
        <f>VLOOKUP($B10&amp;$C10,'[1]FC1 Prod'!$A$6:$BP$36,[2]Consolidated!BH$1)</f>
        <v>624.57387426900573</v>
      </c>
      <c r="BI10" s="50">
        <f>VLOOKUP($B10&amp;$C10,'[1]FC1 Prod'!$A$6:$BP$36,[2]Consolidated!BI$1)</f>
        <v>71692.913682121973</v>
      </c>
      <c r="BJ10" s="37">
        <f>VLOOKUP($B10&amp;$C10,'[1]FC1 Prod'!$A$6:$BP$36,[2]Consolidated!BJ$1)</f>
        <v>15</v>
      </c>
      <c r="BK10" s="37" t="e">
        <f>VLOOKUP($B10&amp;$C10,'[1]FC1 Prod'!$A$6:$BP$36,[2]Consolidated!BK$1)</f>
        <v>#REF!</v>
      </c>
      <c r="BL10" s="37" t="e">
        <f>VLOOKUP($B10&amp;$C10,'[1]FC1 Prod'!$A$6:$BP$36,[2]Consolidated!BL$1)</f>
        <v>#REF!</v>
      </c>
      <c r="BM10" s="37" t="e">
        <f>VLOOKUP($B10&amp;$C10,'[1]FC1 Prod'!$A$6:$BP$36,[2]Consolidated!BM$1)</f>
        <v>#REF!</v>
      </c>
      <c r="BN10" s="37" t="e">
        <f>VLOOKUP($B10&amp;$C10,'[1]FC1 Prod'!$A$6:$BP$36,[2]Consolidated!BN$1)</f>
        <v>#REF!</v>
      </c>
      <c r="BO10" s="37">
        <f>VLOOKUP($B10&amp;$C10,'[1]FC1 Prod'!$A$6:$BP$36,[2]Consolidated!BO$1)</f>
        <v>15</v>
      </c>
      <c r="BP10" s="37" t="str">
        <f>VLOOKUP($B10&amp;$C10,'[1]FC1 Prod'!$A$6:$BP$36,[2]Consolidated!BP$1)</f>
        <v>E2 Hose pipe leakage.</v>
      </c>
      <c r="BQ10" s="51" t="e">
        <f>VLOOKUP($B10&amp;$C10,'[1]FC1 Prod'!$A$6:$BP$36,[2]Consolidated!BQ$1)</f>
        <v>#REF!</v>
      </c>
      <c r="BR10" s="51">
        <f>VLOOKUP($B10&amp;$C10,'[1]FC1 Prod'!$A$6:$BQ$36,[2]Consolidated!BR$1)</f>
        <v>60759</v>
      </c>
      <c r="BS10" s="52">
        <f t="shared" ref="BS10:BS12" si="9">BE10+BF10+BG10+BA10</f>
        <v>60409.294277360066</v>
      </c>
      <c r="BT10" s="32">
        <f>BR10-BS10</f>
        <v>349.70572263993381</v>
      </c>
      <c r="BU10" s="37">
        <f>E10*BT10</f>
        <v>8371.9550000000163</v>
      </c>
      <c r="BV10" s="53" t="s">
        <v>130</v>
      </c>
      <c r="BW10" s="54" cm="1">
        <f t="array" ref="BW10">IFERROR(VLOOKUP($A10,TRANSPOSE('[1]Fur 1 PLC'!$AR$1:$BV$38),8,0),0)</f>
        <v>0</v>
      </c>
      <c r="BX10" s="54" cm="1">
        <f t="array" ref="BX10">IFERROR(VLOOKUP($A10,TRANSPOSE('[1]Fur 1 PLC'!$AR$1:$BV$38),30,0),0)</f>
        <v>117.62740183792813</v>
      </c>
      <c r="BY10" s="54" cm="1">
        <f t="array" ref="BY10">IFERROR(VLOOKUP($A10,TRANSPOSE('[1]Fur 1 PLC'!$AR$1:$BV$38),14,0),0)</f>
        <v>0</v>
      </c>
      <c r="BZ10" s="54" cm="1">
        <f t="array" ref="BZ10">IFERROR(VLOOKUP($A10,TRANSPOSE('[1]Fur 1 PLC'!$AR$1:$BV$38),16,0),0)</f>
        <v>0</v>
      </c>
      <c r="CA10" s="54" cm="1">
        <f t="array" ref="CA10">IFERROR(VLOOKUP($A10,TRANSPOSE('[1]Fur 1 PLC'!$AR$1:$BV$38),9,0),0)</f>
        <v>282.03842940685041</v>
      </c>
      <c r="CB10" s="54" cm="1">
        <f t="array" ref="CB10">IFERROR(VLOOKUP($A10,TRANSPOSE('[1]Fur 1 PLC'!$AR$1:$BV$38),17,0),0)</f>
        <v>0</v>
      </c>
      <c r="CC10" s="54" cm="1">
        <f t="array" ref="CC10">IFERROR(VLOOKUP($A10,TRANSPOSE('[1]Fur 1 PLC'!$AR$1:$BV$38),20,0),0)</f>
        <v>842.73182957393476</v>
      </c>
      <c r="CD10" s="54" cm="1">
        <f t="array" ref="CD10">IFERROR(VLOOKUP($A10,TRANSPOSE('[1]Fur 1 PLC'!$AR$1:$BV$38),28,0),0)</f>
        <v>0</v>
      </c>
      <c r="CE10" s="54" cm="1">
        <f t="array" ref="CE10">IFERROR(VLOOKUP($A10,TRANSPOSE('[1]Fur 1 PLC'!$AR$1:$BV$38),13,0),0)</f>
        <v>0</v>
      </c>
      <c r="CF10" s="54" cm="1">
        <f t="array" ref="CF10">IFERROR(VLOOKUP($A10,TRANSPOSE('[1]Fur 1 PLC'!$AR$1:$BV$38),37,0),0)</f>
        <v>574.14369256474515</v>
      </c>
      <c r="CG10" s="54" cm="1">
        <f t="array" ref="CG10">IFERROR(VLOOKUP($A10,TRANSPOSE('[1]Fur 1 PLC'!$AR$1:$BV$38),6,0),0)</f>
        <v>0</v>
      </c>
      <c r="CH10" s="54" cm="1">
        <f t="array" ref="CH10">IFERROR(VLOOKUP($A10,TRANSPOSE('[1]Fur 1 PLC'!$AR$1:$BV$38),21,0),0)</f>
        <v>0</v>
      </c>
      <c r="CI10" s="54" cm="1">
        <f t="array" ref="CI10">IFERROR(VLOOKUP($A10,TRANSPOSE('[1]Fur 1 PLC'!$AR$1:$BV$38),12,0),0)</f>
        <v>0</v>
      </c>
      <c r="CJ10" s="54" cm="1">
        <f t="array" ref="CJ10">IFERROR(VLOOKUP($A10,TRANSPOSE('[1]Fur 1 PLC'!$AR$1:$BV$38),25,0),0)</f>
        <v>0</v>
      </c>
      <c r="CK10" s="54" cm="1">
        <f t="array" ref="CK10">IFERROR(VLOOKUP($A10,TRANSPOSE('[1]Fur 1 PLC'!$AR$1:$BV$38),26,0),0)</f>
        <v>0</v>
      </c>
      <c r="CL10" s="54" cm="1">
        <f t="array" ref="CL10">IFERROR(VLOOKUP($A10,TRANSPOSE('[1]Fur 1 PLC'!$AR$1:$BV$38),27,0),0)</f>
        <v>487.38512949039261</v>
      </c>
      <c r="CM10" s="54" cm="1">
        <f t="array" ref="CM10">IFERROR(VLOOKUP($A10,TRANSPOSE('[1]Fur 1 PLC'!$AR$1:$BV$38),22,0),0)</f>
        <v>0</v>
      </c>
      <c r="CN10" s="54"/>
      <c r="CO10" s="54" cm="1">
        <f t="array" ref="CO10">IFERROR(VLOOKUP($A10,TRANSPOSE('[1]Fur 1 PLC'!$AR$1:$BV$38),29,0),0)</f>
        <v>0</v>
      </c>
      <c r="CP10" s="54" cm="1">
        <f t="array" ref="CP10">IFERROR(VLOOKUP($A10,TRANSPOSE('[1]Fur 1 PLC'!$AR$1:$BV$38),10,0),0)</f>
        <v>0</v>
      </c>
      <c r="CQ10" s="54" cm="1">
        <f t="array" ref="CQ10">IFERROR(VLOOKUP($A10,TRANSPOSE('[1]Fur 1 PLC'!$AR$1:$BV$38),7,0),0)</f>
        <v>282.03842940685041</v>
      </c>
      <c r="CR10" s="54" cm="1">
        <f t="array" ref="CR10">IFERROR(VLOOKUP($A10,TRANSPOSE('[1]Fur 1 PLC'!$AR$1:$BV$38),35,0),0)</f>
        <v>192.52297410192145</v>
      </c>
      <c r="CS10" s="54" cm="1">
        <f t="array" ref="CS10">IFERROR(VLOOKUP($A10,TRANSPOSE('[1]Fur 1 PLC'!$AR$1:$BV$38),11,0),0)</f>
        <v>0</v>
      </c>
      <c r="CT10" s="54" cm="1">
        <f t="array" ref="CT10">IFERROR(VLOOKUP($A10,TRANSPOSE('[1]Fur 1 PLC'!$AR$1:$BV$38),19,0),0)</f>
        <v>0</v>
      </c>
      <c r="CU10" s="54" cm="1">
        <f t="array" ref="CU10">IFERROR(VLOOKUP($A10,TRANSPOSE('[1]Fur 1 PLC'!$AR$1:$BV$38),18,0),0)</f>
        <v>527.15121136173764</v>
      </c>
      <c r="CV10" s="54" cm="1">
        <f t="array" ref="CV10">IFERROR(VLOOKUP($A10,TRANSPOSE('[1]Fur 1 PLC'!$AR$1:$BV$38),15,0),0)</f>
        <v>159.06432748538009</v>
      </c>
      <c r="CW10" s="54" cm="1">
        <f t="array" ref="CW10">IFERROR(VLOOKUP($A10,TRANSPOSE('[1]Fur 1 PLC'!$CL$1:$DP$38),8,0),0)</f>
        <v>0</v>
      </c>
      <c r="CX10" s="54" cm="1">
        <f t="array" ref="CX10">IFERROR(VLOOKUP($A10,TRANSPOSE('[1]Fur 1 PLC'!$CL$1:$DP$38),30,0),0)</f>
        <v>50.285714285714278</v>
      </c>
      <c r="CY10" s="54" cm="1">
        <f t="array" ref="CY10">IFERROR(VLOOKUP($A10,TRANSPOSE('[1]Fur 1 PLC'!$CL$1:$DP$38),14,0),0)</f>
        <v>0</v>
      </c>
      <c r="CZ10" s="54" cm="1">
        <f t="array" ref="CZ10">IFERROR(VLOOKUP($A10,TRANSPOSE('[1]Fur 1 PLC'!$CL$1:$DP$38),16,0),0)</f>
        <v>0</v>
      </c>
      <c r="DA10" s="54" cm="1">
        <f t="array" ref="DA10">IFERROR(VLOOKUP($A10,TRANSPOSE('[1]Fur 1 PLC'!$CL$1:$DP$38),9,0),0)</f>
        <v>120.57142857142857</v>
      </c>
      <c r="DB10" s="55" cm="1">
        <f t="array" ref="DB10">IFERROR(VLOOKUP($A10,TRANSPOSE('[1]Fur 1 PLC'!$CL$1:$DP$38),17,0),0)</f>
        <v>0</v>
      </c>
      <c r="DC10" s="55" cm="1">
        <f t="array" ref="DC10">IFERROR(VLOOKUP($A10,TRANSPOSE('[1]Fur 1 PLC'!$CL$1:$DP$38),20,0),0)</f>
        <v>360.26785714285717</v>
      </c>
      <c r="DD10" s="54" cm="1">
        <f t="array" ref="DD10">IFERROR(VLOOKUP($A10,TRANSPOSE('[1]Fur 1 PLC'!$CL$1:$DP$38),28,0),0)</f>
        <v>0</v>
      </c>
      <c r="DE10" s="54" cm="1">
        <f t="array" ref="DE10">IFERROR(VLOOKUP($A10,TRANSPOSE('[1]Fur 1 PLC'!$CL$1:$DP$38),13,0),0)</f>
        <v>0</v>
      </c>
      <c r="DF10" s="54" cm="1">
        <f t="array" ref="DF10">IFERROR(VLOOKUP($A10,TRANSPOSE('[1]Fur 1 PLC'!$CL$1:$DP$38),37,0),0)</f>
        <v>245.44642857142856</v>
      </c>
      <c r="DG10" s="54" cm="1">
        <f t="array" ref="DG10">IFERROR(VLOOKUP($A10,TRANSPOSE('[1]Fur 1 PLC'!$CL$1:$DP$38),6,0),0)</f>
        <v>0</v>
      </c>
      <c r="DH10" s="54" cm="1">
        <f t="array" ref="DH10">IFERROR(VLOOKUP($A10,TRANSPOSE('[1]Fur 1 PLC'!$CL$1:$DP$38),21,0),0)</f>
        <v>0</v>
      </c>
      <c r="DI10" s="54" cm="1">
        <f t="array" ref="DI10">IFERROR(VLOOKUP($A10,TRANSPOSE('[1]Fur 1 PLC'!$CL$1:$DP$38),12,0),0)</f>
        <v>0</v>
      </c>
      <c r="DJ10" s="54" cm="1">
        <f t="array" ref="DJ10">IFERROR(VLOOKUP($A10,TRANSPOSE('[1]Fur 1 PLC'!$CL$1:$DP$38),25,0),0)</f>
        <v>0</v>
      </c>
      <c r="DK10" s="54" cm="1">
        <f t="array" ref="DK10">IFERROR(VLOOKUP($A10,TRANSPOSE('[1]Fur 1 PLC'!$CL$1:$DP$38),26,0),0)</f>
        <v>0</v>
      </c>
      <c r="DL10" s="54" cm="1">
        <f t="array" ref="DL10">IFERROR(VLOOKUP($A10,TRANSPOSE('[1]Fur 1 PLC'!$CL$1:$DP$38),27,0),0)</f>
        <v>208.35714285714286</v>
      </c>
      <c r="DM10" s="54" cm="1">
        <f t="array" ref="DM10">IFERROR(VLOOKUP($A10,TRANSPOSE('[1]Fur 1 PLC'!$CL$1:$DP$38),22,0),0)</f>
        <v>0</v>
      </c>
      <c r="DN10" s="54" cm="1">
        <f t="array" ref="DN10">IFERROR(VLOOKUP($A10,TRANSPOSE('[1]Fur 1 PLC'!$CL$1:$DP$38),19,0),0)</f>
        <v>0</v>
      </c>
      <c r="DO10" s="54" cm="1">
        <f t="array" ref="DO10">IFERROR(VLOOKUP($A10,TRANSPOSE('[1]Fur 1 PLC'!$CL$1:$DP$38),29,0),0)</f>
        <v>0</v>
      </c>
      <c r="DP10" s="54" cm="1">
        <f t="array" ref="DP10">IFERROR(VLOOKUP($A10,TRANSPOSE('[1]Fur 1 PLC'!$CL$1:$DP$38),10,0),0)</f>
        <v>0</v>
      </c>
      <c r="DQ10" s="54" cm="1">
        <f t="array" ref="DQ10">IFERROR(VLOOKUP($A10,TRANSPOSE('[1]Fur 1 PLC'!$CL$1:$DP$38),7,0),0)</f>
        <v>120.57142857142857</v>
      </c>
      <c r="DR10" s="54" cm="1">
        <f t="array" ref="DR10">IFERROR(VLOOKUP($A10,TRANSPOSE('[1]Fur 1 PLC'!$CL$1:$DP$38),35,0),0)</f>
        <v>82.303571428571431</v>
      </c>
      <c r="DS10" s="54" cm="1">
        <f t="array" ref="DS10">IFERROR(VLOOKUP($A10,TRANSPOSE('[1]Fur 1 PLC'!$CL$1:$DP$38),11,0),0)</f>
        <v>0</v>
      </c>
      <c r="DT10" s="54" cm="1">
        <f t="array" ref="DT10">IFERROR(VLOOKUP($A10,TRANSPOSE('[1]Fur 1 PLC'!$CL$1:$DP$38),19,0),0)</f>
        <v>0</v>
      </c>
      <c r="DU10" s="54" cm="1">
        <f t="array" ref="DU10">IFERROR(VLOOKUP($A10,TRANSPOSE('[1]Fur 1 PLC'!$CL$1:$DP$38),18,0),0)</f>
        <v>225.35714285714283</v>
      </c>
      <c r="DV10" s="54" cm="1">
        <f t="array" ref="DV10">IFERROR(VLOOKUP($A10,TRANSPOSE('[1]Fur 1 PLC'!$CL$1:$DP$38),15,0),0)</f>
        <v>67.999999999999986</v>
      </c>
      <c r="DW10" t="str">
        <f>TEXT(C10,"Mmm-yy")</f>
        <v>Dec-25</v>
      </c>
    </row>
    <row r="11" spans="1:127" x14ac:dyDescent="0.3">
      <c r="A11" s="28" t="str">
        <f t="shared" si="1"/>
        <v>F245994</v>
      </c>
      <c r="B11" s="29" t="s">
        <v>27</v>
      </c>
      <c r="C11" s="30">
        <f>C10</f>
        <v>45994</v>
      </c>
      <c r="D11" s="29" t="str">
        <f>VLOOKUP($B11&amp;$C11,'[1]FC2 Prod'!$A$6:$BP$36,[2]Consolidated!D$1)</f>
        <v>Mr. Girish Malik</v>
      </c>
      <c r="E11" s="29">
        <f>VLOOKUP($B11&amp;$C11,'[1]FC2 Prod'!$A$6:$BP$36,[2]Consolidated!E$1)</f>
        <v>31.57</v>
      </c>
      <c r="F11" s="29">
        <f>VLOOKUP($B11&amp;$C11,'[1]FC2 Prod'!$A$6:$BP$36,[2]Consolidated!F$1)</f>
        <v>0</v>
      </c>
      <c r="G11" s="29">
        <f>VLOOKUP($B11&amp;$C11,'[1]FC2 Prod'!$A$6:$BP$36,[2]Consolidated!G$1)</f>
        <v>31.57</v>
      </c>
      <c r="H11" s="32">
        <f>VLOOKUP($B11&amp;$C11,'[1]FC2 Prod'!$A$6:$BP$36,[2]Consolidated!H$1)</f>
        <v>22.765000000000001</v>
      </c>
      <c r="I11" s="32">
        <f>VLOOKUP($B11&amp;$C11,'[1]FC2 Prod'!$A$6:$BP$36,[2]Consolidated!I$1)</f>
        <v>4.8899999999999997</v>
      </c>
      <c r="J11" s="32">
        <f>VLOOKUP($B11&amp;$C11,'[1]FC2 Prod'!$A$6:$BP$36,[2]Consolidated!J$1)</f>
        <v>39.6</v>
      </c>
      <c r="K11" s="32">
        <f>VLOOKUP($B11&amp;$C11,'[1]FC2 Prod'!$A$6:$BP$36,[2]Consolidated!K$1)</f>
        <v>1.35</v>
      </c>
      <c r="L11" s="32">
        <f>VLOOKUP($B11&amp;$C11,'[1]FC2 Prod'!$A$6:$BP$36,[2]Consolidated!L$1)</f>
        <v>28.62</v>
      </c>
      <c r="M11" s="32">
        <f>VLOOKUP($B11&amp;$C11,'[1]FC2 Prod'!$A$6:$BP$36,[2]Consolidated!M$1)</f>
        <v>5.24</v>
      </c>
      <c r="N11" s="32">
        <f>VLOOKUP($B11&amp;$C11,'[1]FC2 Prod'!$A$6:$BP$36,[2]Consolidated!N$1)</f>
        <v>16.510000000000002</v>
      </c>
      <c r="O11" s="32">
        <f>VLOOKUP($B11&amp;$C11,'[1]FC2 Prod'!$A$6:$BP$36,[2]Consolidated!O$1)</f>
        <v>0.86</v>
      </c>
      <c r="P11" s="34">
        <f>VLOOKUP($B11&amp;$C11,'[1]FC2 Prod'!$A$6:$BP$36,[2]Consolidated!P$1)</f>
        <v>9</v>
      </c>
      <c r="Q11" s="29">
        <f>VLOOKUP($B11&amp;$C11,'[1]FC2 Prod'!$A$6:$BP$36,[2]Consolidated!Q$1)</f>
        <v>61.813000000000002</v>
      </c>
      <c r="R11" s="29">
        <f>VLOOKUP($B11&amp;$C11,'[1]FC2 Prod'!$A$6:$BP$36,[2]Consolidated!R$1)</f>
        <v>20.189</v>
      </c>
      <c r="S11" s="34">
        <f>VLOOKUP($B11&amp;$C11,'[1]FC2 Prod'!$A$6:$BP$36,[2]Consolidated!S$1)</f>
        <v>30</v>
      </c>
      <c r="T11" s="34">
        <f>VLOOKUP($B11&amp;$C11,'[1]FC2 Prod'!$A$6:$BP$36,[2]Consolidated!T$1)</f>
        <v>20</v>
      </c>
      <c r="U11" s="34">
        <f>VLOOKUP($B11&amp;$C11,'[1]FC2 Prod'!$A$6:$BP$36,[2]Consolidated!U$1)</f>
        <v>20</v>
      </c>
      <c r="V11" s="34">
        <f>VLOOKUP($B11&amp;$C11,'[1]FC2 Prod'!$A$6:$BP$36,[2]Consolidated!V$1)</f>
        <v>70</v>
      </c>
      <c r="W11" s="29">
        <f>VLOOKUP($B11&amp;$C11,'[1]FC2 Prod'!$A$6:$BP$36,[2]Consolidated!W$1)</f>
        <v>1.9579664238200825</v>
      </c>
      <c r="X11" s="35">
        <f>VLOOKUP($B11&amp;$C11,'[1]FC2 Prod'!$A$6:$BP$36,[2]Consolidated!X$1)</f>
        <v>32.549999999999997</v>
      </c>
      <c r="Y11" s="36">
        <f>VLOOKUP($B11&amp;$C11,'[1]FC2 Prod'!$A$6:$BP$36,[2]Consolidated!Y$1)</f>
        <v>0.96989247311827964</v>
      </c>
      <c r="Z11" s="37" t="str">
        <f>VLOOKUP($B11&amp;$C11,'[1]FC2 Prod'!$A$6:$BP$36,[2]Consolidated!Z$1)</f>
        <v>55/22</v>
      </c>
      <c r="AA11" s="31">
        <f>VLOOKUP($B11&amp;$C11,'[1]FC2 Prod'!$A$6:$BP$36,[2]Consolidated!AA$1)</f>
        <v>55.106666666666669</v>
      </c>
      <c r="AB11" s="31">
        <f>VLOOKUP($B11&amp;$C11,'[1]FC2 Prod'!$A$6:$BP$36,[2]Consolidated!AB$1)</f>
        <v>21.76</v>
      </c>
      <c r="AC11" s="31">
        <f>VLOOKUP($B11&amp;$C11,'[1]FC2 Prod'!$A$6:$BP$36,[2]Consolidated!AC$1)</f>
        <v>0.44333333333333336</v>
      </c>
      <c r="AD11" s="38">
        <f>VLOOKUP($B11&amp;$C11,'[1]FC2 Prod'!$A$6:$BP$36,[2]Consolidated!AD$1)</f>
        <v>624.09790566993991</v>
      </c>
      <c r="AE11" s="38">
        <f>VLOOKUP($B11&amp;$C11,'[1]FC2 Prod'!$A$6:$BP$36,[2]Consolidated!AE$1)</f>
        <v>622.02310621792844</v>
      </c>
      <c r="AF11" s="39">
        <f>VLOOKUP($B11&amp;$C11,'[1]FC2 Prod'!$A$6:$BP$36,[2]Consolidated!AF$1)</f>
        <v>0.88298111828323211</v>
      </c>
      <c r="AG11" s="39">
        <f>VLOOKUP($B11&amp;$C11,'[1]FC2 Prod'!$A$6:$BP$36,[2]Consolidated!AG$1)</f>
        <v>0.88592636054519514</v>
      </c>
      <c r="AH11" s="34">
        <f>VLOOKUP($B11&amp;$C11,'[1]FC2 Prod'!$A$6:$BP$36,[2]Consolidated!AH$1)</f>
        <v>476.29971238517584</v>
      </c>
      <c r="AI11" s="33">
        <f>VLOOKUP($B11&amp;$C11,'[1]FC2 Prod'!$A$6:$BP$36,[2]Consolidated!AI$1)</f>
        <v>469.71746594868546</v>
      </c>
      <c r="AJ11" s="39">
        <f>VLOOKUP($B11&amp;$C11,'[1]FC2 Prod'!$A$6:$BP$36,[2]Consolidated!AJ$1)</f>
        <v>0.46486445060816067</v>
      </c>
      <c r="AK11" s="39">
        <f>VLOOKUP($B11&amp;$C11,'[1]FC2 Prod'!$A$6:$BP$36,[2]Consolidated!AK$1)</f>
        <v>0.50224512139985888</v>
      </c>
      <c r="AL11" s="40" t="str">
        <f>VLOOKUP($B11&amp;$C11,'[1]FC2 Prod'!$A$6:$BP$36,[2]Consolidated!AL$1)</f>
        <v>10/70</v>
      </c>
      <c r="AM11" s="41">
        <f>VLOOKUP($B11&amp;$C11,'[1]FC2 Prod'!$A$6:$BP$36,[2]Consolidated!AM$1)</f>
        <v>2.5340513145391194E-2</v>
      </c>
      <c r="AN11" s="42">
        <f>VLOOKUP($B11&amp;$C11,'[1]FC2 Prod'!$A$6:$BP$36,[2]Consolidated!AN$1)</f>
        <v>147.1</v>
      </c>
      <c r="AO11" s="43">
        <f>VLOOKUP($B11&amp;$C11,'[1]FC2 Prod'!$A$6:$BP$36,[2]Consolidated!AO$1)</f>
        <v>6.5069999999999997</v>
      </c>
      <c r="AP11" s="44">
        <f>VLOOKUP($B11&amp;$C11,'[1]FC2 Prod'!$A$6:$BP$36,[2]Consolidated!AP$1)</f>
        <v>4.8656002534051312</v>
      </c>
      <c r="AQ11" s="44">
        <f>VLOOKUP($B11&amp;$C11,'[1]FC2 Prod'!$A$6:$BP$36,[2]Consolidated!AQ$1)</f>
        <v>28.248154355481404</v>
      </c>
      <c r="AR11" s="45">
        <f>VLOOKUP($B11&amp;$C11,'[1]FC2 Prod'!$A$6:$BP$36,[2]Consolidated!AR$1)</f>
        <v>1.0047814207650274</v>
      </c>
      <c r="AS11" s="46">
        <f>VLOOKUP($B11&amp;$C11,'[1]FC2 Prod'!$A$6:$BP$36,[2]Consolidated!AS$1)</f>
        <v>2.3199999999999998</v>
      </c>
      <c r="AT11" s="29">
        <f>VLOOKUP($B11&amp;$C11,'[1]FC2 Prod'!$A$6:$BP$36,[2]Consolidated!AT$1)</f>
        <v>0.78624412159601331</v>
      </c>
      <c r="AU11" s="34">
        <f>VLOOKUP($B11&amp;$C11,'[1]FC2 Prod'!$A$6:$BP$36,[2]Consolidated!AU$1)</f>
        <v>426.93607305936075</v>
      </c>
      <c r="AV11" s="34">
        <f>VLOOKUP($B11&amp;$C11,'[1]FC2 Prod'!$A$6:$BP$36,[2]Consolidated!AV$1)</f>
        <v>366.66666666666669</v>
      </c>
      <c r="AW11" s="47">
        <f>VLOOKUP($B11&amp;$C11,'[1]FC2 Prod'!$A$6:$BP$36,[2]Consolidated!AW$1)</f>
        <v>23984.413367120687</v>
      </c>
      <c r="AX11" s="47">
        <f>VLOOKUP($B11&amp;$C11,'[1]FC2 Prod'!$A$6:$BP$36,[2]Consolidated!AX$1)</f>
        <v>14495.026924295216</v>
      </c>
      <c r="AY11" s="48">
        <f>VLOOKUP($B11&amp;$C11,'[1]FC2 Prod'!$A$6:$BP$36,[2]Consolidated!AY$1)</f>
        <v>1758.378207158695</v>
      </c>
      <c r="AZ11" s="47">
        <f>VLOOKUP($B11&amp;$C11,'[1]FC2 Prod'!$A$6:$BP$36,[2]Consolidated!AZ$1)</f>
        <v>2461.2203040861577</v>
      </c>
      <c r="BA11" s="47">
        <f>VLOOKUP($B11&amp;$C11,'[1]FC2 Prod'!$A$6:$BP$36,[2]Consolidated!BA$1)</f>
        <v>28463.761482420017</v>
      </c>
      <c r="BB11" s="47">
        <f>VLOOKUP($B11&amp;$C11,'[1]FC2 Prod'!$A$6:$BP$36,[2]Consolidated!BB$1)</f>
        <v>711.62800285080766</v>
      </c>
      <c r="BC11" s="47">
        <f>VLOOKUP($B11&amp;$C11,'[1]FC2 Prod'!$A$6:$BP$36,[2]Consolidated!BC$1)</f>
        <v>9244.6404814697489</v>
      </c>
      <c r="BD11" s="49">
        <f>VLOOKUP($B11&amp;$C11,'[1]FC2 Prod'!$A$6:$BP$36,[2]Consolidated!BD$1)</f>
        <v>81119.068769401318</v>
      </c>
      <c r="BE11" s="47">
        <f>VLOOKUP($B11&amp;$C11,'[1]FC2 Prod'!$A$6:$BP$36,[2]Consolidated!BE$1)</f>
        <v>24551.764745011085</v>
      </c>
      <c r="BF11" s="47">
        <f>VLOOKUP($B11&amp;$C11,'[1]FC2 Prod'!$A$6:$BP$36,[2]Consolidated!BF$1)</f>
        <v>14367.94425087108</v>
      </c>
      <c r="BG11" s="50">
        <f>VLOOKUP($B11&amp;$C11,'[1]FC2 Prod'!$A$6:$BP$36,[2]Consolidated!BG$1)</f>
        <v>1719.0370605004753</v>
      </c>
      <c r="BH11" s="50">
        <f>VLOOKUP($B11&amp;$C11,'[1]FC2 Prod'!$A$6:$BP$36,[2]Consolidated!BH$1)</f>
        <v>715.63727842888807</v>
      </c>
      <c r="BI11" s="50">
        <f>VLOOKUP($B11&amp;$C11,'[1]FC2 Prod'!$A$6:$BP$36,[2]Consolidated!BI$1)</f>
        <v>81524.005602787453</v>
      </c>
      <c r="BJ11" s="37" t="e">
        <f>VLOOKUP($B11&amp;$C11,'[1]FC2 Prod'!$A$6:$BP$36,[2]Consolidated!BJ$1)</f>
        <v>#REF!</v>
      </c>
      <c r="BK11" s="37" t="e">
        <f>VLOOKUP($B11&amp;$C11,'[1]FC2 Prod'!$A$6:$BP$36,[2]Consolidated!BK$1)</f>
        <v>#REF!</v>
      </c>
      <c r="BL11" s="37" t="e">
        <f>VLOOKUP($B11&amp;$C11,'[1]FC2 Prod'!$A$6:$BP$36,[2]Consolidated!BL$1)</f>
        <v>#REF!</v>
      </c>
      <c r="BM11" s="37" t="e">
        <f>VLOOKUP($B11&amp;$C11,'[1]FC2 Prod'!$A$6:$BP$36,[2]Consolidated!BM$1)</f>
        <v>#REF!</v>
      </c>
      <c r="BN11" s="37" t="e">
        <f>VLOOKUP($B11&amp;$C11,'[1]FC2 Prod'!$A$6:$BP$36,[2]Consolidated!BN$1)</f>
        <v>#REF!</v>
      </c>
      <c r="BO11" s="37" t="e">
        <f>VLOOKUP($B11&amp;$C11,'[1]FC2 Prod'!$A$6:$BP$36,[2]Consolidated!BO$1)</f>
        <v>#REF!</v>
      </c>
      <c r="BP11" s="37" t="str">
        <f>VLOOKUP($B11&amp;$C11,'[1]FC2 Prod'!$A$6:$BP$36,[2]Consolidated!BP$1)</f>
        <v>NIL</v>
      </c>
      <c r="BQ11" s="29" t="e">
        <f>VLOOKUP($B11&amp;$C11,'[1]FC2 Prod'!$A$6:$BP$36,[2]Consolidated!BQ$1)</f>
        <v>#REF!</v>
      </c>
      <c r="BR11" s="51">
        <f>VLOOKUP($B11&amp;$C11,'[1]FC2 Prod'!$A$6:$BQ$36,[2]Consolidated!BR$1)</f>
        <v>69902</v>
      </c>
      <c r="BS11" s="52">
        <f t="shared" si="9"/>
        <v>69102.50753880266</v>
      </c>
      <c r="BT11" s="32">
        <f>BR11-BS11</f>
        <v>799.49246119734016</v>
      </c>
      <c r="BU11" s="37">
        <f>E11*BT11</f>
        <v>25239.977000000028</v>
      </c>
      <c r="BV11" s="53" t="s">
        <v>130</v>
      </c>
      <c r="BW11" s="54" cm="1">
        <f t="array" ref="BW11">IFERROR(VLOOKUP($A11,TRANSPOSE('[1]Fur 2 PLC'!$AR$1:$BV$38),8,0),0)</f>
        <v>0</v>
      </c>
      <c r="BX11" s="54" cm="1">
        <f t="array" ref="BX11">IFERROR(VLOOKUP($A11,TRANSPOSE('[1]Fur 2 PLC'!$AR$1:$BV$38),30,0),0)</f>
        <v>0</v>
      </c>
      <c r="BY11" s="54" cm="1">
        <f t="array" ref="BY11">IFERROR(VLOOKUP($A11,TRANSPOSE('[1]Fur 2 PLC'!$AR$1:$BV$38),14,0),0)</f>
        <v>0</v>
      </c>
      <c r="BZ11" s="54" cm="1">
        <f t="array" ref="BZ11">IFERROR(VLOOKUP($A11,TRANSPOSE('[1]Fur 2 PLC'!$AR$1:$BV$38),16,0),0)</f>
        <v>0</v>
      </c>
      <c r="CA11" s="54" cm="1">
        <f t="array" ref="CA11">IFERROR(VLOOKUP($A11,TRANSPOSE('[1]Fur 2 PLC'!$AR$1:$BV$38),9,0),0)</f>
        <v>490.05384859043392</v>
      </c>
      <c r="CB11" s="54" cm="1">
        <f t="array" ref="CB11">IFERROR(VLOOKUP($A11,TRANSPOSE('[1]Fur 2 PLC'!$AR$1:$BV$38),17,0),0)</f>
        <v>399.33481152993346</v>
      </c>
      <c r="CC11" s="54" cm="1">
        <f t="array" ref="CC11">IFERROR(VLOOKUP($A11,TRANSPOSE('[1]Fur 2 PLC'!$AR$1:$BV$38),20,0),0)</f>
        <v>0</v>
      </c>
      <c r="CD11" s="54" cm="1">
        <f t="array" ref="CD11">IFERROR(VLOOKUP($A11,TRANSPOSE('[1]Fur 2 PLC'!$AR$1:$BV$38),28,0),0)</f>
        <v>144.12416851441239</v>
      </c>
      <c r="CE11" s="54" cm="1">
        <f t="array" ref="CE11">IFERROR(VLOOKUP($A11,TRANSPOSE('[1]Fur 2 PLC'!$AR$1:$BV$38),13,0),0)</f>
        <v>0</v>
      </c>
      <c r="CF11" s="54" cm="1">
        <f t="array" ref="CF11">IFERROR(VLOOKUP($A11,TRANSPOSE('[1]Fur 2 PLC'!$AR$1:$BV$38),37,0),0)</f>
        <v>636.68039277795378</v>
      </c>
      <c r="CG11" s="54" cm="1">
        <f t="array" ref="CG11">IFERROR(VLOOKUP($A11,TRANSPOSE('[1]Fur 2 PLC'!$AR$1:$BV$38),6,0),0)</f>
        <v>0</v>
      </c>
      <c r="CH11" s="54" cm="1">
        <f t="array" ref="CH11">IFERROR(VLOOKUP($A11,TRANSPOSE('[1]Fur 2 PLC'!$AR$1:$BV$38),21,0),0)</f>
        <v>0</v>
      </c>
      <c r="CI11" s="54" cm="1">
        <f t="array" ref="CI11">IFERROR(VLOOKUP($A11,TRANSPOSE('[1]Fur 2 PLC'!$AR$1:$BV$38),12,0),0)</f>
        <v>0</v>
      </c>
      <c r="CJ11" s="54" cm="1">
        <f t="array" ref="CJ11">IFERROR(VLOOKUP($A11,TRANSPOSE('[1]Fur 2 PLC'!$AR$1:$BV$38),25,0),0)</f>
        <v>0</v>
      </c>
      <c r="CK11" s="54" cm="1">
        <f t="array" ref="CK11">IFERROR(VLOOKUP($A11,TRANSPOSE('[1]Fur 2 PLC'!$AR$1:$BV$38),26,0),0)</f>
        <v>0</v>
      </c>
      <c r="CL11" s="54" cm="1">
        <f t="array" ref="CL11">IFERROR(VLOOKUP($A11,TRANSPOSE('[1]Fur 2 PLC'!$AR$1:$BV$38),27,0),0)</f>
        <v>495.37535635096606</v>
      </c>
      <c r="CM11" s="54" cm="1">
        <f t="array" ref="CM11">IFERROR(VLOOKUP($A11,TRANSPOSE('[1]Fur 2 PLC'!$AR$1:$BV$38),22,0),0)</f>
        <v>0</v>
      </c>
      <c r="CN11" s="54"/>
      <c r="CO11" s="54" cm="1">
        <f t="array" ref="CO11">IFERROR(VLOOKUP($A11,TRANSPOSE('[1]Fur 2 PLC'!$AR$1:$BV$38),29,0),0)</f>
        <v>0</v>
      </c>
      <c r="CP11" s="54" cm="1">
        <f t="array" ref="CP11">IFERROR(VLOOKUP($A11,TRANSPOSE('[1]Fur 2 PLC'!$AR$1:$BV$38),10,0),0)</f>
        <v>0</v>
      </c>
      <c r="CQ11" s="54" cm="1">
        <f t="array" ref="CQ11">IFERROR(VLOOKUP($A11,TRANSPOSE('[1]Fur 2 PLC'!$AR$1:$BV$38),7,0),0)</f>
        <v>244.02914159011718</v>
      </c>
      <c r="CR11" s="54" cm="1">
        <f t="array" ref="CR11">IFERROR(VLOOKUP($A11,TRANSPOSE('[1]Fur 2 PLC'!$AR$1:$BV$38),35,0),0)</f>
        <v>0</v>
      </c>
      <c r="CS11" s="54" cm="1">
        <f t="array" ref="CS11">IFERROR(VLOOKUP($A11,TRANSPOSE('[1]Fur 2 PLC'!$AR$1:$BV$38),11,0),0)</f>
        <v>729.45834653151724</v>
      </c>
      <c r="CT11" s="54" cm="1">
        <f t="array" ref="CT11">IFERROR(VLOOKUP($A11,TRANSPOSE('[1]Fur 2 PLC'!$AR$1:$BV$38),19,0),0)</f>
        <v>0</v>
      </c>
      <c r="CU11" s="54" cm="1">
        <f t="array" ref="CU11">IFERROR(VLOOKUP($A11,TRANSPOSE('[1]Fur 2 PLC'!$AR$1:$BV$38),18,0),0)</f>
        <v>0</v>
      </c>
      <c r="CV11" s="54" cm="1">
        <f t="array" ref="CV11">IFERROR(VLOOKUP($A11,TRANSPOSE('[1]Fur 2 PLC'!$AR$1:$BV$38),15,0),0)</f>
        <v>339.11941716819763</v>
      </c>
      <c r="CW11" s="54" cm="1">
        <f t="array" ref="CW11">IFERROR(VLOOKUP($A11,TRANSPOSE('[1]Fur 2 PLC'!$CI$1:$DM$38),8,0),0)</f>
        <v>0</v>
      </c>
      <c r="CX11" s="54" cm="1">
        <f t="array" ref="CX11">IFERROR(VLOOKUP($A11,TRANSPOSE('[1]Fur 2 PLC'!$CI$1:$DM$38),30,0),0)</f>
        <v>0</v>
      </c>
      <c r="CY11" s="54" cm="1">
        <f t="array" ref="CY11">IFERROR(VLOOKUP($A11,TRANSPOSE('[1]Fur 2 PLC'!$CI$1:$DM$38),14,0),0)</f>
        <v>0</v>
      </c>
      <c r="CZ11" s="54" cm="1">
        <f t="array" ref="CZ11">IFERROR(VLOOKUP($A11,TRANSPOSE('[1]Fur 2 PLC'!$CI$1:$DM$38),16,0),0)</f>
        <v>0</v>
      </c>
      <c r="DA11" s="54" cm="1">
        <f t="array" ref="DA11">IFERROR(VLOOKUP($A11,TRANSPOSE('[1]Fur 2 PLC'!$CI$1:$DM$38),9,0),0)</f>
        <v>221.01428571428571</v>
      </c>
      <c r="DB11" s="55" cm="1">
        <f t="array" ref="DB11">IFERROR(VLOOKUP($A11,TRANSPOSE('[1]Fur 2 PLC'!$CI$1:$DM$38),17,0),0)</f>
        <v>180.1</v>
      </c>
      <c r="DC11" s="55" cm="1">
        <f t="array" ref="DC11">IFERROR(VLOOKUP($A11,TRANSPOSE('[1]Fur 2 PLC'!$CI$1:$DM$38),20,0),0)</f>
        <v>0</v>
      </c>
      <c r="DD11" s="54" cm="1">
        <f t="array" ref="DD11">IFERROR(VLOOKUP($A11,TRANSPOSE('[1]Fur 2 PLC'!$CI$1:$DM$38),28,0),0)</f>
        <v>65</v>
      </c>
      <c r="DE11" s="54" cm="1">
        <f t="array" ref="DE11">IFERROR(VLOOKUP($A11,TRANSPOSE('[1]Fur 2 PLC'!$CI$1:$DM$38),13,0),0)</f>
        <v>0</v>
      </c>
      <c r="DF11" s="54" cm="1">
        <f t="array" ref="DF11">IFERROR(VLOOKUP($A11,TRANSPOSE('[1]Fur 2 PLC'!$CI$1:$DM$38),37,0),0)</f>
        <v>287.14285714285717</v>
      </c>
      <c r="DG11" s="54" cm="1">
        <f t="array" ref="DG11">IFERROR(VLOOKUP($A11,TRANSPOSE('[1]Fur 2 PLC'!$CI$1:$DM$38),6,0),0)</f>
        <v>0</v>
      </c>
      <c r="DH11" s="54" cm="1">
        <f t="array" ref="DH11">IFERROR(VLOOKUP($A11,TRANSPOSE('[1]Fur 2 PLC'!$CI$1:$DM$38),21,0),0)</f>
        <v>0</v>
      </c>
      <c r="DI11" s="54" cm="1">
        <f t="array" ref="DI11">IFERROR(VLOOKUP($A11,TRANSPOSE('[1]Fur 2 PLC'!$CI$1:$DM$38),12,0),0)</f>
        <v>0</v>
      </c>
      <c r="DJ11" s="54" cm="1">
        <f t="array" ref="DJ11">IFERROR(VLOOKUP($A11,TRANSPOSE('[1]Fur 2 PLC'!$CI$1:$DM$38),25,0),0)</f>
        <v>0</v>
      </c>
      <c r="DK11" s="54" cm="1">
        <f t="array" ref="DK11">IFERROR(VLOOKUP($A11,TRANSPOSE('[1]Fur 2 PLC'!$CI$1:$DM$38),26,0),0)</f>
        <v>0</v>
      </c>
      <c r="DL11" s="54" cm="1">
        <f t="array" ref="DL11">IFERROR(VLOOKUP($A11,TRANSPOSE('[1]Fur 2 PLC'!$CI$1:$DM$38),27,0),0)</f>
        <v>223.41428571428571</v>
      </c>
      <c r="DM11" s="54" cm="1">
        <f t="array" ref="DM11">IFERROR(VLOOKUP($A11,TRANSPOSE('[1]Fur 2 PLC'!$CI$1:$DM$38),22,0),0)</f>
        <v>0</v>
      </c>
      <c r="DN11" s="54" cm="1">
        <f t="array" ref="DN11">IFERROR(VLOOKUP($A11,TRANSPOSE('[1]Fur 2 PLC'!$CI$1:$DM$38),19,0),0)</f>
        <v>0</v>
      </c>
      <c r="DO11" s="54" cm="1">
        <f t="array" ref="DO11">IFERROR(VLOOKUP($A11,TRANSPOSE('[1]Fur 2 PLC'!$CI$1:$DM$38),29,0),0)</f>
        <v>0</v>
      </c>
      <c r="DP11" s="54" cm="1">
        <f t="array" ref="DP11">IFERROR(VLOOKUP($A11,TRANSPOSE('[1]Fur 2 PLC'!$CI$1:$DM$38),10,0),0)</f>
        <v>0</v>
      </c>
      <c r="DQ11" s="54" cm="1">
        <f t="array" ref="DQ11">IFERROR(VLOOKUP($A11,TRANSPOSE('[1]Fur 2 PLC'!$CI$1:$DM$38),7,0),0)</f>
        <v>110.05714285714285</v>
      </c>
      <c r="DR11" s="54" cm="1">
        <f t="array" ref="DR11">IFERROR(VLOOKUP($A11,TRANSPOSE('[1]Fur 2 PLC'!$CI$1:$DM$38),35,0),0)</f>
        <v>0</v>
      </c>
      <c r="DS11" s="54" cm="1">
        <f t="array" ref="DS11">IFERROR(VLOOKUP($A11,TRANSPOSE('[1]Fur 2 PLC'!$CI$1:$DM$38),11,0),0)</f>
        <v>328.98571428571427</v>
      </c>
      <c r="DT11" s="54" cm="1">
        <f t="array" ref="DT11">IFERROR(VLOOKUP($A11,TRANSPOSE('[1]Fur 2 PLC'!$CI$1:$DM$38),19,0),0)</f>
        <v>0</v>
      </c>
      <c r="DU11" s="54" cm="1">
        <f t="array" ref="DU11">IFERROR(VLOOKUP($A11,TRANSPOSE('[1]Fur 2 PLC'!$CI$1:$DM$38),18,0),0)</f>
        <v>0</v>
      </c>
      <c r="DV11" s="54" cm="1">
        <f t="array" ref="DV11">IFERROR(VLOOKUP($A11,TRANSPOSE('[1]Fur 2 PLC'!$CI$1:$DM$38),15,0),0)</f>
        <v>152.94285714285712</v>
      </c>
      <c r="DW11" t="str">
        <f t="shared" ref="DW11:DW13" si="10">TEXT(C11,"Mmm-yy")</f>
        <v>Dec-25</v>
      </c>
    </row>
    <row r="12" spans="1:127" x14ac:dyDescent="0.3">
      <c r="A12" s="28" t="str">
        <f t="shared" si="1"/>
        <v>F345994</v>
      </c>
      <c r="B12" s="29" t="s">
        <v>28</v>
      </c>
      <c r="C12" s="30">
        <f>C11</f>
        <v>45994</v>
      </c>
      <c r="D12" s="29" t="str">
        <f>VLOOKUP($B12&amp;$C12,'[1]FC3 Prod'!$A$6:$BP$36,[2]Consolidated!D$1)</f>
        <v>Mr. Ajay Singh</v>
      </c>
      <c r="E12" s="29">
        <f>VLOOKUP($B12&amp;$C12,'[1]FC3 Prod'!$A$6:$BP$36,[2]Consolidated!E$1)</f>
        <v>38.229999999999997</v>
      </c>
      <c r="F12" s="31">
        <f>VLOOKUP($B12&amp;$C12,'[1]FC3 Prod'!$A$6:$BP$36,[2]Consolidated!F$1)</f>
        <v>0.28000000000000114</v>
      </c>
      <c r="G12" s="32">
        <f>VLOOKUP($B12&amp;$C12,'[1]FC3 Prod'!$A$6:$BP$36,[2]Consolidated!G$1)</f>
        <v>38.51</v>
      </c>
      <c r="H12" s="32">
        <f>VLOOKUP($B12&amp;$C12,'[1]FC3 Prod'!$A$6:$BP$36,[2]Consolidated!H$1)</f>
        <v>29.975000000000001</v>
      </c>
      <c r="I12" s="32">
        <f>VLOOKUP($B12&amp;$C12,'[1]FC3 Prod'!$A$6:$BP$36,[2]Consolidated!I$1)</f>
        <v>10.92</v>
      </c>
      <c r="J12" s="32">
        <f>VLOOKUP($B12&amp;$C12,'[1]FC3 Prod'!$A$6:$BP$36,[2]Consolidated!J$1)</f>
        <v>38.32</v>
      </c>
      <c r="K12" s="32">
        <f>VLOOKUP($B12&amp;$C12,'[1]FC3 Prod'!$A$6:$BP$36,[2]Consolidated!K$1)</f>
        <v>1.38</v>
      </c>
      <c r="L12" s="32">
        <f>VLOOKUP($B12&amp;$C12,'[1]FC3 Prod'!$A$6:$BP$36,[2]Consolidated!L$1)</f>
        <v>25.78</v>
      </c>
      <c r="M12" s="32">
        <f>VLOOKUP($B12&amp;$C12,'[1]FC3 Prod'!$A$6:$BP$36,[2]Consolidated!M$1)</f>
        <v>4.8499999999999996</v>
      </c>
      <c r="N12" s="32">
        <f>VLOOKUP($B12&amp;$C12,'[1]FC3 Prod'!$A$6:$BP$36,[2]Consolidated!N$1)</f>
        <v>15.18</v>
      </c>
      <c r="O12" s="32">
        <f>VLOOKUP($B12&amp;$C12,'[1]FC3 Prod'!$A$6:$BP$36,[2]Consolidated!O$1)</f>
        <v>0.8</v>
      </c>
      <c r="P12" s="33">
        <f>VLOOKUP($B12&amp;$C12,'[1]FC3 Prod'!$A$6:$BP$36,[2]Consolidated!P$1)</f>
        <v>8</v>
      </c>
      <c r="Q12" s="29">
        <f>VLOOKUP($B12&amp;$C12,'[1]FC3 Prod'!$A$6:$BP$36,[2]Consolidated!Q$1)</f>
        <v>79.246000000000009</v>
      </c>
      <c r="R12" s="29">
        <f>VLOOKUP($B12&amp;$C12,'[1]FC3 Prod'!$A$6:$BP$36,[2]Consolidated!R$1)</f>
        <v>24.427</v>
      </c>
      <c r="S12" s="34">
        <f>VLOOKUP($B12&amp;$C12,'[1]FC3 Prod'!$A$6:$BP$36,[2]Consolidated!S$1)</f>
        <v>30</v>
      </c>
      <c r="T12" s="34">
        <f>VLOOKUP($B12&amp;$C12,'[1]FC3 Prod'!$A$6:$BP$36,[2]Consolidated!T$1)</f>
        <v>24</v>
      </c>
      <c r="U12" s="34">
        <f>VLOOKUP($B12&amp;$C12,'[1]FC3 Prod'!$A$6:$BP$36,[2]Consolidated!U$1)</f>
        <v>20</v>
      </c>
      <c r="V12" s="34">
        <f>VLOOKUP($B12&amp;$C12,'[1]FC3 Prod'!$A$6:$BP$36,[2]Consolidated!V$1)</f>
        <v>74</v>
      </c>
      <c r="W12" s="35">
        <f>VLOOKUP($B12&amp;$C12,'[1]FC3 Prod'!$A$6:$BP$36,[2]Consolidated!W$1)</f>
        <v>2.072874705728486</v>
      </c>
      <c r="X12" s="35">
        <f>VLOOKUP($B12&amp;$C12,'[1]FC3 Prod'!$A$6:$BP$36,[2]Consolidated!X$1)</f>
        <v>39.699999999999996</v>
      </c>
      <c r="Y12" s="36">
        <f>VLOOKUP($B12&amp;$C12,'[1]FC3 Prod'!$A$6:$BP$36,[2]Consolidated!Y$1)</f>
        <v>0.96297229219143576</v>
      </c>
      <c r="Z12" s="37" t="str">
        <f>VLOOKUP($B12&amp;$C12,'[1]FC3 Prod'!$A$6:$BP$36,[2]Consolidated!Z$1)</f>
        <v>60/15</v>
      </c>
      <c r="AA12" s="31">
        <f>VLOOKUP($B12&amp;$C12,'[1]FC3 Prod'!$A$6:$BP$36,[2]Consolidated!AA$1)</f>
        <v>59.731250000000003</v>
      </c>
      <c r="AB12" s="31">
        <f>VLOOKUP($B12&amp;$C12,'[1]FC3 Prod'!$A$6:$BP$36,[2]Consolidated!AB$1)</f>
        <v>15.001250000000001</v>
      </c>
      <c r="AC12" s="31"/>
      <c r="AD12" s="38">
        <f>VLOOKUP($B12&amp;$C12,'[1]FC3 Prod'!$A$6:$BP$36,[2]Consolidated!AD$1)</f>
        <v>688.23368509024351</v>
      </c>
      <c r="AE12" s="38">
        <f>VLOOKUP($B12&amp;$C12,'[1]FC3 Prod'!$A$6:$BP$36,[2]Consolidated!AE$1)</f>
        <v>676.03250962594825</v>
      </c>
      <c r="AF12" s="39">
        <f>VLOOKUP($B12&amp;$C12,'[1]FC3 Prod'!$A$6:$BP$36,[2]Consolidated!AF$1)</f>
        <v>0.86789198631229225</v>
      </c>
      <c r="AG12" s="39">
        <f>VLOOKUP($B12&amp;$C12,'[1]FC3 Prod'!$A$6:$BP$36,[2]Consolidated!AG$1)</f>
        <v>0.88355588155145925</v>
      </c>
      <c r="AH12" s="34">
        <f>VLOOKUP($B12&amp;$C12,'[1]FC3 Prod'!$A$6:$BP$36,[2]Consolidated!AH$1)</f>
        <v>355.77628825529689</v>
      </c>
      <c r="AI12" s="33">
        <f>VLOOKUP($B12&amp;$C12,'[1]FC3 Prod'!$A$6:$BP$36,[2]Consolidated!AI$1)</f>
        <v>385.61301987967562</v>
      </c>
      <c r="AJ12" s="39">
        <f>VLOOKUP($B12&amp;$C12,'[1]FC3 Prod'!$A$6:$BP$36,[2]Consolidated!AJ$1)</f>
        <v>0.62153667281285829</v>
      </c>
      <c r="AK12" s="39">
        <f>VLOOKUP($B12&amp;$C12,'[1]FC3 Prod'!$A$6:$BP$36,[2]Consolidated!AK$1)</f>
        <v>0.45740917765332079</v>
      </c>
      <c r="AL12" s="40" t="str">
        <f>VLOOKUP($B12&amp;$C12,'[1]FC3 Prod'!$A$6:$BP$36,[2]Consolidated!AL$1)</f>
        <v>25/50</v>
      </c>
      <c r="AM12" s="41">
        <f>VLOOKUP($B12&amp;$C12,'[1]FC3 Prod'!$A$6:$BP$36,[2]Consolidated!AM$1)</f>
        <v>3.5574156421658391E-2</v>
      </c>
      <c r="AN12" s="42">
        <f>VLOOKUP($B12&amp;$C12,'[1]FC3 Prod'!$A$6:$BP$36,[2]Consolidated!AN$1)</f>
        <v>146.4</v>
      </c>
      <c r="AO12" s="43">
        <f>VLOOKUP($B12&amp;$C12,'[1]FC3 Prod'!$A$6:$BP$36,[2]Consolidated!AO$1)</f>
        <v>6.5069999999999997</v>
      </c>
      <c r="AP12" s="44">
        <f>VLOOKUP($B12&amp;$C12,'[1]FC3 Prod'!$A$6:$BP$36,[2]Consolidated!AP$1)</f>
        <v>3.9996599529165584</v>
      </c>
      <c r="AQ12" s="44">
        <f>VLOOKUP($B12&amp;$C12,'[1]FC3 Prod'!$A$6:$BP$36,[2]Consolidated!AQ$1)</f>
        <v>29.574343273180837</v>
      </c>
      <c r="AR12" s="45">
        <f>VLOOKUP($B12&amp;$C12,'[1]FC3 Prod'!$A$6:$BP$36,[2]Consolidated!AR$1)</f>
        <v>1.0000000000000002</v>
      </c>
      <c r="AS12" s="46">
        <f>VLOOKUP($B12&amp;$C12,'[1]FC3 Prod'!$A$6:$BP$36,[2]Consolidated!AS$1)</f>
        <v>2.25</v>
      </c>
      <c r="AT12" s="29">
        <f>VLOOKUP($B12&amp;$C12,'[1]FC3 Prod'!$A$6:$BP$36,[2]Consolidated!AT$1)</f>
        <v>0.79896074014058238</v>
      </c>
      <c r="AU12" s="34">
        <f>VLOOKUP($B12&amp;$C12,'[1]FC3 Prod'!$A$6:$BP$36,[2]Consolidated!AU$1)</f>
        <v>530.39726027397262</v>
      </c>
      <c r="AV12" s="34">
        <f>VLOOKUP($B12&amp;$C12,'[1]FC3 Prod'!$A$6:$BP$36,[2]Consolidated!AV$1)</f>
        <v>341.66666666666669</v>
      </c>
      <c r="AW12" s="47">
        <f>VLOOKUP($B12&amp;$C12,'[1]FC3 Prod'!$A$6:$BP$36,[2]Consolidated!AW$1)</f>
        <v>26940.996599529168</v>
      </c>
      <c r="AX12" s="47">
        <f>VLOOKUP($B12&amp;$C12,'[1]FC3 Prod'!$A$6:$BP$36,[2]Consolidated!AX$1)</f>
        <v>8318.212398639811</v>
      </c>
      <c r="AY12" s="48">
        <f>VLOOKUP($B12&amp;$C12,'[1]FC3 Prod'!$A$6:$BP$36,[2]Consolidated!AY$1)</f>
        <v>664.5827883860843</v>
      </c>
      <c r="AZ12" s="47">
        <f>VLOOKUP($B12&amp;$C12,'[1]FC3 Prod'!$A$6:$BP$36,[2]Consolidated!AZ$1)</f>
        <v>1591.084227046822</v>
      </c>
      <c r="BA12" s="47">
        <f>VLOOKUP($B12&amp;$C12,'[1]FC3 Prod'!$A$6:$BP$36,[2]Consolidated!BA$1)</f>
        <v>23398.010724561867</v>
      </c>
      <c r="BB12" s="47">
        <f>VLOOKUP($B12&amp;$C12,'[1]FC3 Prod'!$A$6:$BP$36,[2]Consolidated!BB$1)</f>
        <v>609.12886738163752</v>
      </c>
      <c r="BC12" s="47">
        <f>VLOOKUP($B12&amp;$C12,'[1]FC3 Prod'!$A$6:$BP$36,[2]Consolidated!BC$1)</f>
        <v>7599.3539105414611</v>
      </c>
      <c r="BD12" s="49">
        <f>VLOOKUP($B12&amp;$C12,'[1]FC3 Prod'!$A$6:$BP$36,[2]Consolidated!BD$1)</f>
        <v>69121.369516086852</v>
      </c>
      <c r="BE12" s="47">
        <f>VLOOKUP($B12&amp;$C12,'[1]FC3 Prod'!$A$6:$BP$36,[2]Consolidated!BE$1)</f>
        <v>26265.964295056245</v>
      </c>
      <c r="BF12" s="47">
        <f>VLOOKUP($B12&amp;$C12,'[1]FC3 Prod'!$A$6:$BP$36,[2]Consolidated!BF$1)</f>
        <v>9075.9357049437622</v>
      </c>
      <c r="BG12" s="50">
        <f>VLOOKUP($B12&amp;$C12,'[1]FC3 Prod'!$A$6:$BP$36,[2]Consolidated!BG$1)</f>
        <v>1076.8924928066963</v>
      </c>
      <c r="BH12" s="50">
        <f>VLOOKUP($B12&amp;$C12,'[1]FC3 Prod'!$A$6:$BP$36,[2]Consolidated!BH$1)</f>
        <v>614.07887444415394</v>
      </c>
      <c r="BI12" s="50">
        <f>VLOOKUP($B12&amp;$C12,'[1]FC3 Prod'!$A$6:$BP$36,[2]Consolidated!BI$1)</f>
        <v>69621.320229401012</v>
      </c>
      <c r="BJ12" s="37" t="e">
        <f>VLOOKUP($B12&amp;$C12,'[1]FC3 Prod'!$A$6:$BP$36,[2]Consolidated!BJ$1)</f>
        <v>#REF!</v>
      </c>
      <c r="BK12" s="37" t="e">
        <f>VLOOKUP($B12&amp;$C12,'[1]FC3 Prod'!$A$6:$BP$36,[2]Consolidated!BK$1)</f>
        <v>#REF!</v>
      </c>
      <c r="BL12" s="37" t="e">
        <f>VLOOKUP($B12&amp;$C12,'[1]FC3 Prod'!$A$6:$BP$36,[2]Consolidated!BL$1)</f>
        <v>#REF!</v>
      </c>
      <c r="BM12" s="37" t="e">
        <f>VLOOKUP($B12&amp;$C12,'[1]FC3 Prod'!$A$6:$BP$36,[2]Consolidated!BM$1)</f>
        <v>#REF!</v>
      </c>
      <c r="BN12" s="37" t="e">
        <f>VLOOKUP($B12&amp;$C12,'[1]FC3 Prod'!$A$6:$BP$36,[2]Consolidated!BN$1)</f>
        <v>#REF!</v>
      </c>
      <c r="BO12" s="37" t="e">
        <f>VLOOKUP($B12&amp;$C12,'[1]FC3 Prod'!$A$6:$BP$36,[2]Consolidated!BO$1)</f>
        <v>#REF!</v>
      </c>
      <c r="BP12" s="37" t="str">
        <f>VLOOKUP($B12&amp;$C12,'[1]FC3 Prod'!$A$6:$BP$36,[2]Consolidated!BP$1)</f>
        <v>NIL</v>
      </c>
      <c r="BQ12" s="51" t="e">
        <f>VLOOKUP($B12&amp;$C12,'[1]FC3 Prod'!$A$6:$BP$36,[2]Consolidated!BQ$1)</f>
        <v>#REF!</v>
      </c>
      <c r="BR12" s="51">
        <f>VLOOKUP($B12&amp;$C12,'[1]FC3 Prod'!$A$6:$BQ$36,[2]Consolidated!BR$1)</f>
        <v>60369</v>
      </c>
      <c r="BS12" s="52">
        <f t="shared" si="9"/>
        <v>59816.803217368579</v>
      </c>
      <c r="BT12" s="32">
        <f t="shared" ref="BT12:BT13" si="11">BR12-BS12</f>
        <v>552.19678263142123</v>
      </c>
      <c r="BU12" s="37">
        <f t="shared" ref="BU12:BU13" si="12">E12*BT12</f>
        <v>21110.482999999233</v>
      </c>
      <c r="BV12" s="53" t="s">
        <v>130</v>
      </c>
      <c r="BW12" s="54" cm="1">
        <f t="array" ref="BW12">IFERROR(VLOOKUP($A12,TRANSPOSE('[1]Fur 3 PLC'!$AS$1:$BX$38),8,0),0)</f>
        <v>900.88935391054156</v>
      </c>
      <c r="BX12" s="54" cm="1">
        <f t="array" ref="BX12">IFERROR(VLOOKUP($A12,TRANSPOSE('[1]Fur 3 PLC'!$AS$1:$BX$38),30,0),0)</f>
        <v>0</v>
      </c>
      <c r="BY12" s="54" cm="1">
        <f t="array" ref="BY12">IFERROR(VLOOKUP($A12,TRANSPOSE('[1]Fur 3 PLC'!$AS$1:$BX$38),14,0),0)</f>
        <v>0</v>
      </c>
      <c r="BZ12" s="54" cm="1">
        <f t="array" ref="BZ12">IFERROR(VLOOKUP($A12,TRANSPOSE('[1]Fur 3 PLC'!$AS$1:$BX$38),16,0),0)</f>
        <v>0</v>
      </c>
      <c r="CA12" s="54" cm="1">
        <f t="array" ref="CA12">IFERROR(VLOOKUP($A12,TRANSPOSE('[1]Fur 3 PLC'!$AS$1:$BX$38),9,0),0)</f>
        <v>406.82709913680361</v>
      </c>
      <c r="CB12" s="54" cm="1">
        <f t="array" ref="CB12">IFERROR(VLOOKUP($A12,TRANSPOSE('[1]Fur 3 PLC'!$AS$1:$BX$38),17,0),0)</f>
        <v>0</v>
      </c>
      <c r="CC12" s="54" cm="1">
        <f t="array" ref="CC12">IFERROR(VLOOKUP($A12,TRANSPOSE('[1]Fur 3 PLC'!$AS$1:$BX$38),20,0),0)</f>
        <v>48.522103060423753</v>
      </c>
      <c r="CD12" s="54" cm="1">
        <f t="array" ref="CD12">IFERROR(VLOOKUP($A12,TRANSPOSE('[1]Fur 3 PLC'!$AS$1:$BX$38),28,0),0)</f>
        <v>0</v>
      </c>
      <c r="CE12" s="54" cm="1">
        <f t="array" ref="CE12">IFERROR(VLOOKUP($A12,TRANSPOSE('[1]Fur 3 PLC'!$AS$1:$BX$38),13,0),0)</f>
        <v>0</v>
      </c>
      <c r="CF12" s="54" cm="1">
        <f t="array" ref="CF12">IFERROR(VLOOKUP($A12,TRANSPOSE('[1]Fur 3 PLC'!$AS$1:$BX$38),37,0),0)</f>
        <v>398.84907140988753</v>
      </c>
      <c r="CG12" s="54" cm="1">
        <f t="array" ref="CG12">IFERROR(VLOOKUP($A12,TRANSPOSE('[1]Fur 3 PLC'!$AS$1:$BX$38),6,0),0)</f>
        <v>0</v>
      </c>
      <c r="CH12" s="54" cm="1">
        <f t="array" ref="CH12">IFERROR(VLOOKUP($A12,TRANSPOSE('[1]Fur 3 PLC'!$AS$1:$BX$38),21,0),0)</f>
        <v>0</v>
      </c>
      <c r="CI12" s="54" cm="1">
        <f t="array" ref="CI12">IFERROR(VLOOKUP($A12,TRANSPOSE('[1]Fur 3 PLC'!$AS$1:$BX$38),12,0),0)</f>
        <v>0</v>
      </c>
      <c r="CJ12" s="54" cm="1">
        <f t="array" ref="CJ12">IFERROR(VLOOKUP($A12,TRANSPOSE('[1]Fur 3 PLC'!$AS$1:$BX$38),25,0),0)</f>
        <v>0</v>
      </c>
      <c r="CK12" s="54" cm="1">
        <f t="array" ref="CK12">IFERROR(VLOOKUP($A12,TRANSPOSE('[1]Fur 3 PLC'!$AS$1:$BX$38),26,0),0)</f>
        <v>354.77373790217109</v>
      </c>
      <c r="CL12" s="54" cm="1">
        <f t="array" ref="CL12">IFERROR(VLOOKUP($A12,TRANSPOSE('[1]Fur 3 PLC'!$AS$1:$BX$38),27,0),0)</f>
        <v>154.87836777399949</v>
      </c>
      <c r="CM12" s="54" cm="1">
        <f t="array" ref="CM12">IFERROR(VLOOKUP($A12,TRANSPOSE('[1]Fur 3 PLC'!$AS$1:$BX$38),22,0),0)</f>
        <v>0</v>
      </c>
      <c r="CN12" s="54"/>
      <c r="CO12" s="54" cm="1">
        <f t="array" ref="CO12">IFERROR(VLOOKUP($A12,TRANSPOSE('[1]Fur 3 PLC'!$AS$1:$BX$38),29,0),0)</f>
        <v>129.29636411195398</v>
      </c>
      <c r="CP12" s="54" cm="1">
        <f t="array" ref="CP12">IFERROR(VLOOKUP($A12,TRANSPOSE('[1]Fur 3 PLC'!$AS$1:$BX$38),10,0),0)</f>
        <v>0</v>
      </c>
      <c r="CQ12" s="54" cm="1">
        <f t="array" ref="CQ12">IFERROR(VLOOKUP($A12,TRANSPOSE('[1]Fur 3 PLC'!$AS$1:$BX$38),7,0),0)</f>
        <v>213.0002615746796</v>
      </c>
      <c r="CR12" s="54" cm="1">
        <f t="array" ref="CR12">IFERROR(VLOOKUP($A12,TRANSPOSE('[1]Fur 3 PLC'!$AS$1:$BX$38),35,0),0)</f>
        <v>0</v>
      </c>
      <c r="CS12" s="54" cm="1">
        <f t="array" ref="CS12">IFERROR(VLOOKUP($A12,TRANSPOSE('[1]Fur 3 PLC'!$AS$1:$BX$38),11,0),0)</f>
        <v>0</v>
      </c>
      <c r="CT12" s="54" cm="1">
        <f t="array" ref="CT12">IFERROR(VLOOKUP($A12,TRANSPOSE('[1]Fur 3 PLC'!$AS$1:$BX$38),19,0),0)</f>
        <v>0</v>
      </c>
      <c r="CU12" s="54" cm="1">
        <f t="array" ref="CU12">IFERROR(VLOOKUP($A12,TRANSPOSE('[1]Fur 3 PLC'!$AS$1:$BX$38),18,0),0)</f>
        <v>329.4794663876537</v>
      </c>
      <c r="CV12" s="54" cm="1">
        <f t="array" ref="CV12">IFERROR(VLOOKUP($A12,TRANSPOSE('[1]Fur 3 PLC'!$AR$1:$BV$38),15,0),0)</f>
        <v>387.15668323306306</v>
      </c>
      <c r="CW12" s="54" cm="1">
        <f t="array" ref="CW12">IFERROR(VLOOKUP($A12,TRANSPOSE('[1]Fur 3 PLC'!$CK$1:$DO$38),8,0),0)</f>
        <v>465.41891891891896</v>
      </c>
      <c r="CX12" s="54" cm="1">
        <f t="array" ref="CX12">IFERROR(VLOOKUP($A12,TRANSPOSE('[1]Fur 3 PLC'!$CK$1:$DO$38),30,0),0)</f>
        <v>0</v>
      </c>
      <c r="CY12" s="54" cm="1">
        <f t="array" ref="CY12">IFERROR(VLOOKUP($A12,TRANSPOSE('[1]Fur 3 PLC'!$CK$1:$DO$38),14,0),0)</f>
        <v>0</v>
      </c>
      <c r="CZ12" s="54" cm="1">
        <f t="array" ref="CZ12">IFERROR(VLOOKUP($A12,TRANSPOSE('[1]Fur 3 PLC'!$CK$1:$DO$38),16,0),0)</f>
        <v>0</v>
      </c>
      <c r="DA12" s="54" cm="1">
        <f t="array" ref="DA12">IFERROR(VLOOKUP($A12,TRANSPOSE('[1]Fur 3 PLC'!$CK$1:$DO$38),9,0),0)</f>
        <v>210.17567567567568</v>
      </c>
      <c r="DB12" s="55" cm="1">
        <f t="array" ref="DB12">IFERROR(VLOOKUP($A12,TRANSPOSE('[1]Fur 3 PLC'!$CK$1:$DO$38),17,0),0)</f>
        <v>0</v>
      </c>
      <c r="DC12" s="55" cm="1">
        <f t="array" ref="DC12">IFERROR(VLOOKUP($A12,TRANSPOSE('[1]Fur 3 PLC'!$CK$1:$DO$38),20,0),0)</f>
        <v>25.067567567567568</v>
      </c>
      <c r="DD12" s="54" cm="1">
        <f t="array" ref="DD12">IFERROR(VLOOKUP($A12,TRANSPOSE('[1]Fur 3 PLC'!$CK$1:$DO$38),28,0),0)</f>
        <v>0</v>
      </c>
      <c r="DE12" s="54" cm="1">
        <f t="array" ref="DE12">IFERROR(VLOOKUP($A12,TRANSPOSE('[1]Fur 3 PLC'!$CK$1:$DO$38),13,0),0)</f>
        <v>0</v>
      </c>
      <c r="DF12" s="54" cm="1">
        <f t="array" ref="DF12">IFERROR(VLOOKUP($A12,TRANSPOSE('[1]Fur 3 PLC'!$CK$1:$DO$38),37,0),0)</f>
        <v>206.05405405405406</v>
      </c>
      <c r="DG12" s="54" cm="1">
        <f t="array" ref="DG12">IFERROR(VLOOKUP($A12,TRANSPOSE('[1]Fur 3 PLC'!$CK$1:$DO$38),6,0),0)</f>
        <v>0</v>
      </c>
      <c r="DH12" s="54" cm="1">
        <f t="array" ref="DH12">IFERROR(VLOOKUP($A12,TRANSPOSE('[1]Fur 3 PLC'!$CK$1:$DO$38),21,0),0)</f>
        <v>0</v>
      </c>
      <c r="DI12" s="54" cm="1">
        <f t="array" ref="DI12">IFERROR(VLOOKUP($A12,TRANSPOSE('[1]Fur 3 PLC'!$CK$1:$DO$38),12,0),0)</f>
        <v>0</v>
      </c>
      <c r="DJ12" s="54" cm="1">
        <f t="array" ref="DJ12">IFERROR(VLOOKUP($A12,TRANSPOSE('[1]Fur 3 PLC'!$CK$1:$DO$38),25,0),0)</f>
        <v>0</v>
      </c>
      <c r="DK12" s="54" cm="1">
        <f t="array" ref="DK12">IFERROR(VLOOKUP($A12,TRANSPOSE('[1]Fur 3 PLC'!$CK$1:$DO$38),26,0),0)</f>
        <v>183.2837837837838</v>
      </c>
      <c r="DL12" s="54" cm="1">
        <f t="array" ref="DL12">IFERROR(VLOOKUP($A12,TRANSPOSE('[1]Fur 3 PLC'!$CK$1:$DO$38),27,0),0)</f>
        <v>80.013513513513516</v>
      </c>
      <c r="DM12" s="54" cm="1">
        <f t="array" ref="DM12">IFERROR(VLOOKUP($A12,TRANSPOSE('[1]Fur 3 PLC'!$CK$1:$DO$38),22,0),0)</f>
        <v>0</v>
      </c>
      <c r="DN12" s="54" cm="1">
        <f t="array" ref="DN12">IFERROR(VLOOKUP($A12,TRANSPOSE('[1]Fur 3 PLC'!$CK$1:$DO$38),19,0),0)</f>
        <v>0</v>
      </c>
      <c r="DO12" s="54" cm="1">
        <f t="array" ref="DO12">IFERROR(VLOOKUP($A12,TRANSPOSE('[1]Fur 3 PLC'!$CK$1:$DO$38),29,0),0)</f>
        <v>66.797297297297291</v>
      </c>
      <c r="DP12" s="54" cm="1">
        <f t="array" ref="DP12">IFERROR(VLOOKUP($A12,TRANSPOSE('[1]Fur 3 PLC'!$CK$1:$DO$38),10,0),0)</f>
        <v>0</v>
      </c>
      <c r="DQ12" s="54" cm="1">
        <f t="array" ref="DQ12">IFERROR(VLOOKUP($A12,TRANSPOSE('[1]Fur 3 PLC'!$CK$1:$DO$38),7,0),0)</f>
        <v>110.04054054054055</v>
      </c>
      <c r="DR12" s="54" cm="1">
        <f t="array" ref="DR12">IFERROR(VLOOKUP($A12,TRANSPOSE('[1]Fur 3 PLC'!$CK$1:$DO$38),35,0),0)</f>
        <v>0</v>
      </c>
      <c r="DS12" s="54" cm="1">
        <f t="array" ref="DS12">IFERROR(VLOOKUP($A12,TRANSPOSE('[1]Fur 3 PLC'!$CK$1:$DO$38),11,0),0)</f>
        <v>0</v>
      </c>
      <c r="DT12" s="54" cm="1">
        <f t="array" ref="DT12">IFERROR(VLOOKUP($A12,TRANSPOSE('[1]Fur 3 PLC'!$CK$1:$DO$38),19,0),0)</f>
        <v>0</v>
      </c>
      <c r="DU12" s="54" cm="1">
        <f t="array" ref="DU12">IFERROR(VLOOKUP($A12,TRANSPOSE('[1]Fur 3 PLC'!$CK$1:$DO$38),18,0),0)</f>
        <v>170.21621621621622</v>
      </c>
      <c r="DV12" s="54" cm="1">
        <f t="array" ref="DV12">IFERROR(VLOOKUP($A12,TRANSPOSE('[1]Fur 3 PLC'!$CK$1:$DO$38),15,0),0)</f>
        <v>200.01351351351352</v>
      </c>
      <c r="DW12" t="str">
        <f t="shared" si="10"/>
        <v>Dec-25</v>
      </c>
    </row>
    <row r="13" spans="1:127" x14ac:dyDescent="0.3">
      <c r="A13" s="28" t="str">
        <f t="shared" si="1"/>
        <v>F445994</v>
      </c>
      <c r="B13" s="29" t="s">
        <v>29</v>
      </c>
      <c r="C13" s="30">
        <f>C12</f>
        <v>45994</v>
      </c>
      <c r="D13" s="29" t="str">
        <f>VLOOKUP($B13&amp;$C13,'[1]FC4 Prod'!$A$6:$BP$36,[2]Consolidated!D$1)</f>
        <v>Mr.Ganesh Ghosh Ji</v>
      </c>
      <c r="E13" s="29">
        <f>VLOOKUP($B13&amp;$C13,'[1]FC4 Prod'!$A$6:$BP$36,[2]Consolidated!E$1)</f>
        <v>51.314999999999998</v>
      </c>
      <c r="F13" s="31">
        <f>VLOOKUP($B13&amp;$C13,'[1]FC4 Prod'!$A$6:$BP$36,[2]Consolidated!F$1)</f>
        <v>0.45000000000000284</v>
      </c>
      <c r="G13" s="32">
        <f>VLOOKUP($B13&amp;$C13,'[1]FC4 Prod'!$A$6:$BP$36,[2]Consolidated!G$1)</f>
        <v>51.765000000000001</v>
      </c>
      <c r="H13" s="32">
        <f>VLOOKUP($B13&amp;$C13,'[1]FC4 Prod'!$A$6:$BP$36,[2]Consolidated!H$1)</f>
        <v>21.34</v>
      </c>
      <c r="I13" s="32">
        <f>VLOOKUP($B13&amp;$C13,'[1]FC4 Prod'!$A$6:$BP$36,[2]Consolidated!I$1)</f>
        <v>10.84</v>
      </c>
      <c r="J13" s="32">
        <f>VLOOKUP($B13&amp;$C13,'[1]FC4 Prod'!$A$6:$BP$36,[2]Consolidated!J$1)</f>
        <v>40.880000000000003</v>
      </c>
      <c r="K13" s="32">
        <f>VLOOKUP($B13&amp;$C13,'[1]FC4 Prod'!$A$6:$BP$36,[2]Consolidated!K$1)</f>
        <v>1.41</v>
      </c>
      <c r="L13" s="32">
        <f>VLOOKUP($B13&amp;$C13,'[1]FC4 Prod'!$A$6:$BP$36,[2]Consolidated!L$1)</f>
        <v>22.42</v>
      </c>
      <c r="M13" s="32">
        <f>VLOOKUP($B13&amp;$C13,'[1]FC4 Prod'!$A$6:$BP$36,[2]Consolidated!M$1)</f>
        <v>4.5999999999999996</v>
      </c>
      <c r="N13" s="32">
        <f>VLOOKUP($B13&amp;$C13,'[1]FC4 Prod'!$A$6:$BP$36,[2]Consolidated!N$1)</f>
        <v>16.32</v>
      </c>
      <c r="O13" s="32">
        <f>VLOOKUP($B13&amp;$C13,'[1]FC4 Prod'!$A$6:$BP$36,[2]Consolidated!O$1)</f>
        <v>0.66</v>
      </c>
      <c r="P13" s="33">
        <f>VLOOKUP($B13&amp;$C13,'[1]FC4 Prod'!$A$6:$BP$36,[2]Consolidated!P$1)</f>
        <v>8</v>
      </c>
      <c r="Q13" s="29">
        <f>VLOOKUP($B13&amp;$C13,'[1]FC4 Prod'!$A$6:$BP$36,[2]Consolidated!Q$1)</f>
        <v>95.25800000000001</v>
      </c>
      <c r="R13" s="29">
        <f>VLOOKUP($B13&amp;$C13,'[1]FC4 Prod'!$A$6:$BP$36,[2]Consolidated!R$1)</f>
        <v>30.806999999999999</v>
      </c>
      <c r="S13" s="34">
        <f>VLOOKUP($B13&amp;$C13,'[1]FC4 Prod'!$A$6:$BP$36,[2]Consolidated!S$1)</f>
        <v>42</v>
      </c>
      <c r="T13" s="34">
        <f>VLOOKUP($B13&amp;$C13,'[1]FC4 Prod'!$A$6:$BP$36,[2]Consolidated!T$1)</f>
        <v>28</v>
      </c>
      <c r="U13" s="34">
        <f>VLOOKUP($B13&amp;$C13,'[1]FC4 Prod'!$A$6:$BP$36,[2]Consolidated!U$1)</f>
        <v>27</v>
      </c>
      <c r="V13" s="34">
        <f>VLOOKUP($B13&amp;$C13,'[1]FC4 Prod'!$A$6:$BP$36,[2]Consolidated!V$1)</f>
        <v>97</v>
      </c>
      <c r="W13" s="35">
        <f>VLOOKUP($B13&amp;$C13,'[1]FC4 Prod'!$A$6:$BP$36,[2]Consolidated!W$1)</f>
        <v>1.8563383026405538</v>
      </c>
      <c r="X13" s="35">
        <f>VLOOKUP($B13&amp;$C13,'[1]FC4 Prod'!$A$6:$BP$36,[2]Consolidated!X$1)</f>
        <v>53.365000000000002</v>
      </c>
      <c r="Y13" s="36">
        <f>VLOOKUP($B13&amp;$C13,'[1]FC4 Prod'!$A$6:$BP$36,[2]Consolidated!Y$1)</f>
        <v>0.96158530872294568</v>
      </c>
      <c r="Z13" s="37" t="str">
        <f>VLOOKUP($B13&amp;$C13,'[1]FC4 Prod'!$A$6:$BP$36,[2]Consolidated!Z$1)</f>
        <v>40/8</v>
      </c>
      <c r="AA13" s="31">
        <f>VLOOKUP($B13&amp;$C13,'[1]FC4 Prod'!$A$6:$BP$36,[2]Consolidated!AA$1)</f>
        <v>38.143999999999998</v>
      </c>
      <c r="AB13" s="31">
        <f>VLOOKUP($B13&amp;$C13,'[1]FC4 Prod'!$A$6:$BP$36,[2]Consolidated!AB$1)</f>
        <v>7.0400000000000009</v>
      </c>
      <c r="AC13" s="31"/>
      <c r="AD13" s="38">
        <f>VLOOKUP($B13&amp;$C13,'[1]FC4 Prod'!$A$6:$BP$36,[2]Consolidated!AD$1)</f>
        <v>438.5694304979051</v>
      </c>
      <c r="AE13" s="38">
        <f>VLOOKUP($B13&amp;$C13,'[1]FC4 Prod'!$A$6:$BP$36,[2]Consolidated!AE$1)</f>
        <v>435.33524548572541</v>
      </c>
      <c r="AF13" s="39">
        <f>VLOOKUP($B13&amp;$C13,'[1]FC4 Prod'!$A$6:$BP$36,[2]Consolidated!AF$1)</f>
        <v>0.86973686142910955</v>
      </c>
      <c r="AG13" s="39">
        <f>VLOOKUP($B13&amp;$C13,'[1]FC4 Prod'!$A$6:$BP$36,[2]Consolidated!AG$1)</f>
        <v>0.87619829534915827</v>
      </c>
      <c r="AH13" s="34">
        <f>VLOOKUP($B13&amp;$C13,'[1]FC4 Prod'!$A$6:$BP$36,[2]Consolidated!AH$1)</f>
        <v>309.74607970379031</v>
      </c>
      <c r="AI13" s="33">
        <f>VLOOKUP($B13&amp;$C13,'[1]FC4 Prod'!$A$6:$BP$36,[2]Consolidated!AI$1)</f>
        <v>334.26500286465949</v>
      </c>
      <c r="AJ13" s="39">
        <f>VLOOKUP($B13&amp;$C13,'[1]FC4 Prod'!$A$6:$BP$36,[2]Consolidated!AJ$1)</f>
        <v>0.63038227735577557</v>
      </c>
      <c r="AK13" s="39">
        <f>VLOOKUP($B13&amp;$C13,'[1]FC4 Prod'!$A$6:$BP$36,[2]Consolidated!AK$1)</f>
        <v>0.66953526042895273</v>
      </c>
      <c r="AL13" s="40" t="str">
        <f>VLOOKUP($B13&amp;$C13,'[1]FC4 Prod'!$A$6:$BP$36,[2]Consolidated!AL$1)</f>
        <v>25/50</v>
      </c>
      <c r="AM13" s="41">
        <f>VLOOKUP($B13&amp;$C13,'[1]FC4 Prod'!$A$6:$BP$36,[2]Consolidated!AM$1)</f>
        <v>4.9303322615219719E-2</v>
      </c>
      <c r="AN13" s="42">
        <f>VLOOKUP($B13&amp;$C13,'[1]FC4 Prod'!$A$6:$BP$36,[2]Consolidated!AN$1)</f>
        <v>147.80000000000001</v>
      </c>
      <c r="AO13" s="43">
        <f>VLOOKUP($B13&amp;$C13,'[1]FC4 Prod'!$A$6:$BP$36,[2]Consolidated!AO$1)</f>
        <v>6.5069999999999997</v>
      </c>
      <c r="AP13" s="44">
        <f>VLOOKUP($B13&amp;$C13,'[1]FC4 Prod'!$A$6:$BP$36,[2]Consolidated!AP$1)</f>
        <v>3.0070544675046289</v>
      </c>
      <c r="AQ13" s="44">
        <f>VLOOKUP($B13&amp;$C13,'[1]FC4 Prod'!$A$6:$BP$36,[2]Consolidated!AQ$1)</f>
        <v>21.580459177421847</v>
      </c>
      <c r="AR13" s="45">
        <f>VLOOKUP($B13&amp;$C13,'[1]FC4 Prod'!$A$6:$BP$36,[2]Consolidated!AR$1)</f>
        <v>1.0095628415300548</v>
      </c>
      <c r="AS13" s="46">
        <f>VLOOKUP($B13&amp;$C13,'[1]FC4 Prod'!$A$6:$BP$36,[2]Consolidated!AS$1)</f>
        <v>2.1166666666666667</v>
      </c>
      <c r="AT13" s="29">
        <f>VLOOKUP($B13&amp;$C13,'[1]FC4 Prod'!$A$6:$BP$36,[2]Consolidated!AT$1)</f>
        <v>0.79702079424071559</v>
      </c>
      <c r="AU13" s="34">
        <f>VLOOKUP($B13&amp;$C13,'[1]FC4 Prod'!$A$6:$BP$36,[2]Consolidated!AU$1)</f>
        <v>468.42770167427699</v>
      </c>
      <c r="AV13" s="34">
        <f>VLOOKUP($B13&amp;$C13,'[1]FC4 Prod'!$A$6:$BP$36,[2]Consolidated!AV$1)</f>
        <v>216.66666666666666</v>
      </c>
      <c r="AW13" s="47">
        <f>VLOOKUP($B13&amp;$C13,'[1]FC4 Prod'!$A$6:$BP$36,[2]Consolidated!AW$1)</f>
        <v>16246.459904511352</v>
      </c>
      <c r="AX13" s="47">
        <f>VLOOKUP($B13&amp;$C13,'[1]FC4 Prod'!$A$6:$BP$36,[2]Consolidated!AX$1)</f>
        <v>6297.8688492643478</v>
      </c>
      <c r="AY13" s="48">
        <f>VLOOKUP($B13&amp;$C13,'[1]FC4 Prod'!$A$6:$BP$36,[2]Consolidated!AY$1)</f>
        <v>496.69687225957318</v>
      </c>
      <c r="AZ13" s="47">
        <f>VLOOKUP($B13&amp;$C13,'[1]FC4 Prod'!$A$6:$BP$36,[2]Consolidated!AZ$1)</f>
        <v>673.8214946896619</v>
      </c>
      <c r="BA13" s="47">
        <f>VLOOKUP($B13&amp;$C13,'[1]FC4 Prod'!$A$6:$BP$36,[2]Consolidated!BA$1)</f>
        <v>17591.268634902081</v>
      </c>
      <c r="BB13" s="47">
        <f>VLOOKUP($B13&amp;$C13,'[1]FC4 Prod'!$A$6:$BP$36,[2]Consolidated!BB$1)</f>
        <v>413.06115755627019</v>
      </c>
      <c r="BC13" s="47">
        <f>VLOOKUP($B13&amp;$C13,'[1]FC4 Prod'!$A$6:$BP$36,[2]Consolidated!BC$1)</f>
        <v>5713.4034882587948</v>
      </c>
      <c r="BD13" s="49">
        <f>VLOOKUP($B13&amp;$C13,'[1]FC4 Prod'!$A$6:$BP$36,[2]Consolidated!BD$1)</f>
        <v>47432.580401442086</v>
      </c>
      <c r="BE13" s="47">
        <f>VLOOKUP($B13&amp;$C13,'[1]FC4 Prod'!$A$6:$BP$36,[2]Consolidated!BE$1)</f>
        <v>16332.82264445094</v>
      </c>
      <c r="BF13" s="47">
        <f>VLOOKUP($B13&amp;$C13,'[1]FC4 Prod'!$A$6:$BP$36,[2]Consolidated!BF$1)</f>
        <v>7072.9389847023276</v>
      </c>
      <c r="BG13" s="50">
        <f>VLOOKUP($B13&amp;$C13,'[1]FC4 Prod'!$A$6:$BP$36,[2]Consolidated!BG$1)</f>
        <v>412.50803858520908</v>
      </c>
      <c r="BH13" s="50">
        <f>VLOOKUP($B13&amp;$C13,'[1]FC4 Prod'!$A$6:$BP$36,[2]Consolidated!BH$1)</f>
        <v>420.83359797330223</v>
      </c>
      <c r="BI13" s="50">
        <f>VLOOKUP($B13&amp;$C13,'[1]FC4 Prod'!$A$6:$BP$36,[2]Consolidated!BI$1)</f>
        <v>48217.596883562313</v>
      </c>
      <c r="BJ13" s="37" t="e">
        <f>VLOOKUP($B13&amp;$C13,'[1]FC4 Prod'!$A$6:$BP$36,[2]Consolidated!BJ$1)</f>
        <v>#REF!</v>
      </c>
      <c r="BK13" s="37" t="e">
        <f>VLOOKUP($B13&amp;$C13,'[1]FC4 Prod'!$A$6:$BP$36,[2]Consolidated!BK$1)</f>
        <v>#REF!</v>
      </c>
      <c r="BL13" s="37" t="e">
        <f>VLOOKUP($B13&amp;$C13,'[1]FC4 Prod'!$A$6:$BP$36,[2]Consolidated!BL$1)</f>
        <v>#REF!</v>
      </c>
      <c r="BM13" s="37" t="e">
        <f>VLOOKUP($B13&amp;$C13,'[1]FC4 Prod'!$A$6:$BP$36,[2]Consolidated!BM$1)</f>
        <v>#REF!</v>
      </c>
      <c r="BN13" s="37" t="e">
        <f>VLOOKUP($B13&amp;$C13,'[1]FC4 Prod'!$A$6:$BP$36,[2]Consolidated!BN$1)</f>
        <v>#REF!</v>
      </c>
      <c r="BO13" s="37" t="e">
        <f>VLOOKUP($B13&amp;$C13,'[1]FC4 Prod'!$A$6:$BP$36,[2]Consolidated!BO$1)</f>
        <v>#REF!</v>
      </c>
      <c r="BP13" s="37" t="str">
        <f>VLOOKUP($B13&amp;$C13,'[1]FC4 Prod'!$A$6:$BP$36,[2]Consolidated!BP$1)</f>
        <v>NIL</v>
      </c>
      <c r="BQ13" s="51" t="e">
        <f>VLOOKUP($B13&amp;$C13,'[1]FC4 Prod'!$A$6:$BP$36,[2]Consolidated!BQ$1)</f>
        <v>#REF!</v>
      </c>
      <c r="BR13" s="51">
        <f>VLOOKUP($B13&amp;$C13,'[1]FC4 Prod'!$A$6:$BQ$36,[2]Consolidated!BR$1)</f>
        <v>41644</v>
      </c>
      <c r="BS13" s="52">
        <f t="shared" ref="BS13" si="13">BE13+BF13*110%+BG13+BA13</f>
        <v>42116.832201110796</v>
      </c>
      <c r="BT13" s="32">
        <f t="shared" si="11"/>
        <v>-472.83220111079572</v>
      </c>
      <c r="BU13" s="37">
        <f t="shared" si="12"/>
        <v>-24263.384400000483</v>
      </c>
      <c r="BV13" s="53" t="s">
        <v>130</v>
      </c>
      <c r="BW13" s="54" cm="1">
        <f t="array" ref="BW13">IFERROR(VLOOKUP($A13,TRANSPOSE('[1]Fur 4 PLC'!$AR$1:$BV$39),8,0),0)</f>
        <v>0</v>
      </c>
      <c r="BX13" s="54" cm="1">
        <f t="array" ref="BX13">IFERROR(VLOOKUP($A13,TRANSPOSE('[1]Fur 4 PLC'!$AR$1:$BV$39),30,0),0)</f>
        <v>0</v>
      </c>
      <c r="BY13" s="54" cm="1">
        <f t="array" ref="BY13">IFERROR(VLOOKUP($A13,TRANSPOSE('[1]Fur 4 PLC'!$AR$1:$BV$39),14,0),0)</f>
        <v>0</v>
      </c>
      <c r="BZ13" s="54" cm="1">
        <f t="array" ref="BZ13">IFERROR(VLOOKUP($A13,TRANSPOSE('[1]Fur 4 PLC'!$AR$1:$BV$39),16,0),0)</f>
        <v>0</v>
      </c>
      <c r="CA13" s="54" cm="1">
        <f t="array" ref="CA13">IFERROR(VLOOKUP($A13,TRANSPOSE('[1]Fur 4 PLC'!$AR$1:$BV$39),9,0),0)</f>
        <v>0</v>
      </c>
      <c r="CB13" s="54" cm="1">
        <f t="array" ref="CB13">IFERROR(VLOOKUP($A13,TRANSPOSE('[1]Fur 4 PLC'!$AR$1:$BV$39),17,0),0)</f>
        <v>0</v>
      </c>
      <c r="CC13" s="54" cm="1">
        <f t="array" ref="CC13">IFERROR(VLOOKUP($A13,TRANSPOSE('[1]Fur 4 PLC'!$AR$1:$BV$39),20,0),0)</f>
        <v>1457.1567767709248</v>
      </c>
      <c r="CD13" s="54" cm="1">
        <f t="array" ref="CD13">IFERROR(VLOOKUP($A13,TRANSPOSE('[1]Fur 4 PLC'!$AR$1:$BV$39),28,0),0)</f>
        <v>0</v>
      </c>
      <c r="CE13" s="54" cm="1">
        <f t="array" ref="CE13">IFERROR(VLOOKUP($A13,TRANSPOSE('[1]Fur 4 PLC'!$AR$1:$BV$39),13,0),0)</f>
        <v>94.767611809412472</v>
      </c>
      <c r="CF13" s="54" cm="1">
        <f t="array" ref="CF13">IFERROR(VLOOKUP($A13,TRANSPOSE('[1]Fur 4 PLC'!$AR$1:$BV$39),37,0),0)</f>
        <v>5.4370067231803567</v>
      </c>
      <c r="CG13" s="54" cm="1">
        <f t="array" ref="CG13">IFERROR(VLOOKUP($A13,TRANSPOSE('[1]Fur 4 PLC'!$AR$1:$BV$39),6,0),0)</f>
        <v>0</v>
      </c>
      <c r="CH13" s="54" cm="1">
        <f t="array" ref="CH13">IFERROR(VLOOKUP($A13,TRANSPOSE('[1]Fur 4 PLC'!$AR$1:$BV$39),21,0),0)</f>
        <v>0</v>
      </c>
      <c r="CI13" s="54" cm="1">
        <f t="array" ref="CI13">IFERROR(VLOOKUP($A13,TRANSPOSE('[1]Fur 4 PLC'!$AR$1:$BV$39),12,0),0)</f>
        <v>0</v>
      </c>
      <c r="CJ13" s="54" cm="1">
        <f t="array" ref="CJ13">IFERROR(VLOOKUP($A13,TRANSPOSE('[1]Fur 4 PLC'!$AR$1:$BV$39),25,0),0)</f>
        <v>123.27779401734387</v>
      </c>
      <c r="CK13" s="54" cm="1">
        <f t="array" ref="CK13">IFERROR(VLOOKUP($A13,TRANSPOSE('[1]Fur 4 PLC'!$AR$1:$BV$39),26,0),0)</f>
        <v>350.30692779888921</v>
      </c>
      <c r="CL13" s="54" cm="1">
        <f t="array" ref="CL13">IFERROR(VLOOKUP($A13,TRANSPOSE('[1]Fur 4 PLC'!$AR$1:$BV$39),27,0),0)</f>
        <v>0</v>
      </c>
      <c r="CM13" s="54" cm="1">
        <f t="array" ref="CM13">IFERROR(VLOOKUP($A13,TRANSPOSE('[1]Fur 4 PLC'!$AR$1:$BV$39),22,0),0)</f>
        <v>0</v>
      </c>
      <c r="CN13" s="54"/>
      <c r="CO13" s="54" cm="1">
        <f t="array" ref="CO13">IFERROR(VLOOKUP($A13,TRANSPOSE('[1]Fur 4 PLC'!$AR$1:$BV$39),29,0),0)</f>
        <v>126.7660528110689</v>
      </c>
      <c r="CP13" s="54" cm="1">
        <f t="array" ref="CP13">IFERROR(VLOOKUP($A13,TRANSPOSE('[1]Fur 4 PLC'!$AR$1:$BV$39),10,0),0)</f>
        <v>0</v>
      </c>
      <c r="CQ13" s="54" cm="1">
        <f t="array" ref="CQ13">IFERROR(VLOOKUP($A13,TRANSPOSE('[1]Fur 4 PLC'!$AR$1:$BV$39),7,0),0)</f>
        <v>160.92760401442072</v>
      </c>
      <c r="CR13" s="54" cm="1">
        <f t="array" ref="CR13">IFERROR(VLOOKUP($A13,TRANSPOSE('[1]Fur 4 PLC'!$AR$1:$BV$39),36,0),0)</f>
        <v>170.63236870310828</v>
      </c>
      <c r="CS13" s="54" cm="1">
        <f t="array" ref="CS13">IFERROR(VLOOKUP($A13,TRANSPOSE('[1]Fur 4 PLC'!$AR$1:$BV$39),11,0),0)</f>
        <v>0</v>
      </c>
      <c r="CT13" s="54" cm="1">
        <f t="array" ref="CT13">IFERROR(VLOOKUP($A13,TRANSPOSE('[1]Fur 4 PLC'!$AR$1:$BV$39),19,0),0)</f>
        <v>0</v>
      </c>
      <c r="CU13" s="54" cm="1">
        <f t="array" ref="CU13">IFERROR(VLOOKUP($A13,TRANSPOSE('[1]Fur 4 PLC'!$AR$1:$BV$39),18,0),0)</f>
        <v>304.41391406021631</v>
      </c>
      <c r="CV13" s="54" cm="1">
        <f t="array" ref="CV13">IFERROR(VLOOKUP($A13,TRANSPOSE('[1]Fur 4 PLC'!$AR$1:$BV$38),15,0),0)</f>
        <v>0</v>
      </c>
      <c r="CW13" s="54" cm="1">
        <f t="array" ref="CW13">IFERROR(VLOOKUP($A13,TRANSPOSE('[1]Fur 4 PLC'!$CK$1:$DO$39),8,0),0)</f>
        <v>0</v>
      </c>
      <c r="CX13" s="54" cm="1">
        <f t="array" ref="CX13">IFERROR(VLOOKUP($A13,TRANSPOSE('[1]Fur 4 PLC'!$CK$1:$DO$39),30,0),0)</f>
        <v>0</v>
      </c>
      <c r="CY13" s="54" cm="1">
        <f t="array" ref="CY13">IFERROR(VLOOKUP($A13,TRANSPOSE('[1]Fur 4 PLC'!$CK$1:$DO$39),14,0),0)</f>
        <v>0</v>
      </c>
      <c r="CZ13" s="54" cm="1">
        <f t="array" ref="CZ13">IFERROR(VLOOKUP($A13,TRANSPOSE('[1]Fur 4 PLC'!$CK$1:$DO$39),16,0),0)</f>
        <v>0</v>
      </c>
      <c r="DA13" s="54" cm="1">
        <f t="array" ref="DA13">IFERROR(VLOOKUP($A13,TRANSPOSE('[1]Fur 4 PLC'!$CK$1:$DO$39),9,0),0)</f>
        <v>0</v>
      </c>
      <c r="DB13" s="55" cm="1">
        <f t="array" ref="DB13">IFERROR(VLOOKUP($A13,TRANSPOSE('[1]Fur 4 PLC'!$CK$1:$DO$39),17,0),0)</f>
        <v>0</v>
      </c>
      <c r="DC13" s="55" cm="1">
        <f t="array" ref="DC13">IFERROR(VLOOKUP($A13,TRANSPOSE('[1]Fur 4 PLC'!$CK$1:$DO$39),20,0),0)</f>
        <v>770.86597938144325</v>
      </c>
      <c r="DD13" s="54" cm="1">
        <f t="array" ref="DD13">IFERROR(VLOOKUP($A13,TRANSPOSE('[1]Fur 4 PLC'!$CK$1:$DO$39),28,0),0)</f>
        <v>0</v>
      </c>
      <c r="DE13" s="54" cm="1">
        <f t="array" ref="DE13">IFERROR(VLOOKUP($A13,TRANSPOSE('[1]Fur 4 PLC'!$CK$1:$DO$39),13,0),0)</f>
        <v>50.134020618556704</v>
      </c>
      <c r="DF13" s="54" cm="1">
        <f t="array" ref="DF13">IFERROR(VLOOKUP($A13,TRANSPOSE('[1]Fur 4 PLC'!$CK$1:$DO$39),37,0),0)</f>
        <v>2.8762886597938144</v>
      </c>
      <c r="DG13" s="54" cm="1">
        <f t="array" ref="DG13">IFERROR(VLOOKUP($A13,TRANSPOSE('[1]Fur 4 PLC'!$CK$1:$DO$39),6,0),0)</f>
        <v>0</v>
      </c>
      <c r="DH13" s="54" cm="1">
        <f t="array" ref="DH13">IFERROR(VLOOKUP($A13,TRANSPOSE('[1]Fur 4 PLC'!$CK$1:$DO$39),21,0),0)</f>
        <v>0</v>
      </c>
      <c r="DI13" s="54" cm="1">
        <f t="array" ref="DI13">IFERROR(VLOOKUP($A13,TRANSPOSE('[1]Fur 4 PLC'!$CK$1:$DO$39),12,0),0)</f>
        <v>0</v>
      </c>
      <c r="DJ13" s="54" cm="1">
        <f t="array" ref="DJ13">IFERROR(VLOOKUP($A13,TRANSPOSE('[1]Fur 4 PLC'!$CK$1:$DO$39),25,0),0)</f>
        <v>65.216494845360828</v>
      </c>
      <c r="DK13" s="54" cm="1">
        <f t="array" ref="DK13">IFERROR(VLOOKUP($A13,TRANSPOSE('[1]Fur 4 PLC'!$CK$1:$DO$39),26,0),0)</f>
        <v>185.31958762886597</v>
      </c>
      <c r="DL13" s="54" cm="1">
        <f t="array" ref="DL13">IFERROR(VLOOKUP($A13,TRANSPOSE('[1]Fur 4 PLC'!$CK$1:$DO$39),27,0),0)</f>
        <v>0</v>
      </c>
      <c r="DM13" s="54" cm="1">
        <f t="array" ref="DM13">IFERROR(VLOOKUP($A13,TRANSPOSE('[1]Fur 4 PLC'!$CK$1:$DO$39),22,0),0)</f>
        <v>0</v>
      </c>
      <c r="DN13" s="54" cm="1">
        <f t="array" ref="DN13">IFERROR(VLOOKUP($A13,TRANSPOSE('[1]Fur 4 PLC'!$CK$1:$DO$39),19,0),0)</f>
        <v>0</v>
      </c>
      <c r="DO13" s="54" cm="1">
        <f t="array" ref="DO13">IFERROR(VLOOKUP($A13,TRANSPOSE('[1]Fur 4 PLC'!$CK$1:$DO$39),29,0),0)</f>
        <v>67.061855670103085</v>
      </c>
      <c r="DP13" s="54" cm="1">
        <f t="array" ref="DP13">IFERROR(VLOOKUP($A13,TRANSPOSE('[1]Fur 4 PLC'!$CK$1:$DO$39),10,0),0)</f>
        <v>0</v>
      </c>
      <c r="DQ13" s="54" cm="1">
        <f t="array" ref="DQ13">IFERROR(VLOOKUP($A13,TRANSPOSE('[1]Fur 4 PLC'!$CK$1:$DO$39),7,0),0)</f>
        <v>85.13402061855669</v>
      </c>
      <c r="DR13" s="54" cm="1">
        <f t="array" ref="DR13">IFERROR(VLOOKUP($A13,TRANSPOSE('[1]Fur 4 PLC'!$CK$1:$DO$39),36,0),0)</f>
        <v>90.268041237113408</v>
      </c>
      <c r="DS13" s="54" cm="1">
        <f t="array" ref="DS13">IFERROR(VLOOKUP($A13,TRANSPOSE('[1]Fur 4 PLC'!$CK$1:$DO$39),11,0),0)</f>
        <v>0</v>
      </c>
      <c r="DT13" s="54" cm="1">
        <f t="array" ref="DT13">IFERROR(VLOOKUP($A13,TRANSPOSE('[1]Fur 4 PLC'!$CK$1:$DO$39),19,0),0)</f>
        <v>0</v>
      </c>
      <c r="DU13" s="54" cm="1">
        <f t="array" ref="DU13">IFERROR(VLOOKUP($A13,TRANSPOSE('[1]Fur 4 PLC'!$CK$1:$DO$39),18,0),0)</f>
        <v>161.04123711340208</v>
      </c>
      <c r="DV13" s="54" cm="1">
        <f t="array" ref="DV13">IFERROR(VLOOKUP($A13,TRANSPOSE('[1]Fur 4 PLC'!$CK$1:$DO$39),15,0),0)</f>
        <v>0</v>
      </c>
      <c r="DW13" t="str">
        <f t="shared" si="10"/>
        <v>Dec-25</v>
      </c>
    </row>
    <row r="14" spans="1:127" x14ac:dyDescent="0.3">
      <c r="A14" s="28" t="str">
        <f t="shared" si="1"/>
        <v>F145995</v>
      </c>
      <c r="B14" s="29" t="s">
        <v>26</v>
      </c>
      <c r="C14" s="30">
        <f>C10+1</f>
        <v>45995</v>
      </c>
      <c r="D14" s="29" t="str">
        <f>VLOOKUP($B14&amp;$C14,'[1]FC1 Prod'!$A$6:$BP$36,[2]Consolidated!D$1)</f>
        <v>Raju Singh</v>
      </c>
      <c r="E14" s="29">
        <f>VLOOKUP($B14&amp;$C14,'[1]FC1 Prod'!$A$6:$BP$36,[2]Consolidated!E$1)</f>
        <v>23.7</v>
      </c>
      <c r="F14" s="31">
        <f>VLOOKUP($B14&amp;$C14,'[1]FC1 Prod'!$A$6:$BP$36,[2]Consolidated!F$1)</f>
        <v>0.23000000000000043</v>
      </c>
      <c r="G14" s="32">
        <f>VLOOKUP($B14&amp;$C14,'[1]FC1 Prod'!$A$6:$BP$36,[2]Consolidated!G$1)</f>
        <v>23.93</v>
      </c>
      <c r="H14" s="32">
        <f>VLOOKUP($B14&amp;$C14,'[1]FC1 Prod'!$A$6:$BP$36,[2]Consolidated!H$1)</f>
        <v>17.294999999999998</v>
      </c>
      <c r="I14" s="32">
        <f>VLOOKUP($B14&amp;$C14,'[1]FC1 Prod'!$A$6:$BP$36,[2]Consolidated!I$1)</f>
        <v>5.52</v>
      </c>
      <c r="J14" s="32">
        <f>VLOOKUP($B14&amp;$C14,'[1]FC1 Prod'!$A$6:$BP$36,[2]Consolidated!J$1)</f>
        <v>39.15</v>
      </c>
      <c r="K14" s="32">
        <f>VLOOKUP($B14&amp;$C14,'[1]FC1 Prod'!$A$6:$BP$36,[2]Consolidated!K$1)</f>
        <v>1.32</v>
      </c>
      <c r="L14" s="32">
        <f>VLOOKUP($B14&amp;$C14,'[1]FC1 Prod'!$A$6:$BP$36,[2]Consolidated!L$1)</f>
        <v>28.88</v>
      </c>
      <c r="M14" s="32">
        <f>VLOOKUP($B14&amp;$C14,'[1]FC1 Prod'!$A$6:$BP$36,[2]Consolidated!M$1)</f>
        <v>4.82</v>
      </c>
      <c r="N14" s="32">
        <f>VLOOKUP($B14&amp;$C14,'[1]FC1 Prod'!$A$6:$BP$36,[2]Consolidated!N$1)</f>
        <v>17.02</v>
      </c>
      <c r="O14" s="32">
        <f>VLOOKUP($B14&amp;$C14,'[1]FC1 Prod'!$A$6:$BP$36,[2]Consolidated!O$1)</f>
        <v>0.86</v>
      </c>
      <c r="P14" s="33">
        <f>VLOOKUP($B14&amp;$C14,'[1]FC1 Prod'!$A$6:$BP$36,[2]Consolidated!P$1)</f>
        <v>8</v>
      </c>
      <c r="Q14" s="29">
        <f>VLOOKUP($B14&amp;$C14,'[1]FC1 Prod'!$A$6:$BP$36,[2]Consolidated!Q$1)</f>
        <v>42.584999999999994</v>
      </c>
      <c r="R14" s="29">
        <f>VLOOKUP($B14&amp;$C14,'[1]FC1 Prod'!$A$6:$BP$36,[2]Consolidated!R$1)</f>
        <v>13.664999999999999</v>
      </c>
      <c r="S14" s="34">
        <f>VLOOKUP($B14&amp;$C14,'[1]FC1 Prod'!$A$6:$BP$36,[2]Consolidated!S$1)</f>
        <v>26</v>
      </c>
      <c r="T14" s="34">
        <f>VLOOKUP($B14&amp;$C14,'[1]FC1 Prod'!$A$6:$BP$36,[2]Consolidated!T$1)</f>
        <v>13</v>
      </c>
      <c r="U14" s="34">
        <f>VLOOKUP($B14&amp;$C14,'[1]FC1 Prod'!$A$6:$BP$36,[2]Consolidated!U$1)</f>
        <v>15</v>
      </c>
      <c r="V14" s="34">
        <f>VLOOKUP($B14&amp;$C14,'[1]FC1 Prod'!$A$6:$BP$36,[2]Consolidated!V$1)</f>
        <v>54</v>
      </c>
      <c r="W14" s="35">
        <f>VLOOKUP($B14&amp;$C14,'[1]FC1 Prod'!$A$6:$BP$36,[2]Consolidated!W$1)</f>
        <v>1.7968354430379745</v>
      </c>
      <c r="X14" s="35">
        <f>VLOOKUP($B14&amp;$C14,'[1]FC1 Prod'!$A$6:$BP$36,[2]Consolidated!X$1)</f>
        <v>24.669999999999998</v>
      </c>
      <c r="Y14" s="36">
        <f>VLOOKUP($B14&amp;$C14,'[1]FC1 Prod'!$A$6:$BP$36,[2]Consolidated!Y$1)</f>
        <v>0.96068098905553312</v>
      </c>
      <c r="Z14" s="37" t="str">
        <f>VLOOKUP($B14&amp;$C14,'[1]FC1 Prod'!$A$6:$BP$36,[2]Consolidated!Z$1)</f>
        <v>40/22</v>
      </c>
      <c r="AA14" s="31">
        <f>VLOOKUP($B14&amp;$C14,'[1]FC1 Prod'!$A$6:$BP$36,[2]Consolidated!AA$1)</f>
        <v>40.182500000000005</v>
      </c>
      <c r="AB14" s="31">
        <f>VLOOKUP($B14&amp;$C14,'[1]FC1 Prod'!$A$6:$BP$36,[2]Consolidated!AB$1)</f>
        <v>21.548750000000005</v>
      </c>
      <c r="AC14" s="31">
        <f>VLOOKUP($B14&amp;$C14,'[1]FC1 Prod'!$A$6:$BP$36,[2]Consolidated!AC$1)</f>
        <v>0.42499999999999999</v>
      </c>
      <c r="AD14" s="38">
        <f>VLOOKUP($B14&amp;$C14,'[1]FC1 Prod'!$A$6:$BP$36,[2]Consolidated!AD$1)</f>
        <v>497.01314016877632</v>
      </c>
      <c r="AE14" s="38">
        <f>VLOOKUP($B14&amp;$C14,'[1]FC1 Prod'!$A$6:$BP$36,[2]Consolidated!AE$1)</f>
        <v>466.18297070886081</v>
      </c>
      <c r="AF14" s="39">
        <f>VLOOKUP($B14&amp;$C14,'[1]FC1 Prod'!$A$6:$BP$36,[2]Consolidated!AF$1)</f>
        <v>0.80847963066640016</v>
      </c>
      <c r="AG14" s="39">
        <f>VLOOKUP($B14&amp;$C14,'[1]FC1 Prod'!$A$6:$BP$36,[2]Consolidated!AG$1)</f>
        <v>0.86194697199899784</v>
      </c>
      <c r="AH14" s="34">
        <f>VLOOKUP($B14&amp;$C14,'[1]FC1 Prod'!$A$6:$BP$36,[2]Consolidated!AH$1)</f>
        <v>634.14514767932485</v>
      </c>
      <c r="AI14" s="33">
        <f>VLOOKUP($B14&amp;$C14,'[1]FC1 Prod'!$A$6:$BP$36,[2]Consolidated!AI$1)</f>
        <v>436.86025316455687</v>
      </c>
      <c r="AJ14" s="39">
        <f>VLOOKUP($B14&amp;$C14,'[1]FC1 Prod'!$A$6:$BP$36,[2]Consolidated!AJ$1)</f>
        <v>1.4890533004672828</v>
      </c>
      <c r="AK14" s="39">
        <f>VLOOKUP($B14&amp;$C14,'[1]FC1 Prod'!$A$6:$BP$36,[2]Consolidated!AK$1)</f>
        <v>0.59699192981661198</v>
      </c>
      <c r="AL14" s="40" t="str">
        <f>VLOOKUP($B14&amp;$C14,'[1]FC1 Prod'!$A$6:$BP$36,[2]Consolidated!AL$1)</f>
        <v>10/70</v>
      </c>
      <c r="AM14" s="41">
        <f>VLOOKUP($B14&amp;$C14,'[1]FC1 Prod'!$A$6:$BP$36,[2]Consolidated!AM$1)</f>
        <v>0</v>
      </c>
      <c r="AN14" s="42">
        <f>VLOOKUP($B14&amp;$C14,'[1]FC1 Prod'!$A$6:$BP$36,[2]Consolidated!AN$1)</f>
        <v>105.5</v>
      </c>
      <c r="AO14" s="43">
        <f>VLOOKUP($B14&amp;$C14,'[1]FC1 Prod'!$A$6:$BP$36,[2]Consolidated!AO$1)</f>
        <v>4.0410000000000004</v>
      </c>
      <c r="AP14" s="44">
        <f>VLOOKUP($B14&amp;$C14,'[1]FC1 Prod'!$A$6:$BP$36,[2]Consolidated!AP$1)</f>
        <v>4.6219831223628693</v>
      </c>
      <c r="AQ14" s="44">
        <f>VLOOKUP($B14&amp;$C14,'[1]FC1 Prod'!$A$6:$BP$36,[2]Consolidated!AQ$1)</f>
        <v>22.508528716538319</v>
      </c>
      <c r="AR14" s="45">
        <f>VLOOKUP($B14&amp;$C14,'[1]FC1 Prod'!$A$6:$BP$36,[2]Consolidated!AR$1)</f>
        <v>0.99905303030303028</v>
      </c>
      <c r="AS14" s="46">
        <f>VLOOKUP($B14&amp;$C14,'[1]FC1 Prod'!$A$6:$BP$36,[2]Consolidated!AS$1)</f>
        <v>2.1800000000000002</v>
      </c>
      <c r="AT14" s="29">
        <f>VLOOKUP($B14&amp;$C14,'[1]FC1 Prod'!$A$6:$BP$36,[2]Consolidated!AT$1)</f>
        <v>0.79817539488599787</v>
      </c>
      <c r="AU14" s="34">
        <f>VLOOKUP($B14&amp;$C14,'[1]FC1 Prod'!$A$6:$BP$36,[2]Consolidated!AU$1)</f>
        <v>382.74152046783621</v>
      </c>
      <c r="AV14" s="34">
        <f>VLOOKUP($B14&amp;$C14,'[1]FC1 Prod'!$A$6:$BP$36,[2]Consolidated!AV$1)</f>
        <v>175</v>
      </c>
      <c r="AW14" s="47">
        <f>VLOOKUP($B14&amp;$C14,'[1]FC1 Prod'!$A$6:$BP$36,[2]Consolidated!AW$1)</f>
        <v>18388.301687763713</v>
      </c>
      <c r="AX14" s="47">
        <f>VLOOKUP($B14&amp;$C14,'[1]FC1 Prod'!$A$6:$BP$36,[2]Consolidated!AX$1)</f>
        <v>19223.122362869199</v>
      </c>
      <c r="AY14" s="48">
        <f>VLOOKUP($B14&amp;$C14,'[1]FC1 Prod'!$A$6:$BP$36,[2]Consolidated!AY$1)</f>
        <v>1549.1139240506329</v>
      </c>
      <c r="AZ14" s="47">
        <f>VLOOKUP($B14&amp;$C14,'[1]FC1 Prod'!$A$6:$BP$36,[2]Consolidated!AZ$1)</f>
        <v>3087.4071729957809</v>
      </c>
      <c r="BA14" s="47">
        <f>VLOOKUP($B14&amp;$C14,'[1]FC1 Prod'!$A$6:$BP$36,[2]Consolidated!BA$1)</f>
        <v>27038.601265822785</v>
      </c>
      <c r="BB14" s="47">
        <f>VLOOKUP($B14&amp;$C14,'[1]FC1 Prod'!$A$6:$BP$36,[2]Consolidated!BB$1)</f>
        <v>692.86546413502106</v>
      </c>
      <c r="BC14" s="47">
        <f>VLOOKUP($B14&amp;$C14,'[1]FC1 Prod'!$A$6:$BP$36,[2]Consolidated!BC$1)</f>
        <v>8781.7679324894525</v>
      </c>
      <c r="BD14" s="49">
        <f>VLOOKUP($B14&amp;$C14,'[1]FC1 Prod'!$A$6:$BP$36,[2]Consolidated!BD$1)</f>
        <v>78761.179810126574</v>
      </c>
      <c r="BE14" s="47">
        <f>VLOOKUP($B14&amp;$C14,'[1]FC1 Prod'!$A$6:$BP$36,[2]Consolidated!BE$1)</f>
        <v>17610.386708860755</v>
      </c>
      <c r="BF14" s="47">
        <f>VLOOKUP($B14&amp;$C14,'[1]FC1 Prod'!$A$6:$BP$36,[2]Consolidated!BF$1)</f>
        <v>13345.805907172995</v>
      </c>
      <c r="BG14" s="50">
        <f>VLOOKUP($B14&amp;$C14,'[1]FC1 Prod'!$A$6:$BP$36,[2]Consolidated!BG$1)</f>
        <v>1975.2405063291142</v>
      </c>
      <c r="BH14" s="50">
        <f>VLOOKUP($B14&amp;$C14,'[1]FC1 Prod'!$A$6:$BP$36,[2]Consolidated!BH$1)</f>
        <v>630.57441561181429</v>
      </c>
      <c r="BI14" s="50">
        <f>VLOOKUP($B14&amp;$C14,'[1]FC1 Prod'!$A$6:$BP$36,[2]Consolidated!BI$1)</f>
        <v>72469.783909282691</v>
      </c>
      <c r="BJ14" s="37" t="e">
        <f>VLOOKUP($B14&amp;$C14,'[1]FC1 Prod'!$A$6:$BP$36,[2]Consolidated!BJ$1)</f>
        <v>#REF!</v>
      </c>
      <c r="BK14" s="37" t="e">
        <f>VLOOKUP($B14&amp;$C14,'[1]FC1 Prod'!$A$6:$BP$36,[2]Consolidated!BK$1)</f>
        <v>#REF!</v>
      </c>
      <c r="BL14" s="37" t="e">
        <f>VLOOKUP($B14&amp;$C14,'[1]FC1 Prod'!$A$6:$BP$36,[2]Consolidated!BL$1)</f>
        <v>#REF!</v>
      </c>
      <c r="BM14" s="37" t="e">
        <f>VLOOKUP($B14&amp;$C14,'[1]FC1 Prod'!$A$6:$BP$36,[2]Consolidated!BM$1)</f>
        <v>#REF!</v>
      </c>
      <c r="BN14" s="37" t="e">
        <f>VLOOKUP($B14&amp;$C14,'[1]FC1 Prod'!$A$6:$BP$36,[2]Consolidated!BN$1)</f>
        <v>#REF!</v>
      </c>
      <c r="BO14" s="37" t="e">
        <f>VLOOKUP($B14&amp;$C14,'[1]FC1 Prod'!$A$6:$BP$36,[2]Consolidated!BO$1)</f>
        <v>#REF!</v>
      </c>
      <c r="BP14" s="37" t="str">
        <f>VLOOKUP($B14&amp;$C14,'[1]FC1 Prod'!$A$6:$BP$36,[2]Consolidated!BP$1)</f>
        <v>NIL</v>
      </c>
      <c r="BQ14" s="51" t="e">
        <f>VLOOKUP($B14&amp;$C14,'[1]FC1 Prod'!$A$6:$BP$36,[2]Consolidated!BQ$1)</f>
        <v>#REF!</v>
      </c>
      <c r="BR14" s="51">
        <f>VLOOKUP($B14&amp;$C14,'[1]FC1 Prod'!$A$6:$BQ$36,[2]Consolidated!BR$1)</f>
        <v>60759</v>
      </c>
      <c r="BS14" s="52">
        <f t="shared" ref="BS14:BS16" si="14">BE14+BF14+BG14+BA14</f>
        <v>59970.034388185646</v>
      </c>
      <c r="BT14" s="32">
        <f>BR14-BS14</f>
        <v>788.96561181435391</v>
      </c>
      <c r="BU14" s="37">
        <f>E14*BT14</f>
        <v>18698.485000000186</v>
      </c>
      <c r="BV14" s="53" t="s">
        <v>130</v>
      </c>
      <c r="BW14" s="54" cm="1">
        <f t="array" ref="BW14">IFERROR(VLOOKUP($A14,TRANSPOSE('[1]Fur 1 PLC'!$AR$1:$BV$38),8,0),0)</f>
        <v>0</v>
      </c>
      <c r="BX14" s="54" cm="1">
        <f t="array" ref="BX14">IFERROR(VLOOKUP($A14,TRANSPOSE('[1]Fur 1 PLC'!$AR$1:$BV$38),30,0),0)</f>
        <v>111.85654008438819</v>
      </c>
      <c r="BY14" s="54" cm="1">
        <f t="array" ref="BY14">IFERROR(VLOOKUP($A14,TRANSPOSE('[1]Fur 1 PLC'!$AR$1:$BV$38),14,0),0)</f>
        <v>0</v>
      </c>
      <c r="BZ14" s="54" cm="1">
        <f t="array" ref="BZ14">IFERROR(VLOOKUP($A14,TRANSPOSE('[1]Fur 1 PLC'!$AR$1:$BV$38),16,0),0)</f>
        <v>0</v>
      </c>
      <c r="CA14" s="54" cm="1">
        <f t="array" ref="CA14">IFERROR(VLOOKUP($A14,TRANSPOSE('[1]Fur 1 PLC'!$AR$1:$BV$38),9,0),0)</f>
        <v>308.1434599156118</v>
      </c>
      <c r="CB14" s="54" cm="1">
        <f t="array" ref="CB14">IFERROR(VLOOKUP($A14,TRANSPOSE('[1]Fur 1 PLC'!$AR$1:$BV$38),17,0),0)</f>
        <v>0</v>
      </c>
      <c r="CC14" s="54" cm="1">
        <f t="array" ref="CC14">IFERROR(VLOOKUP($A14,TRANSPOSE('[1]Fur 1 PLC'!$AR$1:$BV$38),20,0),0)</f>
        <v>820.80168776371306</v>
      </c>
      <c r="CD14" s="54" cm="1">
        <f t="array" ref="CD14">IFERROR(VLOOKUP($A14,TRANSPOSE('[1]Fur 1 PLC'!$AR$1:$BV$38),28,0),0)</f>
        <v>0</v>
      </c>
      <c r="CE14" s="54" cm="1">
        <f t="array" ref="CE14">IFERROR(VLOOKUP($A14,TRANSPOSE('[1]Fur 1 PLC'!$AR$1:$BV$38),13,0),0)</f>
        <v>0</v>
      </c>
      <c r="CF14" s="54" cm="1">
        <f t="array" ref="CF14">IFERROR(VLOOKUP($A14,TRANSPOSE('[1]Fur 1 PLC'!$AR$1:$BV$38),37,0),0)</f>
        <v>558.48101265822788</v>
      </c>
      <c r="CG14" s="54" cm="1">
        <f t="array" ref="CG14">IFERROR(VLOOKUP($A14,TRANSPOSE('[1]Fur 1 PLC'!$AR$1:$BV$38),6,0),0)</f>
        <v>0</v>
      </c>
      <c r="CH14" s="54" cm="1">
        <f t="array" ref="CH14">IFERROR(VLOOKUP($A14,TRANSPOSE('[1]Fur 1 PLC'!$AR$1:$BV$38),21,0),0)</f>
        <v>0</v>
      </c>
      <c r="CI14" s="54" cm="1">
        <f t="array" ref="CI14">IFERROR(VLOOKUP($A14,TRANSPOSE('[1]Fur 1 PLC'!$AR$1:$BV$38),12,0),0)</f>
        <v>0</v>
      </c>
      <c r="CJ14" s="54" cm="1">
        <f t="array" ref="CJ14">IFERROR(VLOOKUP($A14,TRANSPOSE('[1]Fur 1 PLC'!$AR$1:$BV$38),25,0),0)</f>
        <v>0</v>
      </c>
      <c r="CK14" s="54" cm="1">
        <f t="array" ref="CK14">IFERROR(VLOOKUP($A14,TRANSPOSE('[1]Fur 1 PLC'!$AR$1:$BV$38),26,0),0)</f>
        <v>0</v>
      </c>
      <c r="CL14" s="54" cm="1">
        <f t="array" ref="CL14">IFERROR(VLOOKUP($A14,TRANSPOSE('[1]Fur 1 PLC'!$AR$1:$BV$38),27,0),0)</f>
        <v>464.72573839662448</v>
      </c>
      <c r="CM14" s="54" cm="1">
        <f t="array" ref="CM14">IFERROR(VLOOKUP($A14,TRANSPOSE('[1]Fur 1 PLC'!$AR$1:$BV$38),22,0),0)</f>
        <v>0</v>
      </c>
      <c r="CN14" s="54"/>
      <c r="CO14" s="54" cm="1">
        <f t="array" ref="CO14">IFERROR(VLOOKUP($A14,TRANSPOSE('[1]Fur 1 PLC'!$AR$1:$BV$38),29,0),0)</f>
        <v>0</v>
      </c>
      <c r="CP14" s="54" cm="1">
        <f t="array" ref="CP14">IFERROR(VLOOKUP($A14,TRANSPOSE('[1]Fur 1 PLC'!$AR$1:$BV$38),10,0),0)</f>
        <v>0</v>
      </c>
      <c r="CQ14" s="54" cm="1">
        <f t="array" ref="CQ14">IFERROR(VLOOKUP($A14,TRANSPOSE('[1]Fur 1 PLC'!$AR$1:$BV$38),7,0),0)</f>
        <v>274.30379746835445</v>
      </c>
      <c r="CR14" s="54" cm="1">
        <f t="array" ref="CR14">IFERROR(VLOOKUP($A14,TRANSPOSE('[1]Fur 1 PLC'!$AR$1:$BV$38),35,0),0)</f>
        <v>194.72573839662448</v>
      </c>
      <c r="CS14" s="54" cm="1">
        <f t="array" ref="CS14">IFERROR(VLOOKUP($A14,TRANSPOSE('[1]Fur 1 PLC'!$AR$1:$BV$38),11,0),0)</f>
        <v>0</v>
      </c>
      <c r="CT14" s="54" cm="1">
        <f t="array" ref="CT14">IFERROR(VLOOKUP($A14,TRANSPOSE('[1]Fur 1 PLC'!$AR$1:$BV$38),19,0),0)</f>
        <v>0</v>
      </c>
      <c r="CU14" s="54" cm="1">
        <f t="array" ref="CU14">IFERROR(VLOOKUP($A14,TRANSPOSE('[1]Fur 1 PLC'!$AR$1:$BV$38),18,0),0)</f>
        <v>513.08016877637135</v>
      </c>
      <c r="CV14" s="54" cm="1">
        <f t="array" ref="CV14">IFERROR(VLOOKUP($A14,TRANSPOSE('[1]Fur 1 PLC'!$AR$1:$BV$38),15,0),0)</f>
        <v>154.81012658227849</v>
      </c>
      <c r="CW14" s="54" cm="1">
        <f t="array" ref="CW14">IFERROR(VLOOKUP($A14,TRANSPOSE('[1]Fur 1 PLC'!$CL$1:$DP$38),8,0),0)</f>
        <v>0</v>
      </c>
      <c r="CX14" s="54" cm="1">
        <f t="array" ref="CX14">IFERROR(VLOOKUP($A14,TRANSPOSE('[1]Fur 1 PLC'!$CL$1:$DP$38),30,0),0)</f>
        <v>49.092592592592588</v>
      </c>
      <c r="CY14" s="54" cm="1">
        <f t="array" ref="CY14">IFERROR(VLOOKUP($A14,TRANSPOSE('[1]Fur 1 PLC'!$CL$1:$DP$38),14,0),0)</f>
        <v>0</v>
      </c>
      <c r="CZ14" s="54" cm="1">
        <f t="array" ref="CZ14">IFERROR(VLOOKUP($A14,TRANSPOSE('[1]Fur 1 PLC'!$CL$1:$DP$38),16,0),0)</f>
        <v>0</v>
      </c>
      <c r="DA14" s="54" cm="1">
        <f t="array" ref="DA14">IFERROR(VLOOKUP($A14,TRANSPOSE('[1]Fur 1 PLC'!$CL$1:$DP$38),9,0),0)</f>
        <v>135.24074074074073</v>
      </c>
      <c r="DB14" s="55" cm="1">
        <f t="array" ref="DB14">IFERROR(VLOOKUP($A14,TRANSPOSE('[1]Fur 1 PLC'!$CL$1:$DP$38),17,0),0)</f>
        <v>0</v>
      </c>
      <c r="DC14" s="55" cm="1">
        <f t="array" ref="DC14">IFERROR(VLOOKUP($A14,TRANSPOSE('[1]Fur 1 PLC'!$CL$1:$DP$38),20,0),0)</f>
        <v>360.24074074074076</v>
      </c>
      <c r="DD14" s="54" cm="1">
        <f t="array" ref="DD14">IFERROR(VLOOKUP($A14,TRANSPOSE('[1]Fur 1 PLC'!$CL$1:$DP$38),28,0),0)</f>
        <v>0</v>
      </c>
      <c r="DE14" s="54" cm="1">
        <f t="array" ref="DE14">IFERROR(VLOOKUP($A14,TRANSPOSE('[1]Fur 1 PLC'!$CL$1:$DP$38),13,0),0)</f>
        <v>0</v>
      </c>
      <c r="DF14" s="54" cm="1">
        <f t="array" ref="DF14">IFERROR(VLOOKUP($A14,TRANSPOSE('[1]Fur 1 PLC'!$CL$1:$DP$38),37,0),0)</f>
        <v>245.11111111111111</v>
      </c>
      <c r="DG14" s="54" cm="1">
        <f t="array" ref="DG14">IFERROR(VLOOKUP($A14,TRANSPOSE('[1]Fur 1 PLC'!$CL$1:$DP$38),6,0),0)</f>
        <v>0</v>
      </c>
      <c r="DH14" s="54" cm="1">
        <f t="array" ref="DH14">IFERROR(VLOOKUP($A14,TRANSPOSE('[1]Fur 1 PLC'!$CL$1:$DP$38),21,0),0)</f>
        <v>0</v>
      </c>
      <c r="DI14" s="54" cm="1">
        <f t="array" ref="DI14">IFERROR(VLOOKUP($A14,TRANSPOSE('[1]Fur 1 PLC'!$CL$1:$DP$38),12,0),0)</f>
        <v>0</v>
      </c>
      <c r="DJ14" s="54" cm="1">
        <f t="array" ref="DJ14">IFERROR(VLOOKUP($A14,TRANSPOSE('[1]Fur 1 PLC'!$CL$1:$DP$38),25,0),0)</f>
        <v>0</v>
      </c>
      <c r="DK14" s="54" cm="1">
        <f t="array" ref="DK14">IFERROR(VLOOKUP($A14,TRANSPOSE('[1]Fur 1 PLC'!$CL$1:$DP$38),26,0),0)</f>
        <v>0</v>
      </c>
      <c r="DL14" s="54" cm="1">
        <f t="array" ref="DL14">IFERROR(VLOOKUP($A14,TRANSPOSE('[1]Fur 1 PLC'!$CL$1:$DP$38),27,0),0)</f>
        <v>203.96296296296296</v>
      </c>
      <c r="DM14" s="54" cm="1">
        <f t="array" ref="DM14">IFERROR(VLOOKUP($A14,TRANSPOSE('[1]Fur 1 PLC'!$CL$1:$DP$38),22,0),0)</f>
        <v>0</v>
      </c>
      <c r="DN14" s="54" cm="1">
        <f t="array" ref="DN14">IFERROR(VLOOKUP($A14,TRANSPOSE('[1]Fur 1 PLC'!$CL$1:$DP$38),19,0),0)</f>
        <v>0</v>
      </c>
      <c r="DO14" s="54" cm="1">
        <f t="array" ref="DO14">IFERROR(VLOOKUP($A14,TRANSPOSE('[1]Fur 1 PLC'!$CL$1:$DP$38),29,0),0)</f>
        <v>0</v>
      </c>
      <c r="DP14" s="54" cm="1">
        <f t="array" ref="DP14">IFERROR(VLOOKUP($A14,TRANSPOSE('[1]Fur 1 PLC'!$CL$1:$DP$38),10,0),0)</f>
        <v>0</v>
      </c>
      <c r="DQ14" s="54" cm="1">
        <f t="array" ref="DQ14">IFERROR(VLOOKUP($A14,TRANSPOSE('[1]Fur 1 PLC'!$CL$1:$DP$38),7,0),0)</f>
        <v>120.38888888888889</v>
      </c>
      <c r="DR14" s="54" cm="1">
        <f t="array" ref="DR14">IFERROR(VLOOKUP($A14,TRANSPOSE('[1]Fur 1 PLC'!$CL$1:$DP$38),35,0),0)</f>
        <v>85.462962962962962</v>
      </c>
      <c r="DS14" s="54" cm="1">
        <f t="array" ref="DS14">IFERROR(VLOOKUP($A14,TRANSPOSE('[1]Fur 1 PLC'!$CL$1:$DP$38),11,0),0)</f>
        <v>0</v>
      </c>
      <c r="DT14" s="54" cm="1">
        <f t="array" ref="DT14">IFERROR(VLOOKUP($A14,TRANSPOSE('[1]Fur 1 PLC'!$CL$1:$DP$38),19,0),0)</f>
        <v>0</v>
      </c>
      <c r="DU14" s="54" cm="1">
        <f t="array" ref="DU14">IFERROR(VLOOKUP($A14,TRANSPOSE('[1]Fur 1 PLC'!$CL$1:$DP$38),18,0),0)</f>
        <v>225.18518518518519</v>
      </c>
      <c r="DV14" s="54" cm="1">
        <f t="array" ref="DV14">IFERROR(VLOOKUP($A14,TRANSPOSE('[1]Fur 1 PLC'!$CL$1:$DP$38),15,0),0)</f>
        <v>67.944444444444443</v>
      </c>
      <c r="DW14" t="str">
        <f>TEXT(C14,"Mmm-yy")</f>
        <v>Dec-25</v>
      </c>
    </row>
    <row r="15" spans="1:127" x14ac:dyDescent="0.3">
      <c r="A15" s="28" t="str">
        <f t="shared" si="1"/>
        <v>F245995</v>
      </c>
      <c r="B15" s="29" t="s">
        <v>27</v>
      </c>
      <c r="C15" s="30">
        <f>C14</f>
        <v>45995</v>
      </c>
      <c r="D15" s="29" t="str">
        <f>VLOOKUP($B15&amp;$C15,'[1]FC2 Prod'!$A$6:$BP$36,[2]Consolidated!D$1)</f>
        <v>Mr. Girish Malik</v>
      </c>
      <c r="E15" s="29">
        <f>VLOOKUP($B15&amp;$C15,'[1]FC2 Prod'!$A$6:$BP$36,[2]Consolidated!E$1)</f>
        <v>31.380000000000003</v>
      </c>
      <c r="F15" s="29">
        <f>VLOOKUP($B15&amp;$C15,'[1]FC2 Prod'!$A$6:$BP$36,[2]Consolidated!F$1)</f>
        <v>0</v>
      </c>
      <c r="G15" s="29">
        <f>VLOOKUP($B15&amp;$C15,'[1]FC2 Prod'!$A$6:$BP$36,[2]Consolidated!G$1)</f>
        <v>31.38</v>
      </c>
      <c r="H15" s="32">
        <f>VLOOKUP($B15&amp;$C15,'[1]FC2 Prod'!$A$6:$BP$36,[2]Consolidated!H$1)</f>
        <v>21.79</v>
      </c>
      <c r="I15" s="32">
        <f>VLOOKUP($B15&amp;$C15,'[1]FC2 Prod'!$A$6:$BP$36,[2]Consolidated!I$1)</f>
        <v>5.66</v>
      </c>
      <c r="J15" s="32">
        <f>VLOOKUP($B15&amp;$C15,'[1]FC2 Prod'!$A$6:$BP$36,[2]Consolidated!J$1)</f>
        <v>39.880000000000003</v>
      </c>
      <c r="K15" s="32">
        <f>VLOOKUP($B15&amp;$C15,'[1]FC2 Prod'!$A$6:$BP$36,[2]Consolidated!K$1)</f>
        <v>1.38</v>
      </c>
      <c r="L15" s="32">
        <f>VLOOKUP($B15&amp;$C15,'[1]FC2 Prod'!$A$6:$BP$36,[2]Consolidated!L$1)</f>
        <v>28.76</v>
      </c>
      <c r="M15" s="32">
        <f>VLOOKUP($B15&amp;$C15,'[1]FC2 Prod'!$A$6:$BP$36,[2]Consolidated!M$1)</f>
        <v>5.0199999999999996</v>
      </c>
      <c r="N15" s="32">
        <f>VLOOKUP($B15&amp;$C15,'[1]FC2 Prod'!$A$6:$BP$36,[2]Consolidated!N$1)</f>
        <v>16.21</v>
      </c>
      <c r="O15" s="32">
        <f>VLOOKUP($B15&amp;$C15,'[1]FC2 Prod'!$A$6:$BP$36,[2]Consolidated!O$1)</f>
        <v>0.85</v>
      </c>
      <c r="P15" s="34">
        <f>VLOOKUP($B15&amp;$C15,'[1]FC2 Prod'!$A$6:$BP$36,[2]Consolidated!P$1)</f>
        <v>9</v>
      </c>
      <c r="Q15" s="29">
        <f>VLOOKUP($B15&amp;$C15,'[1]FC2 Prod'!$A$6:$BP$36,[2]Consolidated!Q$1)</f>
        <v>59.672000000000004</v>
      </c>
      <c r="R15" s="29">
        <f>VLOOKUP($B15&amp;$C15,'[1]FC2 Prod'!$A$6:$BP$36,[2]Consolidated!R$1)</f>
        <v>19.815000000000001</v>
      </c>
      <c r="S15" s="34">
        <f>VLOOKUP($B15&amp;$C15,'[1]FC2 Prod'!$A$6:$BP$36,[2]Consolidated!S$1)</f>
        <v>38</v>
      </c>
      <c r="T15" s="34">
        <f>VLOOKUP($B15&amp;$C15,'[1]FC2 Prod'!$A$6:$BP$36,[2]Consolidated!T$1)</f>
        <v>12</v>
      </c>
      <c r="U15" s="34">
        <f>VLOOKUP($B15&amp;$C15,'[1]FC2 Prod'!$A$6:$BP$36,[2]Consolidated!U$1)</f>
        <v>19</v>
      </c>
      <c r="V15" s="34">
        <f>VLOOKUP($B15&amp;$C15,'[1]FC2 Prod'!$A$6:$BP$36,[2]Consolidated!V$1)</f>
        <v>69</v>
      </c>
      <c r="W15" s="29">
        <f>VLOOKUP($B15&amp;$C15,'[1]FC2 Prod'!$A$6:$BP$36,[2]Consolidated!W$1)</f>
        <v>1.9015933715742512</v>
      </c>
      <c r="X15" s="35">
        <f>VLOOKUP($B15&amp;$C15,'[1]FC2 Prod'!$A$6:$BP$36,[2]Consolidated!X$1)</f>
        <v>32.36</v>
      </c>
      <c r="Y15" s="36">
        <f>VLOOKUP($B15&amp;$C15,'[1]FC2 Prod'!$A$6:$BP$36,[2]Consolidated!Y$1)</f>
        <v>0.96971569839307781</v>
      </c>
      <c r="Z15" s="37" t="str">
        <f>VLOOKUP($B15&amp;$C15,'[1]FC2 Prod'!$A$6:$BP$36,[2]Consolidated!Z$1)</f>
        <v>55/22</v>
      </c>
      <c r="AA15" s="31">
        <f>VLOOKUP($B15&amp;$C15,'[1]FC2 Prod'!$A$6:$BP$36,[2]Consolidated!AA$1)</f>
        <v>54.712222222222216</v>
      </c>
      <c r="AB15" s="31">
        <f>VLOOKUP($B15&amp;$C15,'[1]FC2 Prod'!$A$6:$BP$36,[2]Consolidated!AB$1)</f>
        <v>21.47111111111111</v>
      </c>
      <c r="AC15" s="31">
        <f>VLOOKUP($B15&amp;$C15,'[1]FC2 Prod'!$A$6:$BP$36,[2]Consolidated!AC$1)</f>
        <v>0.46555555555555561</v>
      </c>
      <c r="AD15" s="38">
        <f>VLOOKUP($B15&amp;$C15,'[1]FC2 Prod'!$A$6:$BP$36,[2]Consolidated!AD$1)</f>
        <v>679.51645035054185</v>
      </c>
      <c r="AE15" s="38">
        <f>VLOOKUP($B15&amp;$C15,'[1]FC2 Prod'!$A$6:$BP$36,[2]Consolidated!AE$1)</f>
        <v>604.65090014977704</v>
      </c>
      <c r="AF15" s="39">
        <f>VLOOKUP($B15&amp;$C15,'[1]FC2 Prod'!$A$6:$BP$36,[2]Consolidated!AF$1)</f>
        <v>0.80516405738224361</v>
      </c>
      <c r="AG15" s="39">
        <f>VLOOKUP($B15&amp;$C15,'[1]FC2 Prod'!$A$6:$BP$36,[2]Consolidated!AG$1)</f>
        <v>0.90485637594634438</v>
      </c>
      <c r="AH15" s="34">
        <f>VLOOKUP($B15&amp;$C15,'[1]FC2 Prod'!$A$6:$BP$36,[2]Consolidated!AH$1)</f>
        <v>500.14265391969411</v>
      </c>
      <c r="AI15" s="33">
        <f>VLOOKUP($B15&amp;$C15,'[1]FC2 Prod'!$A$6:$BP$36,[2]Consolidated!AI$1)</f>
        <v>464.16315793499052</v>
      </c>
      <c r="AJ15" s="39">
        <f>VLOOKUP($B15&amp;$C15,'[1]FC2 Prod'!$A$6:$BP$36,[2]Consolidated!AJ$1)</f>
        <v>0.52943782452078736</v>
      </c>
      <c r="AK15" s="39">
        <f>VLOOKUP($B15&amp;$C15,'[1]FC2 Prod'!$A$6:$BP$36,[2]Consolidated!AK$1)</f>
        <v>0.50267565873876885</v>
      </c>
      <c r="AL15" s="40" t="str">
        <f>VLOOKUP($B15&amp;$C15,'[1]FC2 Prod'!$A$6:$BP$36,[2]Consolidated!AL$1)</f>
        <v>10/70</v>
      </c>
      <c r="AM15" s="41">
        <f>VLOOKUP($B15&amp;$C15,'[1]FC2 Prod'!$A$6:$BP$36,[2]Consolidated!AM$1)</f>
        <v>2.4856596558317397E-2</v>
      </c>
      <c r="AN15" s="42">
        <f>VLOOKUP($B15&amp;$C15,'[1]FC2 Prod'!$A$6:$BP$36,[2]Consolidated!AN$1)</f>
        <v>145.6</v>
      </c>
      <c r="AO15" s="43">
        <f>VLOOKUP($B15&amp;$C15,'[1]FC2 Prod'!$A$6:$BP$36,[2]Consolidated!AO$1)</f>
        <v>6.5759999999999996</v>
      </c>
      <c r="AP15" s="44">
        <f>VLOOKUP($B15&amp;$C15,'[1]FC2 Prod'!$A$6:$BP$36,[2]Consolidated!AP$1)</f>
        <v>4.8494582536647544</v>
      </c>
      <c r="AQ15" s="44">
        <f>VLOOKUP($B15&amp;$C15,'[1]FC2 Prod'!$A$6:$BP$36,[2]Consolidated!AQ$1)</f>
        <v>28.338354486894179</v>
      </c>
      <c r="AR15" s="45">
        <f>VLOOKUP($B15&amp;$C15,'[1]FC2 Prod'!$A$6:$BP$36,[2]Consolidated!AR$1)</f>
        <v>0.99453551912568317</v>
      </c>
      <c r="AS15" s="46">
        <f>VLOOKUP($B15&amp;$C15,'[1]FC2 Prod'!$A$6:$BP$36,[2]Consolidated!AS$1)</f>
        <v>2.2233333333333332</v>
      </c>
      <c r="AT15" s="29">
        <f>VLOOKUP($B15&amp;$C15,'[1]FC2 Prod'!$A$6:$BP$36,[2]Consolidated!AT$1)</f>
        <v>0.78167554947496853</v>
      </c>
      <c r="AU15" s="34">
        <f>VLOOKUP($B15&amp;$C15,'[1]FC2 Prod'!$A$6:$BP$36,[2]Consolidated!AU$1)</f>
        <v>483.45847953216372</v>
      </c>
      <c r="AV15" s="34">
        <f>VLOOKUP($B15&amp;$C15,'[1]FC2 Prod'!$A$6:$BP$36,[2]Consolidated!AV$1)</f>
        <v>191.66666666666666</v>
      </c>
      <c r="AW15" s="47">
        <f>VLOOKUP($B15&amp;$C15,'[1]FC2 Prod'!$A$6:$BP$36,[2]Consolidated!AW$1)</f>
        <v>27115.135117909496</v>
      </c>
      <c r="AX15" s="47">
        <f>VLOOKUP($B15&amp;$C15,'[1]FC2 Prod'!$A$6:$BP$36,[2]Consolidated!AX$1)</f>
        <v>15386.61567877629</v>
      </c>
      <c r="AY15" s="48">
        <f>VLOOKUP($B15&amp;$C15,'[1]FC2 Prod'!$A$6:$BP$36,[2]Consolidated!AY$1)</f>
        <v>1624.4741873804971</v>
      </c>
      <c r="AZ15" s="47">
        <f>VLOOKUP($B15&amp;$C15,'[1]FC2 Prod'!$A$6:$BP$36,[2]Consolidated!AZ$1)</f>
        <v>2230.0685149776928</v>
      </c>
      <c r="BA15" s="47">
        <f>VLOOKUP($B15&amp;$C15,'[1]FC2 Prod'!$A$6:$BP$36,[2]Consolidated!BA$1)</f>
        <v>28369.330783938814</v>
      </c>
      <c r="BB15" s="47">
        <f>VLOOKUP($B15&amp;$C15,'[1]FC2 Prod'!$A$6:$BP$36,[2]Consolidated!BB$1)</f>
        <v>747.25624282982778</v>
      </c>
      <c r="BC15" s="47">
        <f>VLOOKUP($B15&amp;$C15,'[1]FC2 Prod'!$A$6:$BP$36,[2]Consolidated!BC$1)</f>
        <v>9213.9706819630337</v>
      </c>
      <c r="BD15" s="49">
        <f>VLOOKUP($B15&amp;$C15,'[1]FC2 Prod'!$A$6:$BP$36,[2]Consolidated!BD$1)</f>
        <v>84686.851207775646</v>
      </c>
      <c r="BE15" s="47">
        <f>VLOOKUP($B15&amp;$C15,'[1]FC2 Prod'!$A$6:$BP$36,[2]Consolidated!BE$1)</f>
        <v>23875.666411727212</v>
      </c>
      <c r="BF15" s="47">
        <f>VLOOKUP($B15&amp;$C15,'[1]FC2 Prod'!$A$6:$BP$36,[2]Consolidated!BF$1)</f>
        <v>14208.553218610581</v>
      </c>
      <c r="BG15" s="50">
        <f>VLOOKUP($B15&amp;$C15,'[1]FC2 Prod'!$A$6:$BP$36,[2]Consolidated!BG$1)</f>
        <v>1699.9139579349905</v>
      </c>
      <c r="BH15" s="50">
        <f>VLOOKUP($B15&amp;$C15,'[1]FC2 Prod'!$A$6:$BP$36,[2]Consolidated!BH$1)</f>
        <v>703.83532887189301</v>
      </c>
      <c r="BI15" s="50">
        <f>VLOOKUP($B15&amp;$C15,'[1]FC2 Prod'!$A$6:$BP$36,[2]Consolidated!BI$1)</f>
        <v>80301.338898024216</v>
      </c>
      <c r="BJ15" s="37" t="e">
        <f>VLOOKUP($B15&amp;$C15,'[1]FC2 Prod'!$A$6:$BP$36,[2]Consolidated!BJ$1)</f>
        <v>#REF!</v>
      </c>
      <c r="BK15" s="37" t="e">
        <f>VLOOKUP($B15&amp;$C15,'[1]FC2 Prod'!$A$6:$BP$36,[2]Consolidated!BK$1)</f>
        <v>#REF!</v>
      </c>
      <c r="BL15" s="37" t="e">
        <f>VLOOKUP($B15&amp;$C15,'[1]FC2 Prod'!$A$6:$BP$36,[2]Consolidated!BL$1)</f>
        <v>#REF!</v>
      </c>
      <c r="BM15" s="37" t="e">
        <f>VLOOKUP($B15&amp;$C15,'[1]FC2 Prod'!$A$6:$BP$36,[2]Consolidated!BM$1)</f>
        <v>#REF!</v>
      </c>
      <c r="BN15" s="37" t="e">
        <f>VLOOKUP($B15&amp;$C15,'[1]FC2 Prod'!$A$6:$BP$36,[2]Consolidated!BN$1)</f>
        <v>#REF!</v>
      </c>
      <c r="BO15" s="37" t="e">
        <f>VLOOKUP($B15&amp;$C15,'[1]FC2 Prod'!$A$6:$BP$36,[2]Consolidated!BO$1)</f>
        <v>#REF!</v>
      </c>
      <c r="BP15" s="37" t="str">
        <f>VLOOKUP($B15&amp;$C15,'[1]FC2 Prod'!$A$6:$BP$36,[2]Consolidated!BP$1)</f>
        <v>NIL</v>
      </c>
      <c r="BQ15" s="29" t="e">
        <f>VLOOKUP($B15&amp;$C15,'[1]FC2 Prod'!$A$6:$BP$36,[2]Consolidated!BQ$1)</f>
        <v>#REF!</v>
      </c>
      <c r="BR15" s="51">
        <f>VLOOKUP($B15&amp;$C15,'[1]FC2 Prod'!$A$6:$BQ$36,[2]Consolidated!BR$1)</f>
        <v>69902</v>
      </c>
      <c r="BS15" s="52">
        <f t="shared" si="14"/>
        <v>68153.464372211602</v>
      </c>
      <c r="BT15" s="32">
        <f>BR15-BS15</f>
        <v>1748.5356277883984</v>
      </c>
      <c r="BU15" s="37">
        <f>E15*BT15</f>
        <v>54869.047999999944</v>
      </c>
      <c r="BV15" s="53" t="s">
        <v>130</v>
      </c>
      <c r="BW15" s="54" cm="1">
        <f t="array" ref="BW15">IFERROR(VLOOKUP($A15,TRANSPOSE('[1]Fur 2 PLC'!$AR$1:$BV$38),8,0),0)</f>
        <v>0</v>
      </c>
      <c r="BX15" s="54" cm="1">
        <f t="array" ref="BX15">IFERROR(VLOOKUP($A15,TRANSPOSE('[1]Fur 2 PLC'!$AR$1:$BV$38),30,0),0)</f>
        <v>0</v>
      </c>
      <c r="BY15" s="54" cm="1">
        <f t="array" ref="BY15">IFERROR(VLOOKUP($A15,TRANSPOSE('[1]Fur 2 PLC'!$AR$1:$BV$38),14,0),0)</f>
        <v>0</v>
      </c>
      <c r="BZ15" s="54" cm="1">
        <f t="array" ref="BZ15">IFERROR(VLOOKUP($A15,TRANSPOSE('[1]Fur 2 PLC'!$AR$1:$BV$38),16,0),0)</f>
        <v>0</v>
      </c>
      <c r="CA15" s="54" cm="1">
        <f t="array" ref="CA15">IFERROR(VLOOKUP($A15,TRANSPOSE('[1]Fur 2 PLC'!$AR$1:$BV$38),9,0),0)</f>
        <v>489.00573613766733</v>
      </c>
      <c r="CB15" s="54" cm="1">
        <f t="array" ref="CB15">IFERROR(VLOOKUP($A15,TRANSPOSE('[1]Fur 2 PLC'!$AR$1:$BV$38),17,0),0)</f>
        <v>352.58126195028683</v>
      </c>
      <c r="CC15" s="54" cm="1">
        <f t="array" ref="CC15">IFERROR(VLOOKUP($A15,TRANSPOSE('[1]Fur 2 PLC'!$AR$1:$BV$38),20,0),0)</f>
        <v>0</v>
      </c>
      <c r="CD15" s="54" cm="1">
        <f t="array" ref="CD15">IFERROR(VLOOKUP($A15,TRANSPOSE('[1]Fur 2 PLC'!$AR$1:$BV$38),28,0),0)</f>
        <v>139.16507329509241</v>
      </c>
      <c r="CE15" s="54" cm="1">
        <f t="array" ref="CE15">IFERROR(VLOOKUP($A15,TRANSPOSE('[1]Fur 2 PLC'!$AR$1:$BV$38),13,0),0)</f>
        <v>0</v>
      </c>
      <c r="CF15" s="54" cm="1">
        <f t="array" ref="CF15">IFERROR(VLOOKUP($A15,TRANSPOSE('[1]Fur 2 PLC'!$AR$1:$BV$38),37,0),0)</f>
        <v>626.73677501593386</v>
      </c>
      <c r="CG15" s="54" cm="1">
        <f t="array" ref="CG15">IFERROR(VLOOKUP($A15,TRANSPOSE('[1]Fur 2 PLC'!$AR$1:$BV$38),6,0),0)</f>
        <v>0</v>
      </c>
      <c r="CH15" s="54" cm="1">
        <f t="array" ref="CH15">IFERROR(VLOOKUP($A15,TRANSPOSE('[1]Fur 2 PLC'!$AR$1:$BV$38),21,0),0)</f>
        <v>0</v>
      </c>
      <c r="CI15" s="54" cm="1">
        <f t="array" ref="CI15">IFERROR(VLOOKUP($A15,TRANSPOSE('[1]Fur 2 PLC'!$AR$1:$BV$38),12,0),0)</f>
        <v>0</v>
      </c>
      <c r="CJ15" s="54" cm="1">
        <f t="array" ref="CJ15">IFERROR(VLOOKUP($A15,TRANSPOSE('[1]Fur 2 PLC'!$AR$1:$BV$38),25,0),0)</f>
        <v>0</v>
      </c>
      <c r="CK15" s="54" cm="1">
        <f t="array" ref="CK15">IFERROR(VLOOKUP($A15,TRANSPOSE('[1]Fur 2 PLC'!$AR$1:$BV$38),26,0),0)</f>
        <v>0</v>
      </c>
      <c r="CL15" s="54" cm="1">
        <f t="array" ref="CL15">IFERROR(VLOOKUP($A15,TRANSPOSE('[1]Fur 2 PLC'!$AR$1:$BV$38),27,0),0)</f>
        <v>492.28808158062463</v>
      </c>
      <c r="CM15" s="54" cm="1">
        <f t="array" ref="CM15">IFERROR(VLOOKUP($A15,TRANSPOSE('[1]Fur 2 PLC'!$AR$1:$BV$38),22,0),0)</f>
        <v>0</v>
      </c>
      <c r="CN15" s="54"/>
      <c r="CO15" s="54" cm="1">
        <f t="array" ref="CO15">IFERROR(VLOOKUP($A15,TRANSPOSE('[1]Fur 2 PLC'!$AR$1:$BV$38),29,0),0)</f>
        <v>0</v>
      </c>
      <c r="CP15" s="54" cm="1">
        <f t="array" ref="CP15">IFERROR(VLOOKUP($A15,TRANSPOSE('[1]Fur 2 PLC'!$AR$1:$BV$38),10,0),0)</f>
        <v>0</v>
      </c>
      <c r="CQ15" s="54" cm="1">
        <f t="array" ref="CQ15">IFERROR(VLOOKUP($A15,TRANSPOSE('[1]Fur 2 PLC'!$AR$1:$BV$38),7,0),0)</f>
        <v>232.0905035054175</v>
      </c>
      <c r="CR15" s="54" cm="1">
        <f t="array" ref="CR15">IFERROR(VLOOKUP($A15,TRANSPOSE('[1]Fur 2 PLC'!$AR$1:$BV$38),35,0),0)</f>
        <v>3.2186105799872533</v>
      </c>
      <c r="CS15" s="54" cm="1">
        <f t="array" ref="CS15">IFERROR(VLOOKUP($A15,TRANSPOSE('[1]Fur 2 PLC'!$AR$1:$BV$38),11,0),0)</f>
        <v>723.58189929891648</v>
      </c>
      <c r="CT15" s="54" cm="1">
        <f t="array" ref="CT15">IFERROR(VLOOKUP($A15,TRANSPOSE('[1]Fur 2 PLC'!$AR$1:$BV$38),19,0),0)</f>
        <v>0</v>
      </c>
      <c r="CU15" s="54" cm="1">
        <f t="array" ref="CU15">IFERROR(VLOOKUP($A15,TRANSPOSE('[1]Fur 2 PLC'!$AR$1:$BV$38),18,0),0)</f>
        <v>0</v>
      </c>
      <c r="CV15" s="54" cm="1">
        <f t="array" ref="CV15">IFERROR(VLOOKUP($A15,TRANSPOSE('[1]Fur 2 PLC'!$AR$1:$BV$38),15,0),0)</f>
        <v>336.42447418738055</v>
      </c>
      <c r="CW15" s="54" cm="1">
        <f t="array" ref="CW15">IFERROR(VLOOKUP($A15,TRANSPOSE('[1]Fur 2 PLC'!$CI$1:$DM$38),8,0),0)</f>
        <v>0</v>
      </c>
      <c r="CX15" s="54" cm="1">
        <f t="array" ref="CX15">IFERROR(VLOOKUP($A15,TRANSPOSE('[1]Fur 2 PLC'!$CI$1:$DM$38),30,0),0)</f>
        <v>0</v>
      </c>
      <c r="CY15" s="54" cm="1">
        <f t="array" ref="CY15">IFERROR(VLOOKUP($A15,TRANSPOSE('[1]Fur 2 PLC'!$CI$1:$DM$38),14,0),0)</f>
        <v>0</v>
      </c>
      <c r="CZ15" s="54" cm="1">
        <f t="array" ref="CZ15">IFERROR(VLOOKUP($A15,TRANSPOSE('[1]Fur 2 PLC'!$CI$1:$DM$38),16,0),0)</f>
        <v>0</v>
      </c>
      <c r="DA15" s="54" cm="1">
        <f t="array" ref="DA15">IFERROR(VLOOKUP($A15,TRANSPOSE('[1]Fur 2 PLC'!$CI$1:$DM$38),9,0),0)</f>
        <v>222.39130434782609</v>
      </c>
      <c r="DB15" s="55" cm="1">
        <f t="array" ref="DB15">IFERROR(VLOOKUP($A15,TRANSPOSE('[1]Fur 2 PLC'!$CI$1:$DM$38),17,0),0)</f>
        <v>160.34782608695653</v>
      </c>
      <c r="DC15" s="55" cm="1">
        <f t="array" ref="DC15">IFERROR(VLOOKUP($A15,TRANSPOSE('[1]Fur 2 PLC'!$CI$1:$DM$38),20,0),0)</f>
        <v>0</v>
      </c>
      <c r="DD15" s="54" cm="1">
        <f t="array" ref="DD15">IFERROR(VLOOKUP($A15,TRANSPOSE('[1]Fur 2 PLC'!$CI$1:$DM$38),28,0),0)</f>
        <v>63.289855072463766</v>
      </c>
      <c r="DE15" s="54" cm="1">
        <f t="array" ref="DE15">IFERROR(VLOOKUP($A15,TRANSPOSE('[1]Fur 2 PLC'!$CI$1:$DM$38),13,0),0)</f>
        <v>0</v>
      </c>
      <c r="DF15" s="54" cm="1">
        <f t="array" ref="DF15">IFERROR(VLOOKUP($A15,TRANSPOSE('[1]Fur 2 PLC'!$CI$1:$DM$38),37,0),0)</f>
        <v>285.02898550724643</v>
      </c>
      <c r="DG15" s="54" cm="1">
        <f t="array" ref="DG15">IFERROR(VLOOKUP($A15,TRANSPOSE('[1]Fur 2 PLC'!$CI$1:$DM$38),6,0),0)</f>
        <v>0</v>
      </c>
      <c r="DH15" s="54" cm="1">
        <f t="array" ref="DH15">IFERROR(VLOOKUP($A15,TRANSPOSE('[1]Fur 2 PLC'!$CI$1:$DM$38),21,0),0)</f>
        <v>0</v>
      </c>
      <c r="DI15" s="54" cm="1">
        <f t="array" ref="DI15">IFERROR(VLOOKUP($A15,TRANSPOSE('[1]Fur 2 PLC'!$CI$1:$DM$38),12,0),0)</f>
        <v>0</v>
      </c>
      <c r="DJ15" s="54" cm="1">
        <f t="array" ref="DJ15">IFERROR(VLOOKUP($A15,TRANSPOSE('[1]Fur 2 PLC'!$CI$1:$DM$38),25,0),0)</f>
        <v>0</v>
      </c>
      <c r="DK15" s="54" cm="1">
        <f t="array" ref="DK15">IFERROR(VLOOKUP($A15,TRANSPOSE('[1]Fur 2 PLC'!$CI$1:$DM$38),26,0),0)</f>
        <v>0</v>
      </c>
      <c r="DL15" s="54" cm="1">
        <f t="array" ref="DL15">IFERROR(VLOOKUP($A15,TRANSPOSE('[1]Fur 2 PLC'!$CI$1:$DM$38),27,0),0)</f>
        <v>223.8840579710145</v>
      </c>
      <c r="DM15" s="54" cm="1">
        <f t="array" ref="DM15">IFERROR(VLOOKUP($A15,TRANSPOSE('[1]Fur 2 PLC'!$CI$1:$DM$38),22,0),0)</f>
        <v>0</v>
      </c>
      <c r="DN15" s="54" cm="1">
        <f t="array" ref="DN15">IFERROR(VLOOKUP($A15,TRANSPOSE('[1]Fur 2 PLC'!$CI$1:$DM$38),19,0),0)</f>
        <v>0</v>
      </c>
      <c r="DO15" s="54" cm="1">
        <f t="array" ref="DO15">IFERROR(VLOOKUP($A15,TRANSPOSE('[1]Fur 2 PLC'!$CI$1:$DM$38),29,0),0)</f>
        <v>0</v>
      </c>
      <c r="DP15" s="54" cm="1">
        <f t="array" ref="DP15">IFERROR(VLOOKUP($A15,TRANSPOSE('[1]Fur 2 PLC'!$CI$1:$DM$38),10,0),0)</f>
        <v>0</v>
      </c>
      <c r="DQ15" s="54" cm="1">
        <f t="array" ref="DQ15">IFERROR(VLOOKUP($A15,TRANSPOSE('[1]Fur 2 PLC'!$CI$1:$DM$38),7,0),0)</f>
        <v>105.55072463768117</v>
      </c>
      <c r="DR15" s="54" cm="1">
        <f t="array" ref="DR15">IFERROR(VLOOKUP($A15,TRANSPOSE('[1]Fur 2 PLC'!$CI$1:$DM$38),35,0),0)</f>
        <v>1.463768115942029</v>
      </c>
      <c r="DS15" s="54" cm="1">
        <f t="array" ref="DS15">IFERROR(VLOOKUP($A15,TRANSPOSE('[1]Fur 2 PLC'!$CI$1:$DM$38),11,0),0)</f>
        <v>329.07246376811594</v>
      </c>
      <c r="DT15" s="54" cm="1">
        <f t="array" ref="DT15">IFERROR(VLOOKUP($A15,TRANSPOSE('[1]Fur 2 PLC'!$CI$1:$DM$38),19,0),0)</f>
        <v>0</v>
      </c>
      <c r="DU15" s="54" cm="1">
        <f t="array" ref="DU15">IFERROR(VLOOKUP($A15,TRANSPOSE('[1]Fur 2 PLC'!$CI$1:$DM$38),18,0),0)</f>
        <v>0</v>
      </c>
      <c r="DV15" s="54" cm="1">
        <f t="array" ref="DV15">IFERROR(VLOOKUP($A15,TRANSPOSE('[1]Fur 2 PLC'!$CI$1:$DM$38),15,0),0)</f>
        <v>153</v>
      </c>
      <c r="DW15" t="str">
        <f t="shared" ref="DW15:DW17" si="15">TEXT(C15,"Mmm-yy")</f>
        <v>Dec-25</v>
      </c>
    </row>
    <row r="16" spans="1:127" x14ac:dyDescent="0.3">
      <c r="A16" s="28" t="str">
        <f t="shared" si="1"/>
        <v>F345995</v>
      </c>
      <c r="B16" s="29" t="s">
        <v>28</v>
      </c>
      <c r="C16" s="30">
        <f>C15</f>
        <v>45995</v>
      </c>
      <c r="D16" s="29" t="str">
        <f>VLOOKUP($B16&amp;$C16,'[1]FC3 Prod'!$A$6:$BP$36,[2]Consolidated!D$1)</f>
        <v>Mr. Ajay Singh</v>
      </c>
      <c r="E16" s="29">
        <f>VLOOKUP($B16&amp;$C16,'[1]FC3 Prod'!$A$6:$BP$36,[2]Consolidated!E$1)</f>
        <v>36.589999999999996</v>
      </c>
      <c r="F16" s="31">
        <f>VLOOKUP($B16&amp;$C16,'[1]FC3 Prod'!$A$6:$BP$36,[2]Consolidated!F$1)</f>
        <v>0.30000000000000426</v>
      </c>
      <c r="G16" s="32">
        <f>VLOOKUP($B16&amp;$C16,'[1]FC3 Prod'!$A$6:$BP$36,[2]Consolidated!G$1)</f>
        <v>36.89</v>
      </c>
      <c r="H16" s="32">
        <f>VLOOKUP($B16&amp;$C16,'[1]FC3 Prod'!$A$6:$BP$36,[2]Consolidated!H$1)</f>
        <v>26.414999999999999</v>
      </c>
      <c r="I16" s="32">
        <f>VLOOKUP($B16&amp;$C16,'[1]FC3 Prod'!$A$6:$BP$36,[2]Consolidated!I$1)</f>
        <v>10.56</v>
      </c>
      <c r="J16" s="32">
        <f>VLOOKUP($B16&amp;$C16,'[1]FC3 Prod'!$A$6:$BP$36,[2]Consolidated!J$1)</f>
        <v>38.840000000000003</v>
      </c>
      <c r="K16" s="32">
        <f>VLOOKUP($B16&amp;$C16,'[1]FC3 Prod'!$A$6:$BP$36,[2]Consolidated!K$1)</f>
        <v>1.29</v>
      </c>
      <c r="L16" s="32">
        <f>VLOOKUP($B16&amp;$C16,'[1]FC3 Prod'!$A$6:$BP$36,[2]Consolidated!L$1)</f>
        <v>26.2</v>
      </c>
      <c r="M16" s="32">
        <f>VLOOKUP($B16&amp;$C16,'[1]FC3 Prod'!$A$6:$BP$36,[2]Consolidated!M$1)</f>
        <v>4.92</v>
      </c>
      <c r="N16" s="32">
        <f>VLOOKUP($B16&amp;$C16,'[1]FC3 Prod'!$A$6:$BP$36,[2]Consolidated!N$1)</f>
        <v>14.82</v>
      </c>
      <c r="O16" s="32">
        <f>VLOOKUP($B16&amp;$C16,'[1]FC3 Prod'!$A$6:$BP$36,[2]Consolidated!O$1)</f>
        <v>0.8</v>
      </c>
      <c r="P16" s="33">
        <f>VLOOKUP($B16&amp;$C16,'[1]FC3 Prod'!$A$6:$BP$36,[2]Consolidated!P$1)</f>
        <v>8</v>
      </c>
      <c r="Q16" s="29">
        <f>VLOOKUP($B16&amp;$C16,'[1]FC3 Prod'!$A$6:$BP$36,[2]Consolidated!Q$1)</f>
        <v>80.474000000000004</v>
      </c>
      <c r="R16" s="29">
        <f>VLOOKUP($B16&amp;$C16,'[1]FC3 Prod'!$A$6:$BP$36,[2]Consolidated!R$1)</f>
        <v>24.718999999999998</v>
      </c>
      <c r="S16" s="34">
        <f>VLOOKUP($B16&amp;$C16,'[1]FC3 Prod'!$A$6:$BP$36,[2]Consolidated!S$1)</f>
        <v>38</v>
      </c>
      <c r="T16" s="34">
        <f>VLOOKUP($B16&amp;$C16,'[1]FC3 Prod'!$A$6:$BP$36,[2]Consolidated!T$1)</f>
        <v>20</v>
      </c>
      <c r="U16" s="34">
        <f>VLOOKUP($B16&amp;$C16,'[1]FC3 Prod'!$A$6:$BP$36,[2]Consolidated!U$1)</f>
        <v>17</v>
      </c>
      <c r="V16" s="34">
        <f>VLOOKUP($B16&amp;$C16,'[1]FC3 Prod'!$A$6:$BP$36,[2]Consolidated!V$1)</f>
        <v>75</v>
      </c>
      <c r="W16" s="35">
        <f>VLOOKUP($B16&amp;$C16,'[1]FC3 Prod'!$A$6:$BP$36,[2]Consolidated!W$1)</f>
        <v>2.1993440830828099</v>
      </c>
      <c r="X16" s="35">
        <f>VLOOKUP($B16&amp;$C16,'[1]FC3 Prod'!$A$6:$BP$36,[2]Consolidated!X$1)</f>
        <v>38.034999999999997</v>
      </c>
      <c r="Y16" s="36">
        <f>VLOOKUP($B16&amp;$C16,'[1]FC3 Prod'!$A$6:$BP$36,[2]Consolidated!Y$1)</f>
        <v>0.96200867621927166</v>
      </c>
      <c r="Z16" s="37" t="str">
        <f>VLOOKUP($B16&amp;$C16,'[1]FC3 Prod'!$A$6:$BP$36,[2]Consolidated!Z$1)</f>
        <v>60/15</v>
      </c>
      <c r="AA16" s="31">
        <f>VLOOKUP($B16&amp;$C16,'[1]FC3 Prod'!$A$6:$BP$36,[2]Consolidated!AA$1)</f>
        <v>59.528750000000002</v>
      </c>
      <c r="AB16" s="31">
        <f>VLOOKUP($B16&amp;$C16,'[1]FC3 Prod'!$A$6:$BP$36,[2]Consolidated!AB$1)</f>
        <v>15.32375</v>
      </c>
      <c r="AC16" s="31"/>
      <c r="AD16" s="38">
        <f>VLOOKUP($B16&amp;$C16,'[1]FC3 Prod'!$A$6:$BP$36,[2]Consolidated!AD$1)</f>
        <v>672.73980054659762</v>
      </c>
      <c r="AE16" s="38">
        <f>VLOOKUP($B16&amp;$C16,'[1]FC3 Prod'!$A$6:$BP$36,[2]Consolidated!AE$1)</f>
        <v>717.38607049467078</v>
      </c>
      <c r="AF16" s="39">
        <f>VLOOKUP($B16&amp;$C16,'[1]FC3 Prod'!$A$6:$BP$36,[2]Consolidated!AF$1)</f>
        <v>0.88487034588459312</v>
      </c>
      <c r="AG16" s="39">
        <f>VLOOKUP($B16&amp;$C16,'[1]FC3 Prod'!$A$6:$BP$36,[2]Consolidated!AG$1)</f>
        <v>0.82980075092553984</v>
      </c>
      <c r="AH16" s="34">
        <f>VLOOKUP($B16&amp;$C16,'[1]FC3 Prod'!$A$6:$BP$36,[2]Consolidated!AH$1)</f>
        <v>371.39607816343266</v>
      </c>
      <c r="AI16" s="33">
        <f>VLOOKUP($B16&amp;$C16,'[1]FC3 Prod'!$A$6:$BP$36,[2]Consolidated!AI$1)</f>
        <v>406.67281361027614</v>
      </c>
      <c r="AJ16" s="39">
        <f>VLOOKUP($B16&amp;$C16,'[1]FC3 Prod'!$A$6:$BP$36,[2]Consolidated!AJ$1)</f>
        <v>0.40262413326565694</v>
      </c>
      <c r="AK16" s="39">
        <f>VLOOKUP($B16&amp;$C16,'[1]FC3 Prod'!$A$6:$BP$36,[2]Consolidated!AK$1)</f>
        <v>0.4473185389245834</v>
      </c>
      <c r="AL16" s="40" t="str">
        <f>VLOOKUP($B16&amp;$C16,'[1]FC3 Prod'!$A$6:$BP$36,[2]Consolidated!AL$1)</f>
        <v>25/50</v>
      </c>
      <c r="AM16" s="41">
        <f>VLOOKUP($B16&amp;$C16,'[1]FC3 Prod'!$A$6:$BP$36,[2]Consolidated!AM$1)</f>
        <v>3.6348729160972947E-2</v>
      </c>
      <c r="AN16" s="42">
        <f>VLOOKUP($B16&amp;$C16,'[1]FC3 Prod'!$A$6:$BP$36,[2]Consolidated!AN$1)</f>
        <v>143</v>
      </c>
      <c r="AO16" s="43">
        <f>VLOOKUP($B16&amp;$C16,'[1]FC3 Prod'!$A$6:$BP$36,[2]Consolidated!AO$1)</f>
        <v>6.5759999999999996</v>
      </c>
      <c r="AP16" s="44">
        <f>VLOOKUP($B16&amp;$C16,'[1]FC3 Prod'!$A$6:$BP$36,[2]Consolidated!AP$1)</f>
        <v>4.0878928669035259</v>
      </c>
      <c r="AQ16" s="44">
        <f>VLOOKUP($B16&amp;$C16,'[1]FC3 Prod'!$A$6:$BP$36,[2]Consolidated!AQ$1)</f>
        <v>29.546218884749152</v>
      </c>
      <c r="AR16" s="45">
        <f>VLOOKUP($B16&amp;$C16,'[1]FC3 Prod'!$A$6:$BP$36,[2]Consolidated!AR$1)</f>
        <v>0.97677595628415315</v>
      </c>
      <c r="AS16" s="46">
        <f>VLOOKUP($B16&amp;$C16,'[1]FC3 Prod'!$A$6:$BP$36,[2]Consolidated!AS$1)</f>
        <v>2.2416666666666667</v>
      </c>
      <c r="AT16" s="29">
        <f>VLOOKUP($B16&amp;$C16,'[1]FC3 Prod'!$A$6:$BP$36,[2]Consolidated!AT$1)</f>
        <v>0.80128528834898383</v>
      </c>
      <c r="AU16" s="34">
        <f>VLOOKUP($B16&amp;$C16,'[1]FC3 Prod'!$A$6:$BP$36,[2]Consolidated!AU$1)</f>
        <v>529.92514619883048</v>
      </c>
      <c r="AV16" s="34">
        <f>VLOOKUP($B16&amp;$C16,'[1]FC3 Prod'!$A$6:$BP$36,[2]Consolidated!AV$1)</f>
        <v>308.33333333333331</v>
      </c>
      <c r="AW16" s="47">
        <f>VLOOKUP($B16&amp;$C16,'[1]FC3 Prod'!$A$6:$BP$36,[2]Consolidated!AW$1)</f>
        <v>25987.933861710855</v>
      </c>
      <c r="AX16" s="47">
        <f>VLOOKUP($B16&amp;$C16,'[1]FC3 Prod'!$A$6:$BP$36,[2]Consolidated!AX$1)</f>
        <v>8871.4523093741464</v>
      </c>
      <c r="AY16" s="48">
        <f>VLOOKUP($B16&amp;$C16,'[1]FC3 Prod'!$A$6:$BP$36,[2]Consolidated!AY$1)</f>
        <v>1298.715496037169</v>
      </c>
      <c r="AZ16" s="47">
        <f>VLOOKUP($B16&amp;$C16,'[1]FC3 Prod'!$A$6:$BP$36,[2]Consolidated!AZ$1)</f>
        <v>2557.9652910631321</v>
      </c>
      <c r="BA16" s="47">
        <f>VLOOKUP($B16&amp;$C16,'[1]FC3 Prod'!$A$6:$BP$36,[2]Consolidated!BA$1)</f>
        <v>23914.173271385625</v>
      </c>
      <c r="BB16" s="47">
        <f>VLOOKUP($B16&amp;$C16,'[1]FC3 Prod'!$A$6:$BP$36,[2]Consolidated!BB$1)</f>
        <v>626.30240229570938</v>
      </c>
      <c r="BC16" s="47">
        <f>VLOOKUP($B16&amp;$C16,'[1]FC3 Prod'!$A$6:$BP$36,[2]Consolidated!BC$1)</f>
        <v>7766.9964471166995</v>
      </c>
      <c r="BD16" s="49">
        <f>VLOOKUP($B16&amp;$C16,'[1]FC3 Prod'!$A$6:$BP$36,[2]Consolidated!BD$1)</f>
        <v>71023.539078983347</v>
      </c>
      <c r="BE16" s="47">
        <f>VLOOKUP($B16&amp;$C16,'[1]FC3 Prod'!$A$6:$BP$36,[2]Consolidated!BE$1)</f>
        <v>27874.524186936327</v>
      </c>
      <c r="BF16" s="47">
        <f>VLOOKUP($B16&amp;$C16,'[1]FC3 Prod'!$A$6:$BP$36,[2]Consolidated!BF$1)</f>
        <v>9556.0096747745283</v>
      </c>
      <c r="BG16" s="50">
        <f>VLOOKUP($B16&amp;$C16,'[1]FC3 Prod'!$A$6:$BP$36,[2]Consolidated!BG$1)</f>
        <v>1111.803771522274</v>
      </c>
      <c r="BH16" s="50">
        <f>VLOOKUP($B16&amp;$C16,'[1]FC3 Prod'!$A$6:$BP$36,[2]Consolidated!BH$1)</f>
        <v>650.14476195681891</v>
      </c>
      <c r="BI16" s="50">
        <f>VLOOKUP($B16&amp;$C16,'[1]FC3 Prod'!$A$6:$BP$36,[2]Consolidated!BI$1)</f>
        <v>73431.617404755423</v>
      </c>
      <c r="BJ16" s="37" t="e">
        <f>VLOOKUP($B16&amp;$C16,'[1]FC3 Prod'!$A$6:$BP$36,[2]Consolidated!BJ$1)</f>
        <v>#REF!</v>
      </c>
      <c r="BK16" s="37" t="e">
        <f>VLOOKUP($B16&amp;$C16,'[1]FC3 Prod'!$A$6:$BP$36,[2]Consolidated!BK$1)</f>
        <v>#REF!</v>
      </c>
      <c r="BL16" s="37" t="e">
        <f>VLOOKUP($B16&amp;$C16,'[1]FC3 Prod'!$A$6:$BP$36,[2]Consolidated!BL$1)</f>
        <v>#REF!</v>
      </c>
      <c r="BM16" s="37" t="e">
        <f>VLOOKUP($B16&amp;$C16,'[1]FC3 Prod'!$A$6:$BP$36,[2]Consolidated!BM$1)</f>
        <v>#REF!</v>
      </c>
      <c r="BN16" s="37" t="e">
        <f>VLOOKUP($B16&amp;$C16,'[1]FC3 Prod'!$A$6:$BP$36,[2]Consolidated!BN$1)</f>
        <v>#REF!</v>
      </c>
      <c r="BO16" s="37" t="e">
        <f>VLOOKUP($B16&amp;$C16,'[1]FC3 Prod'!$A$6:$BP$36,[2]Consolidated!BO$1)</f>
        <v>#REF!</v>
      </c>
      <c r="BP16" s="37" t="str">
        <f>VLOOKUP($B16&amp;$C16,'[1]FC3 Prod'!$A$6:$BP$36,[2]Consolidated!BP$1)</f>
        <v>NIL</v>
      </c>
      <c r="BQ16" s="51" t="e">
        <f>VLOOKUP($B16&amp;$C16,'[1]FC3 Prod'!$A$6:$BP$36,[2]Consolidated!BQ$1)</f>
        <v>#REF!</v>
      </c>
      <c r="BR16" s="51">
        <f>VLOOKUP($B16&amp;$C16,'[1]FC3 Prod'!$A$6:$BQ$36,[2]Consolidated!BR$1)</f>
        <v>60369</v>
      </c>
      <c r="BS16" s="52">
        <f t="shared" si="14"/>
        <v>62456.510904618757</v>
      </c>
      <c r="BT16" s="32">
        <f t="shared" ref="BT16:BT17" si="16">BR16-BS16</f>
        <v>-2087.5109046187572</v>
      </c>
      <c r="BU16" s="37">
        <f t="shared" ref="BU16:BU17" si="17">E16*BT16</f>
        <v>-76382.024000000325</v>
      </c>
      <c r="BV16" s="53" t="s">
        <v>130</v>
      </c>
      <c r="BW16" s="54" cm="1">
        <f t="array" ref="BW16">IFERROR(VLOOKUP($A16,TRANSPOSE('[1]Fur 3 PLC'!$AS$1:$BX$38),8,0),0)</f>
        <v>953.75785733807072</v>
      </c>
      <c r="BX16" s="54" cm="1">
        <f t="array" ref="BX16">IFERROR(VLOOKUP($A16,TRANSPOSE('[1]Fur 3 PLC'!$AS$1:$BX$38),30,0),0)</f>
        <v>0</v>
      </c>
      <c r="BY16" s="54" cm="1">
        <f t="array" ref="BY16">IFERROR(VLOOKUP($A16,TRANSPOSE('[1]Fur 3 PLC'!$AS$1:$BX$38),14,0),0)</f>
        <v>0</v>
      </c>
      <c r="BZ16" s="54" cm="1">
        <f t="array" ref="BZ16">IFERROR(VLOOKUP($A16,TRANSPOSE('[1]Fur 3 PLC'!$AS$1:$BX$38),16,0),0)</f>
        <v>0</v>
      </c>
      <c r="CA16" s="54" cm="1">
        <f t="array" ref="CA16">IFERROR(VLOOKUP($A16,TRANSPOSE('[1]Fur 3 PLC'!$AS$1:$BX$38),9,0),0)</f>
        <v>430.55479639245698</v>
      </c>
      <c r="CB16" s="54" cm="1">
        <f t="array" ref="CB16">IFERROR(VLOOKUP($A16,TRANSPOSE('[1]Fur 3 PLC'!$AS$1:$BX$38),17,0),0)</f>
        <v>0</v>
      </c>
      <c r="CC16" s="54" cm="1">
        <f t="array" ref="CC16">IFERROR(VLOOKUP($A16,TRANSPOSE('[1]Fur 3 PLC'!$AS$1:$BX$38),20,0),0)</f>
        <v>51.270839027056574</v>
      </c>
      <c r="CD16" s="54" cm="1">
        <f t="array" ref="CD16">IFERROR(VLOOKUP($A16,TRANSPOSE('[1]Fur 3 PLC'!$AS$1:$BX$38),28,0),0)</f>
        <v>0</v>
      </c>
      <c r="CE16" s="54" cm="1">
        <f t="array" ref="CE16">IFERROR(VLOOKUP($A16,TRANSPOSE('[1]Fur 3 PLC'!$AS$1:$BX$38),13,0),0)</f>
        <v>0</v>
      </c>
      <c r="CF16" s="54" cm="1">
        <f t="array" ref="CF16">IFERROR(VLOOKUP($A16,TRANSPOSE('[1]Fur 3 PLC'!$AS$1:$BX$38),37,0),0)</f>
        <v>411.77917463787929</v>
      </c>
      <c r="CG16" s="54" cm="1">
        <f t="array" ref="CG16">IFERROR(VLOOKUP($A16,TRANSPOSE('[1]Fur 3 PLC'!$AS$1:$BX$38),6,0),0)</f>
        <v>0</v>
      </c>
      <c r="CH16" s="54" cm="1">
        <f t="array" ref="CH16">IFERROR(VLOOKUP($A16,TRANSPOSE('[1]Fur 3 PLC'!$AS$1:$BX$38),21,0),0)</f>
        <v>0</v>
      </c>
      <c r="CI16" s="54" cm="1">
        <f t="array" ref="CI16">IFERROR(VLOOKUP($A16,TRANSPOSE('[1]Fur 3 PLC'!$AS$1:$BX$38),12,0),0)</f>
        <v>0</v>
      </c>
      <c r="CJ16" s="54" cm="1">
        <f t="array" ref="CJ16">IFERROR(VLOOKUP($A16,TRANSPOSE('[1]Fur 3 PLC'!$AS$1:$BX$38),25,0),0)</f>
        <v>0</v>
      </c>
      <c r="CK16" s="54" cm="1">
        <f t="array" ref="CK16">IFERROR(VLOOKUP($A16,TRANSPOSE('[1]Fur 3 PLC'!$AS$1:$BX$38),26,0),0)</f>
        <v>378.27275211806506</v>
      </c>
      <c r="CL16" s="54" cm="1">
        <f t="array" ref="CL16">IFERROR(VLOOKUP($A16,TRANSPOSE('[1]Fur 3 PLC'!$AS$1:$BX$38),27,0),0)</f>
        <v>163.67860071057666</v>
      </c>
      <c r="CM16" s="54" cm="1">
        <f t="array" ref="CM16">IFERROR(VLOOKUP($A16,TRANSPOSE('[1]Fur 3 PLC'!$AS$1:$BX$38),22,0),0)</f>
        <v>0</v>
      </c>
      <c r="CN16" s="54"/>
      <c r="CO16" s="54" cm="1">
        <f t="array" ref="CO16">IFERROR(VLOOKUP($A16,TRANSPOSE('[1]Fur 3 PLC'!$AS$1:$BX$38),29,0),0)</f>
        <v>133.6157420060126</v>
      </c>
      <c r="CP16" s="54" cm="1">
        <f t="array" ref="CP16">IFERROR(VLOOKUP($A16,TRANSPOSE('[1]Fur 3 PLC'!$AS$1:$BX$38),10,0),0)</f>
        <v>0</v>
      </c>
      <c r="CQ16" s="54" cm="1">
        <f t="array" ref="CQ16">IFERROR(VLOOKUP($A16,TRANSPOSE('[1]Fur 3 PLC'!$AS$1:$BX$38),7,0),0)</f>
        <v>228.66903525553434</v>
      </c>
      <c r="CR16" s="54" cm="1">
        <f t="array" ref="CR16">IFERROR(VLOOKUP($A16,TRANSPOSE('[1]Fur 3 PLC'!$AS$1:$BX$38),35,0),0)</f>
        <v>0</v>
      </c>
      <c r="CS16" s="54" cm="1">
        <f t="array" ref="CS16">IFERROR(VLOOKUP($A16,TRANSPOSE('[1]Fur 3 PLC'!$AS$1:$BX$38),11,0),0)</f>
        <v>0</v>
      </c>
      <c r="CT16" s="54" cm="1">
        <f t="array" ref="CT16">IFERROR(VLOOKUP($A16,TRANSPOSE('[1]Fur 3 PLC'!$AS$1:$BX$38),19,0),0)</f>
        <v>0</v>
      </c>
      <c r="CU16" s="54" cm="1">
        <f t="array" ref="CU16">IFERROR(VLOOKUP($A16,TRANSPOSE('[1]Fur 3 PLC'!$AS$1:$BX$38),18,0),0)</f>
        <v>353.48455862257447</v>
      </c>
      <c r="CV16" s="54" cm="1">
        <f t="array" ref="CV16">IFERROR(VLOOKUP($A16,TRANSPOSE('[1]Fur 3 PLC'!$AR$1:$BV$38),15,0),0)</f>
        <v>410.27603170265104</v>
      </c>
      <c r="CW16" s="54" cm="1">
        <f t="array" ref="CW16">IFERROR(VLOOKUP($A16,TRANSPOSE('[1]Fur 3 PLC'!$CK$1:$DO$38),8,0),0)</f>
        <v>465.30666666666673</v>
      </c>
      <c r="CX16" s="54" cm="1">
        <f t="array" ref="CX16">IFERROR(VLOOKUP($A16,TRANSPOSE('[1]Fur 3 PLC'!$CK$1:$DO$38),30,0),0)</f>
        <v>0</v>
      </c>
      <c r="CY16" s="54" cm="1">
        <f t="array" ref="CY16">IFERROR(VLOOKUP($A16,TRANSPOSE('[1]Fur 3 PLC'!$CK$1:$DO$38),14,0),0)</f>
        <v>0</v>
      </c>
      <c r="CZ16" s="54" cm="1">
        <f t="array" ref="CZ16">IFERROR(VLOOKUP($A16,TRANSPOSE('[1]Fur 3 PLC'!$CK$1:$DO$38),16,0),0)</f>
        <v>0</v>
      </c>
      <c r="DA16" s="54" cm="1">
        <f t="array" ref="DA16">IFERROR(VLOOKUP($A16,TRANSPOSE('[1]Fur 3 PLC'!$CK$1:$DO$38),9,0),0)</f>
        <v>210.05333333333331</v>
      </c>
      <c r="DB16" s="55" cm="1">
        <f t="array" ref="DB16">IFERROR(VLOOKUP($A16,TRANSPOSE('[1]Fur 3 PLC'!$CK$1:$DO$38),17,0),0)</f>
        <v>0</v>
      </c>
      <c r="DC16" s="55" cm="1">
        <f t="array" ref="DC16">IFERROR(VLOOKUP($A16,TRANSPOSE('[1]Fur 3 PLC'!$CK$1:$DO$38),20,0),0)</f>
        <v>25.013333333333332</v>
      </c>
      <c r="DD16" s="54" cm="1">
        <f t="array" ref="DD16">IFERROR(VLOOKUP($A16,TRANSPOSE('[1]Fur 3 PLC'!$CK$1:$DO$38),28,0),0)</f>
        <v>0</v>
      </c>
      <c r="DE16" s="54" cm="1">
        <f t="array" ref="DE16">IFERROR(VLOOKUP($A16,TRANSPOSE('[1]Fur 3 PLC'!$CK$1:$DO$38),13,0),0)</f>
        <v>0</v>
      </c>
      <c r="DF16" s="54" cm="1">
        <f t="array" ref="DF16">IFERROR(VLOOKUP($A16,TRANSPOSE('[1]Fur 3 PLC'!$CK$1:$DO$38),37,0),0)</f>
        <v>200.89333333333335</v>
      </c>
      <c r="DG16" s="54" cm="1">
        <f t="array" ref="DG16">IFERROR(VLOOKUP($A16,TRANSPOSE('[1]Fur 3 PLC'!$CK$1:$DO$38),6,0),0)</f>
        <v>0</v>
      </c>
      <c r="DH16" s="54" cm="1">
        <f t="array" ref="DH16">IFERROR(VLOOKUP($A16,TRANSPOSE('[1]Fur 3 PLC'!$CK$1:$DO$38),21,0),0)</f>
        <v>0</v>
      </c>
      <c r="DI16" s="54" cm="1">
        <f t="array" ref="DI16">IFERROR(VLOOKUP($A16,TRANSPOSE('[1]Fur 3 PLC'!$CK$1:$DO$38),12,0),0)</f>
        <v>0</v>
      </c>
      <c r="DJ16" s="54" cm="1">
        <f t="array" ref="DJ16">IFERROR(VLOOKUP($A16,TRANSPOSE('[1]Fur 3 PLC'!$CK$1:$DO$38),25,0),0)</f>
        <v>0</v>
      </c>
      <c r="DK16" s="54" cm="1">
        <f t="array" ref="DK16">IFERROR(VLOOKUP($A16,TRANSPOSE('[1]Fur 3 PLC'!$CK$1:$DO$38),26,0),0)</f>
        <v>184.54666666666665</v>
      </c>
      <c r="DL16" s="54" cm="1">
        <f t="array" ref="DL16">IFERROR(VLOOKUP($A16,TRANSPOSE('[1]Fur 3 PLC'!$CK$1:$DO$38),27,0),0)</f>
        <v>79.853333333333325</v>
      </c>
      <c r="DM16" s="54" cm="1">
        <f t="array" ref="DM16">IFERROR(VLOOKUP($A16,TRANSPOSE('[1]Fur 3 PLC'!$CK$1:$DO$38),22,0),0)</f>
        <v>0</v>
      </c>
      <c r="DN16" s="54" cm="1">
        <f t="array" ref="DN16">IFERROR(VLOOKUP($A16,TRANSPOSE('[1]Fur 3 PLC'!$CK$1:$DO$38),19,0),0)</f>
        <v>0</v>
      </c>
      <c r="DO16" s="54" cm="1">
        <f t="array" ref="DO16">IFERROR(VLOOKUP($A16,TRANSPOSE('[1]Fur 3 PLC'!$CK$1:$DO$38),29,0),0)</f>
        <v>65.186666666666667</v>
      </c>
      <c r="DP16" s="54" cm="1">
        <f t="array" ref="DP16">IFERROR(VLOOKUP($A16,TRANSPOSE('[1]Fur 3 PLC'!$CK$1:$DO$38),10,0),0)</f>
        <v>0</v>
      </c>
      <c r="DQ16" s="54" cm="1">
        <f t="array" ref="DQ16">IFERROR(VLOOKUP($A16,TRANSPOSE('[1]Fur 3 PLC'!$CK$1:$DO$38),7,0),0)</f>
        <v>111.56</v>
      </c>
      <c r="DR16" s="54" cm="1">
        <f t="array" ref="DR16">IFERROR(VLOOKUP($A16,TRANSPOSE('[1]Fur 3 PLC'!$CK$1:$DO$38),35,0),0)</f>
        <v>0</v>
      </c>
      <c r="DS16" s="54" cm="1">
        <f t="array" ref="DS16">IFERROR(VLOOKUP($A16,TRANSPOSE('[1]Fur 3 PLC'!$CK$1:$DO$38),11,0),0)</f>
        <v>0</v>
      </c>
      <c r="DT16" s="54" cm="1">
        <f t="array" ref="DT16">IFERROR(VLOOKUP($A16,TRANSPOSE('[1]Fur 3 PLC'!$CK$1:$DO$38),19,0),0)</f>
        <v>0</v>
      </c>
      <c r="DU16" s="54" cm="1">
        <f t="array" ref="DU16">IFERROR(VLOOKUP($A16,TRANSPOSE('[1]Fur 3 PLC'!$CK$1:$DO$38),18,0),0)</f>
        <v>172.45333333333332</v>
      </c>
      <c r="DV16" s="54" cm="1">
        <f t="array" ref="DV16">IFERROR(VLOOKUP($A16,TRANSPOSE('[1]Fur 3 PLC'!$CK$1:$DO$38),15,0),0)</f>
        <v>200.16</v>
      </c>
      <c r="DW16" t="str">
        <f t="shared" si="15"/>
        <v>Dec-25</v>
      </c>
    </row>
    <row r="17" spans="1:127" x14ac:dyDescent="0.3">
      <c r="A17" s="28" t="str">
        <f t="shared" si="1"/>
        <v>F445995</v>
      </c>
      <c r="B17" s="29" t="s">
        <v>29</v>
      </c>
      <c r="C17" s="30">
        <f>C16</f>
        <v>45995</v>
      </c>
      <c r="D17" s="29" t="str">
        <f>VLOOKUP($B17&amp;$C17,'[1]FC4 Prod'!$A$6:$BP$36,[2]Consolidated!D$1)</f>
        <v>Mr.Ganesh Ghosh Ji</v>
      </c>
      <c r="E17" s="29">
        <f>VLOOKUP($B17&amp;$C17,'[1]FC4 Prod'!$A$6:$BP$36,[2]Consolidated!E$1)</f>
        <v>50.584999999999994</v>
      </c>
      <c r="F17" s="31">
        <f>VLOOKUP($B17&amp;$C17,'[1]FC4 Prod'!$A$6:$BP$36,[2]Consolidated!F$1)</f>
        <v>0.38000000000000966</v>
      </c>
      <c r="G17" s="32">
        <f>VLOOKUP($B17&amp;$C17,'[1]FC4 Prod'!$A$6:$BP$36,[2]Consolidated!G$1)</f>
        <v>50.965000000000003</v>
      </c>
      <c r="H17" s="32">
        <f>VLOOKUP($B17&amp;$C17,'[1]FC4 Prod'!$A$6:$BP$36,[2]Consolidated!H$1)</f>
        <v>20.784999999999997</v>
      </c>
      <c r="I17" s="32">
        <f>VLOOKUP($B17&amp;$C17,'[1]FC4 Prod'!$A$6:$BP$36,[2]Consolidated!I$1)</f>
        <v>10.47</v>
      </c>
      <c r="J17" s="32">
        <f>VLOOKUP($B17&amp;$C17,'[1]FC4 Prod'!$A$6:$BP$36,[2]Consolidated!J$1)</f>
        <v>40.520000000000003</v>
      </c>
      <c r="K17" s="32">
        <f>VLOOKUP($B17&amp;$C17,'[1]FC4 Prod'!$A$6:$BP$36,[2]Consolidated!K$1)</f>
        <v>1.36</v>
      </c>
      <c r="L17" s="32">
        <f>VLOOKUP($B17&amp;$C17,'[1]FC4 Prod'!$A$6:$BP$36,[2]Consolidated!L$1)</f>
        <v>22.02</v>
      </c>
      <c r="M17" s="32">
        <f>VLOOKUP($B17&amp;$C17,'[1]FC4 Prod'!$A$6:$BP$36,[2]Consolidated!M$1)</f>
        <v>5.12</v>
      </c>
      <c r="N17" s="32">
        <f>VLOOKUP($B17&amp;$C17,'[1]FC4 Prod'!$A$6:$BP$36,[2]Consolidated!N$1)</f>
        <v>17.38</v>
      </c>
      <c r="O17" s="32">
        <f>VLOOKUP($B17&amp;$C17,'[1]FC4 Prod'!$A$6:$BP$36,[2]Consolidated!O$1)</f>
        <v>0.67</v>
      </c>
      <c r="P17" s="33">
        <f>VLOOKUP($B17&amp;$C17,'[1]FC4 Prod'!$A$6:$BP$36,[2]Consolidated!P$1)</f>
        <v>8</v>
      </c>
      <c r="Q17" s="29">
        <f>VLOOKUP($B17&amp;$C17,'[1]FC4 Prod'!$A$6:$BP$36,[2]Consolidated!Q$1)</f>
        <v>96.209000000000003</v>
      </c>
      <c r="R17" s="29">
        <f>VLOOKUP($B17&amp;$C17,'[1]FC4 Prod'!$A$6:$BP$36,[2]Consolidated!R$1)</f>
        <v>31.453000000000003</v>
      </c>
      <c r="S17" s="34">
        <f>VLOOKUP($B17&amp;$C17,'[1]FC4 Prod'!$A$6:$BP$36,[2]Consolidated!S$1)</f>
        <v>40</v>
      </c>
      <c r="T17" s="34">
        <f>VLOOKUP($B17&amp;$C17,'[1]FC4 Prod'!$A$6:$BP$36,[2]Consolidated!T$1)</f>
        <v>28</v>
      </c>
      <c r="U17" s="34">
        <f>VLOOKUP($B17&amp;$C17,'[1]FC4 Prod'!$A$6:$BP$36,[2]Consolidated!U$1)</f>
        <v>30</v>
      </c>
      <c r="V17" s="34">
        <f>VLOOKUP($B17&amp;$C17,'[1]FC4 Prod'!$A$6:$BP$36,[2]Consolidated!V$1)</f>
        <v>98</v>
      </c>
      <c r="W17" s="35">
        <f>VLOOKUP($B17&amp;$C17,'[1]FC4 Prod'!$A$6:$BP$36,[2]Consolidated!W$1)</f>
        <v>1.9019274488484732</v>
      </c>
      <c r="X17" s="35">
        <f>VLOOKUP($B17&amp;$C17,'[1]FC4 Prod'!$A$6:$BP$36,[2]Consolidated!X$1)</f>
        <v>52.545000000000002</v>
      </c>
      <c r="Y17" s="36">
        <f>VLOOKUP($B17&amp;$C17,'[1]FC4 Prod'!$A$6:$BP$36,[2]Consolidated!Y$1)</f>
        <v>0.96269863926158517</v>
      </c>
      <c r="Z17" s="37" t="str">
        <f>VLOOKUP($B17&amp;$C17,'[1]FC4 Prod'!$A$6:$BP$36,[2]Consolidated!Z$1)</f>
        <v>40/8</v>
      </c>
      <c r="AA17" s="31">
        <f>VLOOKUP($B17&amp;$C17,'[1]FC4 Prod'!$A$6:$BP$36,[2]Consolidated!AA$1)</f>
        <v>37.967999999999996</v>
      </c>
      <c r="AB17" s="31">
        <f>VLOOKUP($B17&amp;$C17,'[1]FC4 Prod'!$A$6:$BP$36,[2]Consolidated!AB$1)</f>
        <v>6.4959999999999996</v>
      </c>
      <c r="AC17" s="31"/>
      <c r="AD17" s="38">
        <f>VLOOKUP($B17&amp;$C17,'[1]FC4 Prod'!$A$6:$BP$36,[2]Consolidated!AD$1)</f>
        <v>481.49239416823178</v>
      </c>
      <c r="AE17" s="38">
        <f>VLOOKUP($B17&amp;$C17,'[1]FC4 Prod'!$A$6:$BP$36,[2]Consolidated!AE$1)</f>
        <v>446.01167629732129</v>
      </c>
      <c r="AF17" s="39">
        <f>VLOOKUP($B17&amp;$C17,'[1]FC4 Prod'!$A$6:$BP$36,[2]Consolidated!AF$1)</f>
        <v>0.78854828154843304</v>
      </c>
      <c r="AG17" s="39">
        <f>VLOOKUP($B17&amp;$C17,'[1]FC4 Prod'!$A$6:$BP$36,[2]Consolidated!AG$1)</f>
        <v>0.85127816193515271</v>
      </c>
      <c r="AH17" s="34">
        <f>VLOOKUP($B17&amp;$C17,'[1]FC4 Prod'!$A$6:$BP$36,[2]Consolidated!AH$1)</f>
        <v>330.22043412078682</v>
      </c>
      <c r="AI17" s="33">
        <f>VLOOKUP($B17&amp;$C17,'[1]FC4 Prod'!$A$6:$BP$36,[2]Consolidated!AI$1)</f>
        <v>342.06649145003468</v>
      </c>
      <c r="AJ17" s="39">
        <f>VLOOKUP($B17&amp;$C17,'[1]FC4 Prod'!$A$6:$BP$36,[2]Consolidated!AJ$1)</f>
        <v>0.53564404113638819</v>
      </c>
      <c r="AK17" s="39">
        <f>VLOOKUP($B17&amp;$C17,'[1]FC4 Prod'!$A$6:$BP$36,[2]Consolidated!AK$1)</f>
        <v>0.5802379566417194</v>
      </c>
      <c r="AL17" s="40" t="str">
        <f>VLOOKUP($B17&amp;$C17,'[1]FC4 Prod'!$A$6:$BP$36,[2]Consolidated!AL$1)</f>
        <v>25/50</v>
      </c>
      <c r="AM17" s="41">
        <f>VLOOKUP($B17&amp;$C17,'[1]FC4 Prod'!$A$6:$BP$36,[2]Consolidated!AM$1)</f>
        <v>4.79391123850944E-2</v>
      </c>
      <c r="AN17" s="42">
        <f>VLOOKUP($B17&amp;$C17,'[1]FC4 Prod'!$A$6:$BP$36,[2]Consolidated!AN$1)</f>
        <v>142.6</v>
      </c>
      <c r="AO17" s="43">
        <f>VLOOKUP($B17&amp;$C17,'[1]FC4 Prod'!$A$6:$BP$36,[2]Consolidated!AO$1)</f>
        <v>6.5759999999999996</v>
      </c>
      <c r="AP17" s="44">
        <f>VLOOKUP($B17&amp;$C17,'[1]FC4 Prod'!$A$6:$BP$36,[2]Consolidated!AP$1)</f>
        <v>2.9490165068696257</v>
      </c>
      <c r="AQ17" s="44">
        <f>VLOOKUP($B17&amp;$C17,'[1]FC4 Prod'!$A$6:$BP$36,[2]Consolidated!AQ$1)</f>
        <v>21.578389232086153</v>
      </c>
      <c r="AR17" s="45">
        <f>VLOOKUP($B17&amp;$C17,'[1]FC4 Prod'!$A$6:$BP$36,[2]Consolidated!AR$1)</f>
        <v>0.97404371584699467</v>
      </c>
      <c r="AS17" s="46">
        <f>VLOOKUP($B17&amp;$C17,'[1]FC4 Prod'!$A$6:$BP$36,[2]Consolidated!AS$1)</f>
        <v>2.1999999999999997</v>
      </c>
      <c r="AT17" s="29">
        <f>VLOOKUP($B17&amp;$C17,'[1]FC4 Prod'!$A$6:$BP$36,[2]Consolidated!AT$1)</f>
        <v>0.79654923544880185</v>
      </c>
      <c r="AU17" s="34">
        <f>VLOOKUP($B17&amp;$C17,'[1]FC4 Prod'!$A$6:$BP$36,[2]Consolidated!AU$1)</f>
        <v>473.98830409356725</v>
      </c>
      <c r="AV17" s="34">
        <f>VLOOKUP($B17&amp;$C17,'[1]FC4 Prod'!$A$6:$BP$36,[2]Consolidated!AV$1)</f>
        <v>316.66666666666669</v>
      </c>
      <c r="AW17" s="47">
        <f>VLOOKUP($B17&amp;$C17,'[1]FC4 Prod'!$A$6:$BP$36,[2]Consolidated!AW$1)</f>
        <v>17786.021745576756</v>
      </c>
      <c r="AX17" s="47">
        <f>VLOOKUP($B17&amp;$C17,'[1]FC4 Prod'!$A$6:$BP$36,[2]Consolidated!AX$1)</f>
        <v>6627.0866857764177</v>
      </c>
      <c r="AY17" s="48">
        <f>VLOOKUP($B17&amp;$C17,'[1]FC4 Prod'!$A$6:$BP$36,[2]Consolidated!AY$1)</f>
        <v>319.304141543936</v>
      </c>
      <c r="AZ17" s="47">
        <f>VLOOKUP($B17&amp;$C17,'[1]FC4 Prod'!$A$6:$BP$36,[2]Consolidated!AZ$1)</f>
        <v>545.33853909261643</v>
      </c>
      <c r="BA17" s="47">
        <f>VLOOKUP($B17&amp;$C17,'[1]FC4 Prod'!$A$6:$BP$36,[2]Consolidated!BA$1)</f>
        <v>17251.74656518731</v>
      </c>
      <c r="BB17" s="47">
        <f>VLOOKUP($B17&amp;$C17,'[1]FC4 Prod'!$A$6:$BP$36,[2]Consolidated!BB$1)</f>
        <v>425.29497677177039</v>
      </c>
      <c r="BC17" s="47">
        <f>VLOOKUP($B17&amp;$C17,'[1]FC4 Prod'!$A$6:$BP$36,[2]Consolidated!BC$1)</f>
        <v>5603.1313630522891</v>
      </c>
      <c r="BD17" s="49">
        <f>VLOOKUP($B17&amp;$C17,'[1]FC4 Prod'!$A$6:$BP$36,[2]Consolidated!BD$1)</f>
        <v>48557.924017001103</v>
      </c>
      <c r="BE17" s="47">
        <f>VLOOKUP($B17&amp;$C17,'[1]FC4 Prod'!$A$6:$BP$36,[2]Consolidated!BE$1)</f>
        <v>16733.101907680142</v>
      </c>
      <c r="BF17" s="47">
        <f>VLOOKUP($B17&amp;$C17,'[1]FC4 Prod'!$A$6:$BP$36,[2]Consolidated!BF$1)</f>
        <v>7198.7054660472486</v>
      </c>
      <c r="BG17" s="50">
        <f>VLOOKUP($B17&amp;$C17,'[1]FC4 Prod'!$A$6:$BP$36,[2]Consolidated!BG$1)</f>
        <v>437.00207571414455</v>
      </c>
      <c r="BH17" s="50">
        <f>VLOOKUP($B17&amp;$C17,'[1]FC4 Prod'!$A$6:$BP$36,[2]Consolidated!BH$1)</f>
        <v>421.65894553721461</v>
      </c>
      <c r="BI17" s="50">
        <f>VLOOKUP($B17&amp;$C17,'[1]FC4 Prod'!$A$6:$BP$36,[2]Consolidated!BI$1)</f>
        <v>48190.684862310969</v>
      </c>
      <c r="BJ17" s="37" t="e">
        <f>VLOOKUP($B17&amp;$C17,'[1]FC4 Prod'!$A$6:$BP$36,[2]Consolidated!BJ$1)</f>
        <v>#REF!</v>
      </c>
      <c r="BK17" s="37" t="e">
        <f>VLOOKUP($B17&amp;$C17,'[1]FC4 Prod'!$A$6:$BP$36,[2]Consolidated!BK$1)</f>
        <v>#REF!</v>
      </c>
      <c r="BL17" s="37" t="e">
        <f>VLOOKUP($B17&amp;$C17,'[1]FC4 Prod'!$A$6:$BP$36,[2]Consolidated!BL$1)</f>
        <v>#REF!</v>
      </c>
      <c r="BM17" s="37" t="e">
        <f>VLOOKUP($B17&amp;$C17,'[1]FC4 Prod'!$A$6:$BP$36,[2]Consolidated!BM$1)</f>
        <v>#REF!</v>
      </c>
      <c r="BN17" s="37" t="e">
        <f>VLOOKUP($B17&amp;$C17,'[1]FC4 Prod'!$A$6:$BP$36,[2]Consolidated!BN$1)</f>
        <v>#REF!</v>
      </c>
      <c r="BO17" s="37" t="e">
        <f>VLOOKUP($B17&amp;$C17,'[1]FC4 Prod'!$A$6:$BP$36,[2]Consolidated!BO$1)</f>
        <v>#REF!</v>
      </c>
      <c r="BP17" s="37" t="str">
        <f>VLOOKUP($B17&amp;$C17,'[1]FC4 Prod'!$A$6:$BP$36,[2]Consolidated!BP$1)</f>
        <v>NIL</v>
      </c>
      <c r="BQ17" s="51" t="e">
        <f>VLOOKUP($B17&amp;$C17,'[1]FC4 Prod'!$A$6:$BP$36,[2]Consolidated!BQ$1)</f>
        <v>#REF!</v>
      </c>
      <c r="BR17" s="51">
        <f>VLOOKUP($B17&amp;$C17,'[1]FC4 Prod'!$A$6:$BQ$36,[2]Consolidated!BR$1)</f>
        <v>41644</v>
      </c>
      <c r="BS17" s="52">
        <f t="shared" ref="BS17" si="18">BE17+BF17*110%+BG17+BA17</f>
        <v>42340.426561233573</v>
      </c>
      <c r="BT17" s="32">
        <f t="shared" si="16"/>
        <v>-696.42656123357301</v>
      </c>
      <c r="BU17" s="37">
        <f t="shared" si="17"/>
        <v>-35228.737600000284</v>
      </c>
      <c r="BV17" s="53" t="s">
        <v>130</v>
      </c>
      <c r="BW17" s="54" cm="1">
        <f t="array" ref="BW17">IFERROR(VLOOKUP($A17,TRANSPOSE('[1]Fur 4 PLC'!$AR$1:$BV$39),8,0),0)</f>
        <v>0</v>
      </c>
      <c r="BX17" s="54" cm="1">
        <f t="array" ref="BX17">IFERROR(VLOOKUP($A17,TRANSPOSE('[1]Fur 4 PLC'!$AR$1:$BV$39),30,0),0)</f>
        <v>0</v>
      </c>
      <c r="BY17" s="54" cm="1">
        <f t="array" ref="BY17">IFERROR(VLOOKUP($A17,TRANSPOSE('[1]Fur 4 PLC'!$AR$1:$BV$39),14,0),0)</f>
        <v>0</v>
      </c>
      <c r="BZ17" s="54" cm="1">
        <f t="array" ref="BZ17">IFERROR(VLOOKUP($A17,TRANSPOSE('[1]Fur 4 PLC'!$AR$1:$BV$39),16,0),0)</f>
        <v>0</v>
      </c>
      <c r="CA17" s="54" cm="1">
        <f t="array" ref="CA17">IFERROR(VLOOKUP($A17,TRANSPOSE('[1]Fur 4 PLC'!$AR$1:$BV$39),9,0),0)</f>
        <v>0</v>
      </c>
      <c r="CB17" s="54" cm="1">
        <f t="array" ref="CB17">IFERROR(VLOOKUP($A17,TRANSPOSE('[1]Fur 4 PLC'!$AR$1:$BV$39),17,0),0)</f>
        <v>0</v>
      </c>
      <c r="CC17" s="54" cm="1">
        <f t="array" ref="CC17">IFERROR(VLOOKUP($A17,TRANSPOSE('[1]Fur 4 PLC'!$AR$1:$BV$39),20,0),0)</f>
        <v>1493.0512997924288</v>
      </c>
      <c r="CD17" s="54" cm="1">
        <f t="array" ref="CD17">IFERROR(VLOOKUP($A17,TRANSPOSE('[1]Fur 4 PLC'!$AR$1:$BV$39),28,0),0)</f>
        <v>0</v>
      </c>
      <c r="CE17" s="54" cm="1">
        <f t="array" ref="CE17">IFERROR(VLOOKUP($A17,TRANSPOSE('[1]Fur 4 PLC'!$AR$1:$BV$39),13,0),0)</f>
        <v>97.163190669170717</v>
      </c>
      <c r="CF17" s="54" cm="1">
        <f t="array" ref="CF17">IFERROR(VLOOKUP($A17,TRANSPOSE('[1]Fur 4 PLC'!$AR$1:$BV$39),37,0),0)</f>
        <v>11.880992389048137</v>
      </c>
      <c r="CG17" s="54" cm="1">
        <f t="array" ref="CG17">IFERROR(VLOOKUP($A17,TRANSPOSE('[1]Fur 4 PLC'!$AR$1:$BV$39),6,0),0)</f>
        <v>0</v>
      </c>
      <c r="CH17" s="54" cm="1">
        <f t="array" ref="CH17">IFERROR(VLOOKUP($A17,TRANSPOSE('[1]Fur 4 PLC'!$AR$1:$BV$39),21,0),0)</f>
        <v>0</v>
      </c>
      <c r="CI17" s="54" cm="1">
        <f t="array" ref="CI17">IFERROR(VLOOKUP($A17,TRANSPOSE('[1]Fur 4 PLC'!$AR$1:$BV$39),12,0),0)</f>
        <v>0</v>
      </c>
      <c r="CJ17" s="54" cm="1">
        <f t="array" ref="CJ17">IFERROR(VLOOKUP($A17,TRANSPOSE('[1]Fur 4 PLC'!$AR$1:$BV$39),25,0),0)</f>
        <v>138.57863002866463</v>
      </c>
      <c r="CK17" s="54" cm="1">
        <f t="array" ref="CK17">IFERROR(VLOOKUP($A17,TRANSPOSE('[1]Fur 4 PLC'!$AR$1:$BV$39),26,0),0)</f>
        <v>367.97469605614322</v>
      </c>
      <c r="CL17" s="54" cm="1">
        <f t="array" ref="CL17">IFERROR(VLOOKUP($A17,TRANSPOSE('[1]Fur 4 PLC'!$AR$1:$BV$39),27,0),0)</f>
        <v>0</v>
      </c>
      <c r="CM17" s="54" cm="1">
        <f t="array" ref="CM17">IFERROR(VLOOKUP($A17,TRANSPOSE('[1]Fur 4 PLC'!$AR$1:$BV$39),22,0),0)</f>
        <v>0</v>
      </c>
      <c r="CN17" s="54"/>
      <c r="CO17" s="54" cm="1">
        <f t="array" ref="CO17">IFERROR(VLOOKUP($A17,TRANSPOSE('[1]Fur 4 PLC'!$AR$1:$BV$39),29,0),0)</f>
        <v>115.23178807947021</v>
      </c>
      <c r="CP17" s="54" cm="1">
        <f t="array" ref="CP17">IFERROR(VLOOKUP($A17,TRANSPOSE('[1]Fur 4 PLC'!$AR$1:$BV$39),10,0),0)</f>
        <v>0</v>
      </c>
      <c r="CQ17" s="54" cm="1">
        <f t="array" ref="CQ17">IFERROR(VLOOKUP($A17,TRANSPOSE('[1]Fur 4 PLC'!$AR$1:$BV$39),7,0),0)</f>
        <v>165.00939013541566</v>
      </c>
      <c r="CR17" s="54" cm="1">
        <f t="array" ref="CR17">IFERROR(VLOOKUP($A17,TRANSPOSE('[1]Fur 4 PLC'!$AR$1:$BV$39),36,0),0)</f>
        <v>179.36147079173671</v>
      </c>
      <c r="CS17" s="54" cm="1">
        <f t="array" ref="CS17">IFERROR(VLOOKUP($A17,TRANSPOSE('[1]Fur 4 PLC'!$AR$1:$BV$39),11,0),0)</f>
        <v>0</v>
      </c>
      <c r="CT17" s="54" cm="1">
        <f t="array" ref="CT17">IFERROR(VLOOKUP($A17,TRANSPOSE('[1]Fur 4 PLC'!$AR$1:$BV$39),19,0),0)</f>
        <v>0</v>
      </c>
      <c r="CU17" s="54" cm="1">
        <f t="array" ref="CU17">IFERROR(VLOOKUP($A17,TRANSPOSE('[1]Fur 4 PLC'!$AR$1:$BV$39),18,0),0)</f>
        <v>311.71295838687365</v>
      </c>
      <c r="CV17" s="54" cm="1">
        <f t="array" ref="CV17">IFERROR(VLOOKUP($A17,TRANSPOSE('[1]Fur 4 PLC'!$AR$1:$BV$38),15,0),0)</f>
        <v>0</v>
      </c>
      <c r="CW17" s="54" cm="1">
        <f t="array" ref="CW17">IFERROR(VLOOKUP($A17,TRANSPOSE('[1]Fur 4 PLC'!$CK$1:$DO$39),8,0),0)</f>
        <v>0</v>
      </c>
      <c r="CX17" s="54" cm="1">
        <f t="array" ref="CX17">IFERROR(VLOOKUP($A17,TRANSPOSE('[1]Fur 4 PLC'!$CK$1:$DO$39),30,0),0)</f>
        <v>0</v>
      </c>
      <c r="CY17" s="54" cm="1">
        <f t="array" ref="CY17">IFERROR(VLOOKUP($A17,TRANSPOSE('[1]Fur 4 PLC'!$CK$1:$DO$39),14,0),0)</f>
        <v>0</v>
      </c>
      <c r="CZ17" s="54" cm="1">
        <f t="array" ref="CZ17">IFERROR(VLOOKUP($A17,TRANSPOSE('[1]Fur 4 PLC'!$CK$1:$DO$39),16,0),0)</f>
        <v>0</v>
      </c>
      <c r="DA17" s="54" cm="1">
        <f t="array" ref="DA17">IFERROR(VLOOKUP($A17,TRANSPOSE('[1]Fur 4 PLC'!$CK$1:$DO$39),9,0),0)</f>
        <v>0</v>
      </c>
      <c r="DB17" s="55" cm="1">
        <f t="array" ref="DB17">IFERROR(VLOOKUP($A17,TRANSPOSE('[1]Fur 4 PLC'!$CK$1:$DO$39),17,0),0)</f>
        <v>0</v>
      </c>
      <c r="DC17" s="55" cm="1">
        <f t="array" ref="DC17">IFERROR(VLOOKUP($A17,TRANSPOSE('[1]Fur 4 PLC'!$CK$1:$DO$39),20,0),0)</f>
        <v>770.67346938775506</v>
      </c>
      <c r="DD17" s="54" cm="1">
        <f t="array" ref="DD17">IFERROR(VLOOKUP($A17,TRANSPOSE('[1]Fur 4 PLC'!$CK$1:$DO$39),28,0),0)</f>
        <v>0</v>
      </c>
      <c r="DE17" s="54" cm="1">
        <f t="array" ref="DE17">IFERROR(VLOOKUP($A17,TRANSPOSE('[1]Fur 4 PLC'!$CK$1:$DO$39),13,0),0)</f>
        <v>50.153061224489797</v>
      </c>
      <c r="DF17" s="54" cm="1">
        <f t="array" ref="DF17">IFERROR(VLOOKUP($A17,TRANSPOSE('[1]Fur 4 PLC'!$CK$1:$DO$39),37,0),0)</f>
        <v>6.1326530612244898</v>
      </c>
      <c r="DG17" s="54" cm="1">
        <f t="array" ref="DG17">IFERROR(VLOOKUP($A17,TRANSPOSE('[1]Fur 4 PLC'!$CK$1:$DO$39),6,0),0)</f>
        <v>0</v>
      </c>
      <c r="DH17" s="54" cm="1">
        <f t="array" ref="DH17">IFERROR(VLOOKUP($A17,TRANSPOSE('[1]Fur 4 PLC'!$CK$1:$DO$39),21,0),0)</f>
        <v>0</v>
      </c>
      <c r="DI17" s="54" cm="1">
        <f t="array" ref="DI17">IFERROR(VLOOKUP($A17,TRANSPOSE('[1]Fur 4 PLC'!$CK$1:$DO$39),12,0),0)</f>
        <v>0</v>
      </c>
      <c r="DJ17" s="54" cm="1">
        <f t="array" ref="DJ17">IFERROR(VLOOKUP($A17,TRANSPOSE('[1]Fur 4 PLC'!$CK$1:$DO$39),25,0),0)</f>
        <v>71.530612244897952</v>
      </c>
      <c r="DK17" s="54" cm="1">
        <f t="array" ref="DK17">IFERROR(VLOOKUP($A17,TRANSPOSE('[1]Fur 4 PLC'!$CK$1:$DO$39),26,0),0)</f>
        <v>189.93877551020407</v>
      </c>
      <c r="DL17" s="54" cm="1">
        <f t="array" ref="DL17">IFERROR(VLOOKUP($A17,TRANSPOSE('[1]Fur 4 PLC'!$CK$1:$DO$39),27,0),0)</f>
        <v>0</v>
      </c>
      <c r="DM17" s="54" cm="1">
        <f t="array" ref="DM17">IFERROR(VLOOKUP($A17,TRANSPOSE('[1]Fur 4 PLC'!$CK$1:$DO$39),22,0),0)</f>
        <v>0</v>
      </c>
      <c r="DN17" s="54" cm="1">
        <f t="array" ref="DN17">IFERROR(VLOOKUP($A17,TRANSPOSE('[1]Fur 4 PLC'!$CK$1:$DO$39),19,0),0)</f>
        <v>0</v>
      </c>
      <c r="DO17" s="54" cm="1">
        <f t="array" ref="DO17">IFERROR(VLOOKUP($A17,TRANSPOSE('[1]Fur 4 PLC'!$CK$1:$DO$39),29,0),0)</f>
        <v>59.479591836734691</v>
      </c>
      <c r="DP17" s="54" cm="1">
        <f t="array" ref="DP17">IFERROR(VLOOKUP($A17,TRANSPOSE('[1]Fur 4 PLC'!$CK$1:$DO$39),10,0),0)</f>
        <v>0</v>
      </c>
      <c r="DQ17" s="54" cm="1">
        <f t="array" ref="DQ17">IFERROR(VLOOKUP($A17,TRANSPOSE('[1]Fur 4 PLC'!$CK$1:$DO$39),7,0),0)</f>
        <v>85.173469387755091</v>
      </c>
      <c r="DR17" s="54" cm="1">
        <f t="array" ref="DR17">IFERROR(VLOOKUP($A17,TRANSPOSE('[1]Fur 4 PLC'!$CK$1:$DO$39),36,0),0)</f>
        <v>92.58163265306122</v>
      </c>
      <c r="DS17" s="54" cm="1">
        <f t="array" ref="DS17">IFERROR(VLOOKUP($A17,TRANSPOSE('[1]Fur 4 PLC'!$CK$1:$DO$39),11,0),0)</f>
        <v>0</v>
      </c>
      <c r="DT17" s="54" cm="1">
        <f t="array" ref="DT17">IFERROR(VLOOKUP($A17,TRANSPOSE('[1]Fur 4 PLC'!$CK$1:$DO$39),19,0),0)</f>
        <v>0</v>
      </c>
      <c r="DU17" s="54" cm="1">
        <f t="array" ref="DU17">IFERROR(VLOOKUP($A17,TRANSPOSE('[1]Fur 4 PLC'!$CK$1:$DO$39),18,0),0)</f>
        <v>160.89795918367346</v>
      </c>
      <c r="DV17" s="54" cm="1">
        <f t="array" ref="DV17">IFERROR(VLOOKUP($A17,TRANSPOSE('[1]Fur 4 PLC'!$CK$1:$DO$39),15,0),0)</f>
        <v>0</v>
      </c>
      <c r="DW17" t="str">
        <f t="shared" si="15"/>
        <v>Dec-25</v>
      </c>
    </row>
    <row r="18" spans="1:127" x14ac:dyDescent="0.3">
      <c r="A18" s="28" t="str">
        <f t="shared" si="1"/>
        <v>F145996</v>
      </c>
      <c r="B18" s="29" t="s">
        <v>26</v>
      </c>
      <c r="C18" s="30">
        <f>C14+1</f>
        <v>45996</v>
      </c>
      <c r="D18" s="29" t="str">
        <f>VLOOKUP($B18&amp;$C18,'[1]FC1 Prod'!$A$6:$BP$36,[2]Consolidated!D$1)</f>
        <v>Raju Singh</v>
      </c>
      <c r="E18" s="29">
        <f>VLOOKUP($B18&amp;$C18,'[1]FC1 Prod'!$A$6:$BP$36,[2]Consolidated!E$1)</f>
        <v>23.425000000000001</v>
      </c>
      <c r="F18" s="31">
        <f>VLOOKUP($B18&amp;$C18,'[1]FC1 Prod'!$A$6:$BP$36,[2]Consolidated!F$1)</f>
        <v>0</v>
      </c>
      <c r="G18" s="32">
        <f>VLOOKUP($B18&amp;$C18,'[1]FC1 Prod'!$A$6:$BP$36,[2]Consolidated!G$1)</f>
        <v>23.425000000000001</v>
      </c>
      <c r="H18" s="32">
        <f>VLOOKUP($B18&amp;$C18,'[1]FC1 Prod'!$A$6:$BP$36,[2]Consolidated!H$1)</f>
        <v>16.12</v>
      </c>
      <c r="I18" s="32">
        <f>VLOOKUP($B18&amp;$C18,'[1]FC1 Prod'!$A$6:$BP$36,[2]Consolidated!I$1)</f>
        <v>5.42</v>
      </c>
      <c r="J18" s="32">
        <f>VLOOKUP($B18&amp;$C18,'[1]FC1 Prod'!$A$6:$BP$36,[2]Consolidated!J$1)</f>
        <v>39.32</v>
      </c>
      <c r="K18" s="32">
        <f>VLOOKUP($B18&amp;$C18,'[1]FC1 Prod'!$A$6:$BP$36,[2]Consolidated!K$1)</f>
        <v>1.37</v>
      </c>
      <c r="L18" s="32">
        <f>VLOOKUP($B18&amp;$C18,'[1]FC1 Prod'!$A$6:$BP$36,[2]Consolidated!L$1)</f>
        <v>28.8</v>
      </c>
      <c r="M18" s="32">
        <f>VLOOKUP($B18&amp;$C18,'[1]FC1 Prod'!$A$6:$BP$36,[2]Consolidated!M$1)</f>
        <v>4.6500000000000004</v>
      </c>
      <c r="N18" s="32">
        <f>VLOOKUP($B18&amp;$C18,'[1]FC1 Prod'!$A$6:$BP$36,[2]Consolidated!N$1)</f>
        <v>17.32</v>
      </c>
      <c r="O18" s="32">
        <f>VLOOKUP($B18&amp;$C18,'[1]FC1 Prod'!$A$6:$BP$36,[2]Consolidated!O$1)</f>
        <v>0.85</v>
      </c>
      <c r="P18" s="33">
        <f>VLOOKUP($B18&amp;$C18,'[1]FC1 Prod'!$A$6:$BP$36,[2]Consolidated!P$1)</f>
        <v>8</v>
      </c>
      <c r="Q18" s="29">
        <f>VLOOKUP($B18&amp;$C18,'[1]FC1 Prod'!$A$6:$BP$36,[2]Consolidated!Q$1)</f>
        <v>42.567999999999998</v>
      </c>
      <c r="R18" s="29">
        <f>VLOOKUP($B18&amp;$C18,'[1]FC1 Prod'!$A$6:$BP$36,[2]Consolidated!R$1)</f>
        <v>13.504000000000001</v>
      </c>
      <c r="S18" s="34">
        <f>VLOOKUP($B18&amp;$C18,'[1]FC1 Prod'!$A$6:$BP$36,[2]Consolidated!S$1)</f>
        <v>21</v>
      </c>
      <c r="T18" s="34">
        <f>VLOOKUP($B18&amp;$C18,'[1]FC1 Prod'!$A$6:$BP$36,[2]Consolidated!T$1)</f>
        <v>15</v>
      </c>
      <c r="U18" s="34">
        <f>VLOOKUP($B18&amp;$C18,'[1]FC1 Prod'!$A$6:$BP$36,[2]Consolidated!U$1)</f>
        <v>18</v>
      </c>
      <c r="V18" s="34">
        <f>VLOOKUP($B18&amp;$C18,'[1]FC1 Prod'!$A$6:$BP$36,[2]Consolidated!V$1)</f>
        <v>54</v>
      </c>
      <c r="W18" s="35">
        <f>VLOOKUP($B18&amp;$C18,'[1]FC1 Prod'!$A$6:$BP$36,[2]Consolidated!W$1)</f>
        <v>1.8172038420490928</v>
      </c>
      <c r="X18" s="35">
        <f>VLOOKUP($B18&amp;$C18,'[1]FC1 Prod'!$A$6:$BP$36,[2]Consolidated!X$1)</f>
        <v>24.15</v>
      </c>
      <c r="Y18" s="36">
        <f>VLOOKUP($B18&amp;$C18,'[1]FC1 Prod'!$A$6:$BP$36,[2]Consolidated!Y$1)</f>
        <v>0.96997929606625266</v>
      </c>
      <c r="Z18" s="37" t="str">
        <f>VLOOKUP($B18&amp;$C18,'[1]FC1 Prod'!$A$6:$BP$36,[2]Consolidated!Z$1)</f>
        <v>40/22</v>
      </c>
      <c r="AA18" s="31">
        <f>VLOOKUP($B18&amp;$C18,'[1]FC1 Prod'!$A$6:$BP$36,[2]Consolidated!AA$1)</f>
        <v>40.1875</v>
      </c>
      <c r="AB18" s="31">
        <f>VLOOKUP($B18&amp;$C18,'[1]FC1 Prod'!$A$6:$BP$36,[2]Consolidated!AB$1)</f>
        <v>21.574999999999999</v>
      </c>
      <c r="AC18" s="31">
        <f>VLOOKUP($B18&amp;$C18,'[1]FC1 Prod'!$A$6:$BP$36,[2]Consolidated!AC$1)</f>
        <v>0.42499999999999999</v>
      </c>
      <c r="AD18" s="38">
        <f>VLOOKUP($B18&amp;$C18,'[1]FC1 Prod'!$A$6:$BP$36,[2]Consolidated!AD$1)</f>
        <v>337.20157630736389</v>
      </c>
      <c r="AE18" s="38">
        <f>VLOOKUP($B18&amp;$C18,'[1]FC1 Prod'!$A$6:$BP$36,[2]Consolidated!AE$1)</f>
        <v>471.50599606403421</v>
      </c>
      <c r="AF18" s="39">
        <f>VLOOKUP($B18&amp;$C18,'[1]FC1 Prod'!$A$6:$BP$36,[2]Consolidated!AF$1)</f>
        <v>1.1917945473472087</v>
      </c>
      <c r="AG18" s="39">
        <f>VLOOKUP($B18&amp;$C18,'[1]FC1 Prod'!$A$6:$BP$36,[2]Consolidated!AG$1)</f>
        <v>0.85232214087352176</v>
      </c>
      <c r="AH18" s="34">
        <f>VLOOKUP($B18&amp;$C18,'[1]FC1 Prod'!$A$6:$BP$36,[2]Consolidated!AH$1)</f>
        <v>401.5607257203842</v>
      </c>
      <c r="AI18" s="33">
        <f>VLOOKUP($B18&amp;$C18,'[1]FC1 Prod'!$A$6:$BP$36,[2]Consolidated!AI$1)</f>
        <v>436.82219850586972</v>
      </c>
      <c r="AJ18" s="39">
        <f>VLOOKUP($B18&amp;$C18,'[1]FC1 Prod'!$A$6:$BP$36,[2]Consolidated!AJ$1)</f>
        <v>4.8688401735697759</v>
      </c>
      <c r="AK18" s="39">
        <f>VLOOKUP($B18&amp;$C18,'[1]FC1 Prod'!$A$6:$BP$36,[2]Consolidated!AK$1)</f>
        <v>0.59112277672300295</v>
      </c>
      <c r="AL18" s="40" t="str">
        <f>VLOOKUP($B18&amp;$C18,'[1]FC1 Prod'!$A$6:$BP$36,[2]Consolidated!AL$1)</f>
        <v>10/70</v>
      </c>
      <c r="AM18" s="41">
        <f>VLOOKUP($B18&amp;$C18,'[1]FC1 Prod'!$A$6:$BP$36,[2]Consolidated!AM$1)</f>
        <v>0</v>
      </c>
      <c r="AN18" s="42">
        <f>VLOOKUP($B18&amp;$C18,'[1]FC1 Prod'!$A$6:$BP$36,[2]Consolidated!AN$1)</f>
        <v>105.2</v>
      </c>
      <c r="AO18" s="43">
        <f>VLOOKUP($B18&amp;$C18,'[1]FC1 Prod'!$A$6:$BP$36,[2]Consolidated!AO$1)</f>
        <v>4.0549999999999997</v>
      </c>
      <c r="AP18" s="44">
        <f>VLOOKUP($B18&amp;$C18,'[1]FC1 Prod'!$A$6:$BP$36,[2]Consolidated!AP$1)</f>
        <v>4.6640341515474919</v>
      </c>
      <c r="AQ18" s="44">
        <f>VLOOKUP($B18&amp;$C18,'[1]FC1 Prod'!$A$6:$BP$36,[2]Consolidated!AQ$1)</f>
        <v>22.466596065660475</v>
      </c>
      <c r="AR18" s="45">
        <f>VLOOKUP($B18&amp;$C18,'[1]FC1 Prod'!$A$6:$BP$36,[2]Consolidated!AR$1)</f>
        <v>0.9962121212121211</v>
      </c>
      <c r="AS18" s="46">
        <f>VLOOKUP($B18&amp;$C18,'[1]FC1 Prod'!$A$6:$BP$36,[2]Consolidated!AS$1)</f>
        <v>2.2366666666666668</v>
      </c>
      <c r="AT18" s="29">
        <f>VLOOKUP($B18&amp;$C18,'[1]FC1 Prod'!$A$6:$BP$36,[2]Consolidated!AT$1)</f>
        <v>0.79119537262250883</v>
      </c>
      <c r="AU18" s="34">
        <f>VLOOKUP($B18&amp;$C18,'[1]FC1 Prod'!$A$6:$BP$36,[2]Consolidated!AU$1)</f>
        <v>415.15277777777783</v>
      </c>
      <c r="AV18" s="34">
        <f>VLOOKUP($B18&amp;$C18,'[1]FC1 Prod'!$A$6:$BP$36,[2]Consolidated!AV$1)</f>
        <v>266.66666666666669</v>
      </c>
      <c r="AW18" s="47">
        <f>VLOOKUP($B18&amp;$C18,'[1]FC1 Prod'!$A$6:$BP$36,[2]Consolidated!AW$1)</f>
        <v>13042.473852721452</v>
      </c>
      <c r="AX18" s="47">
        <f>VLOOKUP($B18&amp;$C18,'[1]FC1 Prod'!$A$6:$BP$36,[2]Consolidated!AX$1)</f>
        <v>11887.812166488793</v>
      </c>
      <c r="AY18" s="48">
        <f>VLOOKUP($B18&amp;$C18,'[1]FC1 Prod'!$A$6:$BP$36,[2]Consolidated!AY$1)</f>
        <v>1494.8132337246532</v>
      </c>
      <c r="AZ18" s="47">
        <f>VLOOKUP($B18&amp;$C18,'[1]FC1 Prod'!$A$6:$BP$36,[2]Consolidated!AZ$1)</f>
        <v>1769.4834578441835</v>
      </c>
      <c r="BA18" s="47">
        <f>VLOOKUP($B18&amp;$C18,'[1]FC1 Prod'!$A$6:$BP$36,[2]Consolidated!BA$1)</f>
        <v>27284.599786552826</v>
      </c>
      <c r="BB18" s="47">
        <f>VLOOKUP($B18&amp;$C18,'[1]FC1 Prod'!$A$6:$BP$36,[2]Consolidated!BB$1)</f>
        <v>554.79182497331908</v>
      </c>
      <c r="BC18" s="47">
        <f>VLOOKUP($B18&amp;$C18,'[1]FC1 Prod'!$A$6:$BP$36,[2]Consolidated!BC$1)</f>
        <v>8861.6648879402346</v>
      </c>
      <c r="BD18" s="49">
        <f>VLOOKUP($B18&amp;$C18,'[1]FC1 Prod'!$A$6:$BP$36,[2]Consolidated!BD$1)</f>
        <v>64895.639210245463</v>
      </c>
      <c r="BE18" s="47">
        <f>VLOOKUP($B18&amp;$C18,'[1]FC1 Prod'!$A$6:$BP$36,[2]Consolidated!BE$1)</f>
        <v>17811.676414087513</v>
      </c>
      <c r="BF18" s="47">
        <f>VLOOKUP($B18&amp;$C18,'[1]FC1 Prod'!$A$6:$BP$36,[2]Consolidated!BF$1)</f>
        <v>13358.377801494129</v>
      </c>
      <c r="BG18" s="50">
        <f>VLOOKUP($B18&amp;$C18,'[1]FC1 Prod'!$A$6:$BP$36,[2]Consolidated!BG$1)</f>
        <v>1995.9316969050158</v>
      </c>
      <c r="BH18" s="50">
        <f>VLOOKUP($B18&amp;$C18,'[1]FC1 Prod'!$A$6:$BP$36,[2]Consolidated!BH$1)</f>
        <v>622.20069156883665</v>
      </c>
      <c r="BI18" s="50">
        <f>VLOOKUP($B18&amp;$C18,'[1]FC1 Prod'!$A$6:$BP$36,[2]Consolidated!BI$1)</f>
        <v>71703.934736392737</v>
      </c>
      <c r="BJ18" s="37" t="e">
        <f>VLOOKUP($B18&amp;$C18,'[1]FC1 Prod'!$A$6:$BP$36,[2]Consolidated!BJ$1)</f>
        <v>#REF!</v>
      </c>
      <c r="BK18" s="37" t="e">
        <f>VLOOKUP($B18&amp;$C18,'[1]FC1 Prod'!$A$6:$BP$36,[2]Consolidated!BK$1)</f>
        <v>#REF!</v>
      </c>
      <c r="BL18" s="37" t="e">
        <f>VLOOKUP($B18&amp;$C18,'[1]FC1 Prod'!$A$6:$BP$36,[2]Consolidated!BL$1)</f>
        <v>#REF!</v>
      </c>
      <c r="BM18" s="37" t="e">
        <f>VLOOKUP($B18&amp;$C18,'[1]FC1 Prod'!$A$6:$BP$36,[2]Consolidated!BM$1)</f>
        <v>#REF!</v>
      </c>
      <c r="BN18" s="37" t="e">
        <f>VLOOKUP($B18&amp;$C18,'[1]FC1 Prod'!$A$6:$BP$36,[2]Consolidated!BN$1)</f>
        <v>#REF!</v>
      </c>
      <c r="BO18" s="37" t="e">
        <f>VLOOKUP($B18&amp;$C18,'[1]FC1 Prod'!$A$6:$BP$36,[2]Consolidated!BO$1)</f>
        <v>#REF!</v>
      </c>
      <c r="BP18" s="37" t="str">
        <f>VLOOKUP($B18&amp;$C18,'[1]FC1 Prod'!$A$6:$BP$36,[2]Consolidated!BP$1)</f>
        <v>NIL</v>
      </c>
      <c r="BQ18" s="51" t="e">
        <f>VLOOKUP($B18&amp;$C18,'[1]FC1 Prod'!$A$6:$BP$36,[2]Consolidated!BQ$1)</f>
        <v>#REF!</v>
      </c>
      <c r="BR18" s="51">
        <f>VLOOKUP($B18&amp;$C18,'[1]FC1 Prod'!$A$6:$BQ$36,[2]Consolidated!BR$1)</f>
        <v>60759</v>
      </c>
      <c r="BS18" s="52">
        <f t="shared" ref="BS18:BS20" si="19">BE18+BF18+BG18+BA18</f>
        <v>60450.585699039482</v>
      </c>
      <c r="BT18" s="32">
        <f>BR18-BS18</f>
        <v>308.41430096051772</v>
      </c>
      <c r="BU18" s="37">
        <f>E18*BT18</f>
        <v>7224.6050000001278</v>
      </c>
      <c r="BV18" s="53" t="s">
        <v>130</v>
      </c>
      <c r="BW18" s="54" cm="1">
        <f t="array" ref="BW18">IFERROR(VLOOKUP($A18,TRANSPOSE('[1]Fur 1 PLC'!$AR$1:$BV$38),8,0),0)</f>
        <v>0</v>
      </c>
      <c r="BX18" s="54" cm="1">
        <f t="array" ref="BX18">IFERROR(VLOOKUP($A18,TRANSPOSE('[1]Fur 1 PLC'!$AR$1:$BV$38),30,0),0)</f>
        <v>108.43116328708645</v>
      </c>
      <c r="BY18" s="54" cm="1">
        <f t="array" ref="BY18">IFERROR(VLOOKUP($A18,TRANSPOSE('[1]Fur 1 PLC'!$AR$1:$BV$38),14,0),0)</f>
        <v>0</v>
      </c>
      <c r="BZ18" s="54" cm="1">
        <f t="array" ref="BZ18">IFERROR(VLOOKUP($A18,TRANSPOSE('[1]Fur 1 PLC'!$AR$1:$BV$38),16,0),0)</f>
        <v>0</v>
      </c>
      <c r="CA18" s="54" cm="1">
        <f t="array" ref="CA18">IFERROR(VLOOKUP($A18,TRANSPOSE('[1]Fur 1 PLC'!$AR$1:$BV$38),9,0),0)</f>
        <v>311.54749199573104</v>
      </c>
      <c r="CB18" s="54" cm="1">
        <f t="array" ref="CB18">IFERROR(VLOOKUP($A18,TRANSPOSE('[1]Fur 1 PLC'!$AR$1:$BV$38),17,0),0)</f>
        <v>0</v>
      </c>
      <c r="CC18" s="54" cm="1">
        <f t="array" ref="CC18">IFERROR(VLOOKUP($A18,TRANSPOSE('[1]Fur 1 PLC'!$AR$1:$BV$38),20,0),0)</f>
        <v>830.05336179295614</v>
      </c>
      <c r="CD18" s="54" cm="1">
        <f t="array" ref="CD18">IFERROR(VLOOKUP($A18,TRANSPOSE('[1]Fur 1 PLC'!$AR$1:$BV$38),28,0),0)</f>
        <v>0</v>
      </c>
      <c r="CE18" s="54" cm="1">
        <f t="array" ref="CE18">IFERROR(VLOOKUP($A18,TRANSPOSE('[1]Fur 1 PLC'!$AR$1:$BV$38),13,0),0)</f>
        <v>0</v>
      </c>
      <c r="CF18" s="54" cm="1">
        <f t="array" ref="CF18">IFERROR(VLOOKUP($A18,TRANSPOSE('[1]Fur 1 PLC'!$AR$1:$BV$38),37,0),0)</f>
        <v>564.90928495197431</v>
      </c>
      <c r="CG18" s="54" cm="1">
        <f t="array" ref="CG18">IFERROR(VLOOKUP($A18,TRANSPOSE('[1]Fur 1 PLC'!$AR$1:$BV$38),6,0),0)</f>
        <v>0</v>
      </c>
      <c r="CH18" s="54" cm="1">
        <f t="array" ref="CH18">IFERROR(VLOOKUP($A18,TRANSPOSE('[1]Fur 1 PLC'!$AR$1:$BV$38),21,0),0)</f>
        <v>0</v>
      </c>
      <c r="CI18" s="54" cm="1">
        <f t="array" ref="CI18">IFERROR(VLOOKUP($A18,TRANSPOSE('[1]Fur 1 PLC'!$AR$1:$BV$38),12,0),0)</f>
        <v>0</v>
      </c>
      <c r="CJ18" s="54" cm="1">
        <f t="array" ref="CJ18">IFERROR(VLOOKUP($A18,TRANSPOSE('[1]Fur 1 PLC'!$AR$1:$BV$38),25,0),0)</f>
        <v>0</v>
      </c>
      <c r="CK18" s="54" cm="1">
        <f t="array" ref="CK18">IFERROR(VLOOKUP($A18,TRANSPOSE('[1]Fur 1 PLC'!$AR$1:$BV$38),26,0),0)</f>
        <v>0</v>
      </c>
      <c r="CL18" s="54" cm="1">
        <f t="array" ref="CL18">IFERROR(VLOOKUP($A18,TRANSPOSE('[1]Fur 1 PLC'!$AR$1:$BV$38),27,0),0)</f>
        <v>468.0469583778015</v>
      </c>
      <c r="CM18" s="54" cm="1">
        <f t="array" ref="CM18">IFERROR(VLOOKUP($A18,TRANSPOSE('[1]Fur 1 PLC'!$AR$1:$BV$38),22,0),0)</f>
        <v>0</v>
      </c>
      <c r="CN18" s="54"/>
      <c r="CO18" s="54" cm="1">
        <f t="array" ref="CO18">IFERROR(VLOOKUP($A18,TRANSPOSE('[1]Fur 1 PLC'!$AR$1:$BV$38),29,0),0)</f>
        <v>0</v>
      </c>
      <c r="CP18" s="54" cm="1">
        <f t="array" ref="CP18">IFERROR(VLOOKUP($A18,TRANSPOSE('[1]Fur 1 PLC'!$AR$1:$BV$38),10,0),0)</f>
        <v>0</v>
      </c>
      <c r="CQ18" s="54" cm="1">
        <f t="array" ref="CQ18">IFERROR(VLOOKUP($A18,TRANSPOSE('[1]Fur 1 PLC'!$AR$1:$BV$38),7,0),0)</f>
        <v>281.49413020277478</v>
      </c>
      <c r="CR18" s="54" cm="1">
        <f t="array" ref="CR18">IFERROR(VLOOKUP($A18,TRANSPOSE('[1]Fur 1 PLC'!$AR$1:$BV$38),35,0),0)</f>
        <v>196.11526147278548</v>
      </c>
      <c r="CS18" s="54" cm="1">
        <f t="array" ref="CS18">IFERROR(VLOOKUP($A18,TRANSPOSE('[1]Fur 1 PLC'!$AR$1:$BV$38),11,0),0)</f>
        <v>0</v>
      </c>
      <c r="CT18" s="54" cm="1">
        <f t="array" ref="CT18">IFERROR(VLOOKUP($A18,TRANSPOSE('[1]Fur 1 PLC'!$AR$1:$BV$38),19,0),0)</f>
        <v>0</v>
      </c>
      <c r="CU18" s="54" cm="1">
        <f t="array" ref="CU18">IFERROR(VLOOKUP($A18,TRANSPOSE('[1]Fur 1 PLC'!$AR$1:$BV$38),18,0),0)</f>
        <v>518.80469583778006</v>
      </c>
      <c r="CV18" s="54" cm="1">
        <f t="array" ref="CV18">IFERROR(VLOOKUP($A18,TRANSPOSE('[1]Fur 1 PLC'!$AR$1:$BV$38),15,0),0)</f>
        <v>156.79829242262539</v>
      </c>
      <c r="CW18" s="54" cm="1">
        <f t="array" ref="CW18">IFERROR(VLOOKUP($A18,TRANSPOSE('[1]Fur 1 PLC'!$CL$1:$DP$38),8,0),0)</f>
        <v>0</v>
      </c>
      <c r="CX18" s="54" cm="1">
        <f t="array" ref="CX18">IFERROR(VLOOKUP($A18,TRANSPOSE('[1]Fur 1 PLC'!$CL$1:$DP$38),30,0),0)</f>
        <v>47.037037037037038</v>
      </c>
      <c r="CY18" s="54" cm="1">
        <f t="array" ref="CY18">IFERROR(VLOOKUP($A18,TRANSPOSE('[1]Fur 1 PLC'!$CL$1:$DP$38),14,0),0)</f>
        <v>0</v>
      </c>
      <c r="CZ18" s="54" cm="1">
        <f t="array" ref="CZ18">IFERROR(VLOOKUP($A18,TRANSPOSE('[1]Fur 1 PLC'!$CL$1:$DP$38),16,0),0)</f>
        <v>0</v>
      </c>
      <c r="DA18" s="54" cm="1">
        <f t="array" ref="DA18">IFERROR(VLOOKUP($A18,TRANSPOSE('[1]Fur 1 PLC'!$CL$1:$DP$38),9,0),0)</f>
        <v>135.14814814814815</v>
      </c>
      <c r="DB18" s="55" cm="1">
        <f t="array" ref="DB18">IFERROR(VLOOKUP($A18,TRANSPOSE('[1]Fur 1 PLC'!$CL$1:$DP$38),17,0),0)</f>
        <v>0</v>
      </c>
      <c r="DC18" s="55" cm="1">
        <f t="array" ref="DC18">IFERROR(VLOOKUP($A18,TRANSPOSE('[1]Fur 1 PLC'!$CL$1:$DP$38),20,0),0)</f>
        <v>360.07407407407402</v>
      </c>
      <c r="DD18" s="54" cm="1">
        <f t="array" ref="DD18">IFERROR(VLOOKUP($A18,TRANSPOSE('[1]Fur 1 PLC'!$CL$1:$DP$38),28,0),0)</f>
        <v>0</v>
      </c>
      <c r="DE18" s="54" cm="1">
        <f t="array" ref="DE18">IFERROR(VLOOKUP($A18,TRANSPOSE('[1]Fur 1 PLC'!$CL$1:$DP$38),13,0),0)</f>
        <v>0</v>
      </c>
      <c r="DF18" s="54" cm="1">
        <f t="array" ref="DF18">IFERROR(VLOOKUP($A18,TRANSPOSE('[1]Fur 1 PLC'!$CL$1:$DP$38),37,0),0)</f>
        <v>245.05555555555554</v>
      </c>
      <c r="DG18" s="54" cm="1">
        <f t="array" ref="DG18">IFERROR(VLOOKUP($A18,TRANSPOSE('[1]Fur 1 PLC'!$CL$1:$DP$38),6,0),0)</f>
        <v>0</v>
      </c>
      <c r="DH18" s="54" cm="1">
        <f t="array" ref="DH18">IFERROR(VLOOKUP($A18,TRANSPOSE('[1]Fur 1 PLC'!$CL$1:$DP$38),21,0),0)</f>
        <v>0</v>
      </c>
      <c r="DI18" s="54" cm="1">
        <f t="array" ref="DI18">IFERROR(VLOOKUP($A18,TRANSPOSE('[1]Fur 1 PLC'!$CL$1:$DP$38),12,0),0)</f>
        <v>0</v>
      </c>
      <c r="DJ18" s="54" cm="1">
        <f t="array" ref="DJ18">IFERROR(VLOOKUP($A18,TRANSPOSE('[1]Fur 1 PLC'!$CL$1:$DP$38),25,0),0)</f>
        <v>0</v>
      </c>
      <c r="DK18" s="54" cm="1">
        <f t="array" ref="DK18">IFERROR(VLOOKUP($A18,TRANSPOSE('[1]Fur 1 PLC'!$CL$1:$DP$38),26,0),0)</f>
        <v>0</v>
      </c>
      <c r="DL18" s="54" cm="1">
        <f t="array" ref="DL18">IFERROR(VLOOKUP($A18,TRANSPOSE('[1]Fur 1 PLC'!$CL$1:$DP$38),27,0),0)</f>
        <v>203.03703703703704</v>
      </c>
      <c r="DM18" s="54" cm="1">
        <f t="array" ref="DM18">IFERROR(VLOOKUP($A18,TRANSPOSE('[1]Fur 1 PLC'!$CL$1:$DP$38),22,0),0)</f>
        <v>0</v>
      </c>
      <c r="DN18" s="54" cm="1">
        <f t="array" ref="DN18">IFERROR(VLOOKUP($A18,TRANSPOSE('[1]Fur 1 PLC'!$CL$1:$DP$38),19,0),0)</f>
        <v>0</v>
      </c>
      <c r="DO18" s="54" cm="1">
        <f t="array" ref="DO18">IFERROR(VLOOKUP($A18,TRANSPOSE('[1]Fur 1 PLC'!$CL$1:$DP$38),29,0),0)</f>
        <v>0</v>
      </c>
      <c r="DP18" s="54" cm="1">
        <f t="array" ref="DP18">IFERROR(VLOOKUP($A18,TRANSPOSE('[1]Fur 1 PLC'!$CL$1:$DP$38),10,0),0)</f>
        <v>0</v>
      </c>
      <c r="DQ18" s="54" cm="1">
        <f t="array" ref="DQ18">IFERROR(VLOOKUP($A18,TRANSPOSE('[1]Fur 1 PLC'!$CL$1:$DP$38),7,0),0)</f>
        <v>122.11111111111111</v>
      </c>
      <c r="DR18" s="54" cm="1">
        <f t="array" ref="DR18">IFERROR(VLOOKUP($A18,TRANSPOSE('[1]Fur 1 PLC'!$CL$1:$DP$38),35,0),0)</f>
        <v>85.074074074074076</v>
      </c>
      <c r="DS18" s="54" cm="1">
        <f t="array" ref="DS18">IFERROR(VLOOKUP($A18,TRANSPOSE('[1]Fur 1 PLC'!$CL$1:$DP$38),11,0),0)</f>
        <v>0</v>
      </c>
      <c r="DT18" s="54" cm="1">
        <f t="array" ref="DT18">IFERROR(VLOOKUP($A18,TRANSPOSE('[1]Fur 1 PLC'!$CL$1:$DP$38),19,0),0)</f>
        <v>0</v>
      </c>
      <c r="DU18" s="54" cm="1">
        <f t="array" ref="DU18">IFERROR(VLOOKUP($A18,TRANSPOSE('[1]Fur 1 PLC'!$CL$1:$DP$38),18,0),0)</f>
        <v>225.05555555555557</v>
      </c>
      <c r="DV18" s="54" cm="1">
        <f t="array" ref="DV18">IFERROR(VLOOKUP($A18,TRANSPOSE('[1]Fur 1 PLC'!$CL$1:$DP$38),15,0),0)</f>
        <v>68.018518518518519</v>
      </c>
      <c r="DW18" t="str">
        <f>TEXT(C18,"Mmm-yy")</f>
        <v>Dec-25</v>
      </c>
    </row>
    <row r="19" spans="1:127" x14ac:dyDescent="0.3">
      <c r="A19" s="28" t="str">
        <f t="shared" si="1"/>
        <v>F245996</v>
      </c>
      <c r="B19" s="29" t="s">
        <v>27</v>
      </c>
      <c r="C19" s="30">
        <f>C18</f>
        <v>45996</v>
      </c>
      <c r="D19" s="29" t="str">
        <f>VLOOKUP($B19&amp;$C19,'[1]FC2 Prod'!$A$6:$BP$36,[2]Consolidated!D$1)</f>
        <v>Mr. Girish Malik</v>
      </c>
      <c r="E19" s="29">
        <f>VLOOKUP($B19&amp;$C19,'[1]FC2 Prod'!$A$6:$BP$36,[2]Consolidated!E$1)</f>
        <v>31</v>
      </c>
      <c r="F19" s="29">
        <f>VLOOKUP($B19&amp;$C19,'[1]FC2 Prod'!$A$6:$BP$36,[2]Consolidated!F$1)</f>
        <v>0</v>
      </c>
      <c r="G19" s="29">
        <f>VLOOKUP($B19&amp;$C19,'[1]FC2 Prod'!$A$6:$BP$36,[2]Consolidated!G$1)</f>
        <v>31</v>
      </c>
      <c r="H19" s="32">
        <f>VLOOKUP($B19&amp;$C19,'[1]FC2 Prod'!$A$6:$BP$36,[2]Consolidated!H$1)</f>
        <v>22.01</v>
      </c>
      <c r="I19" s="32">
        <f>VLOOKUP($B19&amp;$C19,'[1]FC2 Prod'!$A$6:$BP$36,[2]Consolidated!I$1)</f>
        <v>6.02</v>
      </c>
      <c r="J19" s="32">
        <f>VLOOKUP($B19&amp;$C19,'[1]FC2 Prod'!$A$6:$BP$36,[2]Consolidated!J$1)</f>
        <v>39.28</v>
      </c>
      <c r="K19" s="32">
        <f>VLOOKUP($B19&amp;$C19,'[1]FC2 Prod'!$A$6:$BP$36,[2]Consolidated!K$1)</f>
        <v>1.41</v>
      </c>
      <c r="L19" s="32">
        <f>VLOOKUP($B19&amp;$C19,'[1]FC2 Prod'!$A$6:$BP$36,[2]Consolidated!L$1)</f>
        <v>28.42</v>
      </c>
      <c r="M19" s="32">
        <f>VLOOKUP($B19&amp;$C19,'[1]FC2 Prod'!$A$6:$BP$36,[2]Consolidated!M$1)</f>
        <v>5.21</v>
      </c>
      <c r="N19" s="32">
        <f>VLOOKUP($B19&amp;$C19,'[1]FC2 Prod'!$A$6:$BP$36,[2]Consolidated!N$1)</f>
        <v>16.52</v>
      </c>
      <c r="O19" s="32">
        <f>VLOOKUP($B19&amp;$C19,'[1]FC2 Prod'!$A$6:$BP$36,[2]Consolidated!O$1)</f>
        <v>0.86</v>
      </c>
      <c r="P19" s="34">
        <f>VLOOKUP($B19&amp;$C19,'[1]FC2 Prod'!$A$6:$BP$36,[2]Consolidated!P$1)</f>
        <v>9</v>
      </c>
      <c r="Q19" s="29">
        <f>VLOOKUP($B19&amp;$C19,'[1]FC2 Prod'!$A$6:$BP$36,[2]Consolidated!Q$1)</f>
        <v>61.005000000000003</v>
      </c>
      <c r="R19" s="29">
        <f>VLOOKUP($B19&amp;$C19,'[1]FC2 Prod'!$A$6:$BP$36,[2]Consolidated!R$1)</f>
        <v>20.012</v>
      </c>
      <c r="S19" s="34">
        <f>VLOOKUP($B19&amp;$C19,'[1]FC2 Prod'!$A$6:$BP$36,[2]Consolidated!S$1)</f>
        <v>30</v>
      </c>
      <c r="T19" s="34">
        <f>VLOOKUP($B19&amp;$C19,'[1]FC2 Prod'!$A$6:$BP$36,[2]Consolidated!T$1)</f>
        <v>20</v>
      </c>
      <c r="U19" s="34">
        <f>VLOOKUP($B19&amp;$C19,'[1]FC2 Prod'!$A$6:$BP$36,[2]Consolidated!U$1)</f>
        <v>20</v>
      </c>
      <c r="V19" s="34">
        <f>VLOOKUP($B19&amp;$C19,'[1]FC2 Prod'!$A$6:$BP$36,[2]Consolidated!V$1)</f>
        <v>70</v>
      </c>
      <c r="W19" s="29">
        <f>VLOOKUP($B19&amp;$C19,'[1]FC2 Prod'!$A$6:$BP$36,[2]Consolidated!W$1)</f>
        <v>1.9679032258064517</v>
      </c>
      <c r="X19" s="35">
        <f>VLOOKUP($B19&amp;$C19,'[1]FC2 Prod'!$A$6:$BP$36,[2]Consolidated!X$1)</f>
        <v>31.960000000000008</v>
      </c>
      <c r="Y19" s="36">
        <f>VLOOKUP($B19&amp;$C19,'[1]FC2 Prod'!$A$6:$BP$36,[2]Consolidated!Y$1)</f>
        <v>0.96996245306633266</v>
      </c>
      <c r="Z19" s="37" t="str">
        <f>VLOOKUP($B19&amp;$C19,'[1]FC2 Prod'!$A$6:$BP$36,[2]Consolidated!Z$1)</f>
        <v>55/22</v>
      </c>
      <c r="AA19" s="31">
        <f>VLOOKUP($B19&amp;$C19,'[1]FC2 Prod'!$A$6:$BP$36,[2]Consolidated!AA$1)</f>
        <v>55.142222222222216</v>
      </c>
      <c r="AB19" s="31">
        <f>VLOOKUP($B19&amp;$C19,'[1]FC2 Prod'!$A$6:$BP$36,[2]Consolidated!AB$1)</f>
        <v>21.425555555555562</v>
      </c>
      <c r="AC19" s="31">
        <f>VLOOKUP($B19&amp;$C19,'[1]FC2 Prod'!$A$6:$BP$36,[2]Consolidated!AC$1)</f>
        <v>0.46888888888888897</v>
      </c>
      <c r="AD19" s="38">
        <f>VLOOKUP($B19&amp;$C19,'[1]FC2 Prod'!$A$6:$BP$36,[2]Consolidated!AD$1)</f>
        <v>650.41429648387111</v>
      </c>
      <c r="AE19" s="38">
        <f>VLOOKUP($B19&amp;$C19,'[1]FC2 Prod'!$A$6:$BP$36,[2]Consolidated!AE$1)</f>
        <v>624.97497706774186</v>
      </c>
      <c r="AF19" s="39">
        <f>VLOOKUP($B19&amp;$C19,'[1]FC2 Prod'!$A$6:$BP$36,[2]Consolidated!AF$1)</f>
        <v>0.84780150928908171</v>
      </c>
      <c r="AG19" s="39">
        <f>VLOOKUP($B19&amp;$C19,'[1]FC2 Prod'!$A$6:$BP$36,[2]Consolidated!AG$1)</f>
        <v>0.88231088036417937</v>
      </c>
      <c r="AH19" s="34">
        <f>VLOOKUP($B19&amp;$C19,'[1]FC2 Prod'!$A$6:$BP$36,[2]Consolidated!AH$1)</f>
        <v>532.67456000000016</v>
      </c>
      <c r="AI19" s="33">
        <f>VLOOKUP($B19&amp;$C19,'[1]FC2 Prod'!$A$6:$BP$36,[2]Consolidated!AI$1)</f>
        <v>474.50013858064523</v>
      </c>
      <c r="AJ19" s="39">
        <f>VLOOKUP($B19&amp;$C19,'[1]FC2 Prod'!$A$6:$BP$36,[2]Consolidated!AJ$1)</f>
        <v>0.48684469662988095</v>
      </c>
      <c r="AK19" s="39">
        <f>VLOOKUP($B19&amp;$C19,'[1]FC2 Prod'!$A$6:$BP$36,[2]Consolidated!AK$1)</f>
        <v>0.47959771596656886</v>
      </c>
      <c r="AL19" s="40" t="str">
        <f>VLOOKUP($B19&amp;$C19,'[1]FC2 Prod'!$A$6:$BP$36,[2]Consolidated!AL$1)</f>
        <v>10/70</v>
      </c>
      <c r="AM19" s="41">
        <f>VLOOKUP($B19&amp;$C19,'[1]FC2 Prod'!$A$6:$BP$36,[2]Consolidated!AM$1)</f>
        <v>2.5161290322580646E-2</v>
      </c>
      <c r="AN19" s="42">
        <f>VLOOKUP($B19&amp;$C19,'[1]FC2 Prod'!$A$6:$BP$36,[2]Consolidated!AN$1)</f>
        <v>146.1</v>
      </c>
      <c r="AO19" s="43">
        <f>VLOOKUP($B19&amp;$C19,'[1]FC2 Prod'!$A$6:$BP$36,[2]Consolidated!AO$1)</f>
        <v>6.5990000000000002</v>
      </c>
      <c r="AP19" s="44">
        <f>VLOOKUP($B19&amp;$C19,'[1]FC2 Prod'!$A$6:$BP$36,[2]Consolidated!AP$1)</f>
        <v>4.9257741935483867</v>
      </c>
      <c r="AQ19" s="44">
        <f>VLOOKUP($B19&amp;$C19,'[1]FC2 Prod'!$A$6:$BP$36,[2]Consolidated!AQ$1)</f>
        <v>28.358471712261601</v>
      </c>
      <c r="AR19" s="45">
        <f>VLOOKUP($B19&amp;$C19,'[1]FC2 Prod'!$A$6:$BP$36,[2]Consolidated!AR$1)</f>
        <v>0.99795081967213128</v>
      </c>
      <c r="AS19" s="46">
        <f>VLOOKUP($B19&amp;$C19,'[1]FC2 Prod'!$A$6:$BP$36,[2]Consolidated!AS$1)</f>
        <v>2.2399999999999998</v>
      </c>
      <c r="AT19" s="29">
        <f>VLOOKUP($B19&amp;$C19,'[1]FC2 Prod'!$A$6:$BP$36,[2]Consolidated!AT$1)</f>
        <v>0.78163767483101998</v>
      </c>
      <c r="AU19" s="34">
        <f>VLOOKUP($B19&amp;$C19,'[1]FC2 Prod'!$A$6:$BP$36,[2]Consolidated!AU$1)</f>
        <v>470.82638888888891</v>
      </c>
      <c r="AV19" s="34">
        <f>VLOOKUP($B19&amp;$C19,'[1]FC2 Prod'!$A$6:$BP$36,[2]Consolidated!AV$1)</f>
        <v>316.66666666666669</v>
      </c>
      <c r="AW19" s="47">
        <f>VLOOKUP($B19&amp;$C19,'[1]FC2 Prod'!$A$6:$BP$36,[2]Consolidated!AW$1)</f>
        <v>25736.643225806449</v>
      </c>
      <c r="AX19" s="47">
        <f>VLOOKUP($B19&amp;$C19,'[1]FC2 Prod'!$A$6:$BP$36,[2]Consolidated!AX$1)</f>
        <v>16329.806451612903</v>
      </c>
      <c r="AY19" s="48">
        <f>VLOOKUP($B19&amp;$C19,'[1]FC2 Prod'!$A$6:$BP$36,[2]Consolidated!AY$1)</f>
        <v>1728.8709677419358</v>
      </c>
      <c r="AZ19" s="47">
        <f>VLOOKUP($B19&amp;$C19,'[1]FC2 Prod'!$A$6:$BP$36,[2]Consolidated!AZ$1)</f>
        <v>2437.9080645161289</v>
      </c>
      <c r="BA19" s="47">
        <f>VLOOKUP($B19&amp;$C19,'[1]FC2 Prod'!$A$6:$BP$36,[2]Consolidated!BA$1)</f>
        <v>28815.779032258062</v>
      </c>
      <c r="BB19" s="47">
        <f>VLOOKUP($B19&amp;$C19,'[1]FC2 Prod'!$A$6:$BP$36,[2]Consolidated!BB$1)</f>
        <v>750.49007741935498</v>
      </c>
      <c r="BC19" s="47">
        <f>VLOOKUP($B19&amp;$C19,'[1]FC2 Prod'!$A$6:$BP$36,[2]Consolidated!BC$1)</f>
        <v>9358.9709677419341</v>
      </c>
      <c r="BD19" s="49">
        <f>VLOOKUP($B19&amp;$C19,'[1]FC2 Prod'!$A$6:$BP$36,[2]Consolidated!BD$1)</f>
        <v>85158.468787096775</v>
      </c>
      <c r="BE19" s="47">
        <f>VLOOKUP($B19&amp;$C19,'[1]FC2 Prod'!$A$6:$BP$36,[2]Consolidated!BE$1)</f>
        <v>24672.18090322581</v>
      </c>
      <c r="BF19" s="47">
        <f>VLOOKUP($B19&amp;$C19,'[1]FC2 Prod'!$A$6:$BP$36,[2]Consolidated!BF$1)</f>
        <v>14524.270967741937</v>
      </c>
      <c r="BG19" s="50">
        <f>VLOOKUP($B19&amp;$C19,'[1]FC2 Prod'!$A$6:$BP$36,[2]Consolidated!BG$1)</f>
        <v>1798.8193548387096</v>
      </c>
      <c r="BH19" s="50">
        <f>VLOOKUP($B19&amp;$C19,'[1]FC2 Prod'!$A$6:$BP$36,[2]Consolidated!BH$1)</f>
        <v>722.48958322580643</v>
      </c>
      <c r="BI19" s="50">
        <f>VLOOKUP($B19&amp;$C19,'[1]FC2 Prod'!$A$6:$BP$36,[2]Consolidated!BI$1)</f>
        <v>82330.418873548377</v>
      </c>
      <c r="BJ19" s="37" t="e">
        <f>VLOOKUP($B19&amp;$C19,'[1]FC2 Prod'!$A$6:$BP$36,[2]Consolidated!BJ$1)</f>
        <v>#REF!</v>
      </c>
      <c r="BK19" s="37" t="e">
        <f>VLOOKUP($B19&amp;$C19,'[1]FC2 Prod'!$A$6:$BP$36,[2]Consolidated!BK$1)</f>
        <v>#REF!</v>
      </c>
      <c r="BL19" s="37" t="e">
        <f>VLOOKUP($B19&amp;$C19,'[1]FC2 Prod'!$A$6:$BP$36,[2]Consolidated!BL$1)</f>
        <v>#REF!</v>
      </c>
      <c r="BM19" s="37" t="e">
        <f>VLOOKUP($B19&amp;$C19,'[1]FC2 Prod'!$A$6:$BP$36,[2]Consolidated!BM$1)</f>
        <v>#REF!</v>
      </c>
      <c r="BN19" s="37" t="e">
        <f>VLOOKUP($B19&amp;$C19,'[1]FC2 Prod'!$A$6:$BP$36,[2]Consolidated!BN$1)</f>
        <v>#REF!</v>
      </c>
      <c r="BO19" s="37" t="e">
        <f>VLOOKUP($B19&amp;$C19,'[1]FC2 Prod'!$A$6:$BP$36,[2]Consolidated!BO$1)</f>
        <v>#REF!</v>
      </c>
      <c r="BP19" s="37" t="str">
        <f>VLOOKUP($B19&amp;$C19,'[1]FC2 Prod'!$A$6:$BP$36,[2]Consolidated!BP$1)</f>
        <v>NIL</v>
      </c>
      <c r="BQ19" s="29" t="e">
        <f>VLOOKUP($B19&amp;$C19,'[1]FC2 Prod'!$A$6:$BP$36,[2]Consolidated!BQ$1)</f>
        <v>#REF!</v>
      </c>
      <c r="BR19" s="51">
        <f>VLOOKUP($B19&amp;$C19,'[1]FC2 Prod'!$A$6:$BQ$36,[2]Consolidated!BR$1)</f>
        <v>69902</v>
      </c>
      <c r="BS19" s="52">
        <f t="shared" si="19"/>
        <v>69811.050258064526</v>
      </c>
      <c r="BT19" s="32">
        <f>BR19-BS19</f>
        <v>90.949741935473867</v>
      </c>
      <c r="BU19" s="37">
        <f>E19*BT19</f>
        <v>2819.4419999996899</v>
      </c>
      <c r="BV19" s="53" t="s">
        <v>130</v>
      </c>
      <c r="BW19" s="54" cm="1">
        <f t="array" ref="BW19">IFERROR(VLOOKUP($A19,TRANSPOSE('[1]Fur 2 PLC'!$AR$1:$BV$38),8,0),0)</f>
        <v>0</v>
      </c>
      <c r="BX19" s="54" cm="1">
        <f t="array" ref="BX19">IFERROR(VLOOKUP($A19,TRANSPOSE('[1]Fur 2 PLC'!$AR$1:$BV$38),30,0),0)</f>
        <v>0</v>
      </c>
      <c r="BY19" s="54" cm="1">
        <f t="array" ref="BY19">IFERROR(VLOOKUP($A19,TRANSPOSE('[1]Fur 2 PLC'!$AR$1:$BV$38),14,0),0)</f>
        <v>0</v>
      </c>
      <c r="BZ19" s="54" cm="1">
        <f t="array" ref="BZ19">IFERROR(VLOOKUP($A19,TRANSPOSE('[1]Fur 2 PLC'!$AR$1:$BV$38),16,0),0)</f>
        <v>0</v>
      </c>
      <c r="CA19" s="54" cm="1">
        <f t="array" ref="CA19">IFERROR(VLOOKUP($A19,TRANSPOSE('[1]Fur 2 PLC'!$AR$1:$BV$38),9,0),0)</f>
        <v>510.35483870967744</v>
      </c>
      <c r="CB19" s="54" cm="1">
        <f t="array" ref="CB19">IFERROR(VLOOKUP($A19,TRANSPOSE('[1]Fur 2 PLC'!$AR$1:$BV$38),17,0),0)</f>
        <v>363.09677419354841</v>
      </c>
      <c r="CC19" s="54" cm="1">
        <f t="array" ref="CC19">IFERROR(VLOOKUP($A19,TRANSPOSE('[1]Fur 2 PLC'!$AR$1:$BV$38),20,0),0)</f>
        <v>0</v>
      </c>
      <c r="CD19" s="54" cm="1">
        <f t="array" ref="CD19">IFERROR(VLOOKUP($A19,TRANSPOSE('[1]Fur 2 PLC'!$AR$1:$BV$38),28,0),0)</f>
        <v>142.48387096774192</v>
      </c>
      <c r="CE19" s="54" cm="1">
        <f t="array" ref="CE19">IFERROR(VLOOKUP($A19,TRANSPOSE('[1]Fur 2 PLC'!$AR$1:$BV$38),13,0),0)</f>
        <v>0</v>
      </c>
      <c r="CF19" s="54" cm="1">
        <f t="array" ref="CF19">IFERROR(VLOOKUP($A19,TRANSPOSE('[1]Fur 2 PLC'!$AR$1:$BV$38),37,0),0)</f>
        <v>658</v>
      </c>
      <c r="CG19" s="54" cm="1">
        <f t="array" ref="CG19">IFERROR(VLOOKUP($A19,TRANSPOSE('[1]Fur 2 PLC'!$AR$1:$BV$38),6,0),0)</f>
        <v>0</v>
      </c>
      <c r="CH19" s="54" cm="1">
        <f t="array" ref="CH19">IFERROR(VLOOKUP($A19,TRANSPOSE('[1]Fur 2 PLC'!$AR$1:$BV$38),21,0),0)</f>
        <v>0</v>
      </c>
      <c r="CI19" s="54" cm="1">
        <f t="array" ref="CI19">IFERROR(VLOOKUP($A19,TRANSPOSE('[1]Fur 2 PLC'!$AR$1:$BV$38),12,0),0)</f>
        <v>0</v>
      </c>
      <c r="CJ19" s="54" cm="1">
        <f t="array" ref="CJ19">IFERROR(VLOOKUP($A19,TRANSPOSE('[1]Fur 2 PLC'!$AR$1:$BV$38),25,0),0)</f>
        <v>0</v>
      </c>
      <c r="CK19" s="54" cm="1">
        <f t="array" ref="CK19">IFERROR(VLOOKUP($A19,TRANSPOSE('[1]Fur 2 PLC'!$AR$1:$BV$38),26,0),0)</f>
        <v>0</v>
      </c>
      <c r="CL19" s="54" cm="1">
        <f t="array" ref="CL19">IFERROR(VLOOKUP($A19,TRANSPOSE('[1]Fur 2 PLC'!$AR$1:$BV$38),27,0),0)</f>
        <v>503.06451612903226</v>
      </c>
      <c r="CM19" s="54" cm="1">
        <f t="array" ref="CM19">IFERROR(VLOOKUP($A19,TRANSPOSE('[1]Fur 2 PLC'!$AR$1:$BV$38),22,0),0)</f>
        <v>0</v>
      </c>
      <c r="CN19" s="54"/>
      <c r="CO19" s="54" cm="1">
        <f t="array" ref="CO19">IFERROR(VLOOKUP($A19,TRANSPOSE('[1]Fur 2 PLC'!$AR$1:$BV$38),29,0),0)</f>
        <v>0</v>
      </c>
      <c r="CP19" s="54" cm="1">
        <f t="array" ref="CP19">IFERROR(VLOOKUP($A19,TRANSPOSE('[1]Fur 2 PLC'!$AR$1:$BV$38),10,0),0)</f>
        <v>0</v>
      </c>
      <c r="CQ19" s="54" cm="1">
        <f t="array" ref="CQ19">IFERROR(VLOOKUP($A19,TRANSPOSE('[1]Fur 2 PLC'!$AR$1:$BV$38),7,0),0)</f>
        <v>235.93548387096774</v>
      </c>
      <c r="CR19" s="54" cm="1">
        <f t="array" ref="CR19">IFERROR(VLOOKUP($A19,TRANSPOSE('[1]Fur 2 PLC'!$AR$1:$BV$38),35,0),0)</f>
        <v>9.258064516129032</v>
      </c>
      <c r="CS19" s="54" cm="1">
        <f t="array" ref="CS19">IFERROR(VLOOKUP($A19,TRANSPOSE('[1]Fur 2 PLC'!$AR$1:$BV$38),11,0),0)</f>
        <v>749.16129032258061</v>
      </c>
      <c r="CT19" s="54" cm="1">
        <f t="array" ref="CT19">IFERROR(VLOOKUP($A19,TRANSPOSE('[1]Fur 2 PLC'!$AR$1:$BV$38),19,0),0)</f>
        <v>0</v>
      </c>
      <c r="CU19" s="54" cm="1">
        <f t="array" ref="CU19">IFERROR(VLOOKUP($A19,TRANSPOSE('[1]Fur 2 PLC'!$AR$1:$BV$38),18,0),0)</f>
        <v>0</v>
      </c>
      <c r="CV19" s="54" cm="1">
        <f t="array" ref="CV19">IFERROR(VLOOKUP($A19,TRANSPOSE('[1]Fur 2 PLC'!$AR$1:$BV$38),15,0),0)</f>
        <v>345.29032258064518</v>
      </c>
      <c r="CW19" s="54" cm="1">
        <f t="array" ref="CW19">IFERROR(VLOOKUP($A19,TRANSPOSE('[1]Fur 2 PLC'!$CI$1:$DM$38),8,0),0)</f>
        <v>0</v>
      </c>
      <c r="CX19" s="54" cm="1">
        <f t="array" ref="CX19">IFERROR(VLOOKUP($A19,TRANSPOSE('[1]Fur 2 PLC'!$CI$1:$DM$38),30,0),0)</f>
        <v>0</v>
      </c>
      <c r="CY19" s="54" cm="1">
        <f t="array" ref="CY19">IFERROR(VLOOKUP($A19,TRANSPOSE('[1]Fur 2 PLC'!$CI$1:$DM$38),14,0),0)</f>
        <v>0</v>
      </c>
      <c r="CZ19" s="54" cm="1">
        <f t="array" ref="CZ19">IFERROR(VLOOKUP($A19,TRANSPOSE('[1]Fur 2 PLC'!$CI$1:$DM$38),16,0),0)</f>
        <v>0</v>
      </c>
      <c r="DA19" s="54" cm="1">
        <f t="array" ref="DA19">IFERROR(VLOOKUP($A19,TRANSPOSE('[1]Fur 2 PLC'!$CI$1:$DM$38),9,0),0)</f>
        <v>226.01428571428573</v>
      </c>
      <c r="DB19" s="55" cm="1">
        <f t="array" ref="DB19">IFERROR(VLOOKUP($A19,TRANSPOSE('[1]Fur 2 PLC'!$CI$1:$DM$38),17,0),0)</f>
        <v>160.80000000000001</v>
      </c>
      <c r="DC19" s="55" cm="1">
        <f t="array" ref="DC19">IFERROR(VLOOKUP($A19,TRANSPOSE('[1]Fur 2 PLC'!$CI$1:$DM$38),20,0),0)</f>
        <v>0</v>
      </c>
      <c r="DD19" s="54" cm="1">
        <f t="array" ref="DD19">IFERROR(VLOOKUP($A19,TRANSPOSE('[1]Fur 2 PLC'!$CI$1:$DM$38),28,0),0)</f>
        <v>63.1</v>
      </c>
      <c r="DE19" s="54" cm="1">
        <f t="array" ref="DE19">IFERROR(VLOOKUP($A19,TRANSPOSE('[1]Fur 2 PLC'!$CI$1:$DM$38),13,0),0)</f>
        <v>0</v>
      </c>
      <c r="DF19" s="54" cm="1">
        <f t="array" ref="DF19">IFERROR(VLOOKUP($A19,TRANSPOSE('[1]Fur 2 PLC'!$CI$1:$DM$38),37,0),0)</f>
        <v>291.39999999999998</v>
      </c>
      <c r="DG19" s="54" cm="1">
        <f t="array" ref="DG19">IFERROR(VLOOKUP($A19,TRANSPOSE('[1]Fur 2 PLC'!$CI$1:$DM$38),6,0),0)</f>
        <v>0</v>
      </c>
      <c r="DH19" s="54" cm="1">
        <f t="array" ref="DH19">IFERROR(VLOOKUP($A19,TRANSPOSE('[1]Fur 2 PLC'!$CI$1:$DM$38),21,0),0)</f>
        <v>0</v>
      </c>
      <c r="DI19" s="54" cm="1">
        <f t="array" ref="DI19">IFERROR(VLOOKUP($A19,TRANSPOSE('[1]Fur 2 PLC'!$CI$1:$DM$38),12,0),0)</f>
        <v>0</v>
      </c>
      <c r="DJ19" s="54" cm="1">
        <f t="array" ref="DJ19">IFERROR(VLOOKUP($A19,TRANSPOSE('[1]Fur 2 PLC'!$CI$1:$DM$38),25,0),0)</f>
        <v>0</v>
      </c>
      <c r="DK19" s="54" cm="1">
        <f t="array" ref="DK19">IFERROR(VLOOKUP($A19,TRANSPOSE('[1]Fur 2 PLC'!$CI$1:$DM$38),26,0),0)</f>
        <v>0</v>
      </c>
      <c r="DL19" s="54" cm="1">
        <f t="array" ref="DL19">IFERROR(VLOOKUP($A19,TRANSPOSE('[1]Fur 2 PLC'!$CI$1:$DM$38),27,0),0)</f>
        <v>222.78571428571428</v>
      </c>
      <c r="DM19" s="54" cm="1">
        <f t="array" ref="DM19">IFERROR(VLOOKUP($A19,TRANSPOSE('[1]Fur 2 PLC'!$CI$1:$DM$38),22,0),0)</f>
        <v>0</v>
      </c>
      <c r="DN19" s="54" cm="1">
        <f t="array" ref="DN19">IFERROR(VLOOKUP($A19,TRANSPOSE('[1]Fur 2 PLC'!$CI$1:$DM$38),19,0),0)</f>
        <v>0</v>
      </c>
      <c r="DO19" s="54" cm="1">
        <f t="array" ref="DO19">IFERROR(VLOOKUP($A19,TRANSPOSE('[1]Fur 2 PLC'!$CI$1:$DM$38),29,0),0)</f>
        <v>0</v>
      </c>
      <c r="DP19" s="54" cm="1">
        <f t="array" ref="DP19">IFERROR(VLOOKUP($A19,TRANSPOSE('[1]Fur 2 PLC'!$CI$1:$DM$38),10,0),0)</f>
        <v>0</v>
      </c>
      <c r="DQ19" s="54" cm="1">
        <f t="array" ref="DQ19">IFERROR(VLOOKUP($A19,TRANSPOSE('[1]Fur 2 PLC'!$CI$1:$DM$38),7,0),0)</f>
        <v>104.48571428571429</v>
      </c>
      <c r="DR19" s="54" cm="1">
        <f t="array" ref="DR19">IFERROR(VLOOKUP($A19,TRANSPOSE('[1]Fur 2 PLC'!$CI$1:$DM$38),35,0),0)</f>
        <v>4.0999999999999996</v>
      </c>
      <c r="DS19" s="54" cm="1">
        <f t="array" ref="DS19">IFERROR(VLOOKUP($A19,TRANSPOSE('[1]Fur 2 PLC'!$CI$1:$DM$38),11,0),0)</f>
        <v>331.77142857142854</v>
      </c>
      <c r="DT19" s="54" cm="1">
        <f t="array" ref="DT19">IFERROR(VLOOKUP($A19,TRANSPOSE('[1]Fur 2 PLC'!$CI$1:$DM$38),19,0),0)</f>
        <v>0</v>
      </c>
      <c r="DU19" s="54" cm="1">
        <f t="array" ref="DU19">IFERROR(VLOOKUP($A19,TRANSPOSE('[1]Fur 2 PLC'!$CI$1:$DM$38),18,0),0)</f>
        <v>0</v>
      </c>
      <c r="DV19" s="54" cm="1">
        <f t="array" ref="DV19">IFERROR(VLOOKUP($A19,TRANSPOSE('[1]Fur 2 PLC'!$CI$1:$DM$38),15,0),0)</f>
        <v>152.91428571428571</v>
      </c>
      <c r="DW19" t="str">
        <f t="shared" ref="DW19:DW21" si="20">TEXT(C19,"Mmm-yy")</f>
        <v>Dec-25</v>
      </c>
    </row>
    <row r="20" spans="1:127" x14ac:dyDescent="0.3">
      <c r="A20" s="28" t="str">
        <f t="shared" si="1"/>
        <v>F345996</v>
      </c>
      <c r="B20" s="29" t="s">
        <v>28</v>
      </c>
      <c r="C20" s="30">
        <f>C19</f>
        <v>45996</v>
      </c>
      <c r="D20" s="29" t="str">
        <f>VLOOKUP($B20&amp;$C20,'[1]FC3 Prod'!$A$6:$BP$36,[2]Consolidated!D$1)</f>
        <v>Mr. Ajay Singh</v>
      </c>
      <c r="E20" s="29">
        <f>VLOOKUP($B20&amp;$C20,'[1]FC3 Prod'!$A$6:$BP$36,[2]Consolidated!E$1)</f>
        <v>37.410000000000004</v>
      </c>
      <c r="F20" s="31">
        <f>VLOOKUP($B20&amp;$C20,'[1]FC3 Prod'!$A$6:$BP$36,[2]Consolidated!F$1)</f>
        <v>0.28999999999999915</v>
      </c>
      <c r="G20" s="32">
        <f>VLOOKUP($B20&amp;$C20,'[1]FC3 Prod'!$A$6:$BP$36,[2]Consolidated!G$1)</f>
        <v>37.700000000000003</v>
      </c>
      <c r="H20" s="32">
        <f>VLOOKUP($B20&amp;$C20,'[1]FC3 Prod'!$A$6:$BP$36,[2]Consolidated!H$1)</f>
        <v>29.14</v>
      </c>
      <c r="I20" s="32">
        <f>VLOOKUP($B20&amp;$C20,'[1]FC3 Prod'!$A$6:$BP$36,[2]Consolidated!I$1)</f>
        <v>10.85</v>
      </c>
      <c r="J20" s="32">
        <f>VLOOKUP($B20&amp;$C20,'[1]FC3 Prod'!$A$6:$BP$36,[2]Consolidated!J$1)</f>
        <v>38.520000000000003</v>
      </c>
      <c r="K20" s="32">
        <f>VLOOKUP($B20&amp;$C20,'[1]FC3 Prod'!$A$6:$BP$36,[2]Consolidated!K$1)</f>
        <v>1.32</v>
      </c>
      <c r="L20" s="32">
        <f>VLOOKUP($B20&amp;$C20,'[1]FC3 Prod'!$A$6:$BP$36,[2]Consolidated!L$1)</f>
        <v>25.88</v>
      </c>
      <c r="M20" s="32">
        <f>VLOOKUP($B20&amp;$C20,'[1]FC3 Prod'!$A$6:$BP$36,[2]Consolidated!M$1)</f>
        <v>5.0199999999999996</v>
      </c>
      <c r="N20" s="32">
        <f>VLOOKUP($B20&amp;$C20,'[1]FC3 Prod'!$A$6:$BP$36,[2]Consolidated!N$1)</f>
        <v>15.21</v>
      </c>
      <c r="O20" s="32">
        <f>VLOOKUP($B20&amp;$C20,'[1]FC3 Prod'!$A$6:$BP$36,[2]Consolidated!O$1)</f>
        <v>0.8</v>
      </c>
      <c r="P20" s="33">
        <f>VLOOKUP($B20&amp;$C20,'[1]FC3 Prod'!$A$6:$BP$36,[2]Consolidated!P$1)</f>
        <v>8</v>
      </c>
      <c r="Q20" s="29">
        <f>VLOOKUP($B20&amp;$C20,'[1]FC3 Prod'!$A$6:$BP$36,[2]Consolidated!Q$1)</f>
        <v>77.698000000000008</v>
      </c>
      <c r="R20" s="29">
        <f>VLOOKUP($B20&amp;$C20,'[1]FC3 Prod'!$A$6:$BP$36,[2]Consolidated!R$1)</f>
        <v>23.706</v>
      </c>
      <c r="S20" s="34">
        <f>VLOOKUP($B20&amp;$C20,'[1]FC3 Prod'!$A$6:$BP$36,[2]Consolidated!S$1)</f>
        <v>34</v>
      </c>
      <c r="T20" s="34">
        <f>VLOOKUP($B20&amp;$C20,'[1]FC3 Prod'!$A$6:$BP$36,[2]Consolidated!T$1)</f>
        <v>21</v>
      </c>
      <c r="U20" s="34">
        <f>VLOOKUP($B20&amp;$C20,'[1]FC3 Prod'!$A$6:$BP$36,[2]Consolidated!U$1)</f>
        <v>17</v>
      </c>
      <c r="V20" s="34">
        <f>VLOOKUP($B20&amp;$C20,'[1]FC3 Prod'!$A$6:$BP$36,[2]Consolidated!V$1)</f>
        <v>72</v>
      </c>
      <c r="W20" s="35">
        <f>VLOOKUP($B20&amp;$C20,'[1]FC3 Prod'!$A$6:$BP$36,[2]Consolidated!W$1)</f>
        <v>2.0769313017909652</v>
      </c>
      <c r="X20" s="35">
        <f>VLOOKUP($B20&amp;$C20,'[1]FC3 Prod'!$A$6:$BP$36,[2]Consolidated!X$1)</f>
        <v>38.86</v>
      </c>
      <c r="Y20" s="36">
        <f>VLOOKUP($B20&amp;$C20,'[1]FC3 Prod'!$A$6:$BP$36,[2]Consolidated!Y$1)</f>
        <v>0.96268656716417922</v>
      </c>
      <c r="Z20" s="37" t="str">
        <f>VLOOKUP($B20&amp;$C20,'[1]FC3 Prod'!$A$6:$BP$36,[2]Consolidated!Z$1)</f>
        <v>60/15</v>
      </c>
      <c r="AA20" s="31">
        <f>VLOOKUP($B20&amp;$C20,'[1]FC3 Prod'!$A$6:$BP$36,[2]Consolidated!AA$1)</f>
        <v>59.886250000000004</v>
      </c>
      <c r="AB20" s="31">
        <f>VLOOKUP($B20&amp;$C20,'[1]FC3 Prod'!$A$6:$BP$36,[2]Consolidated!AB$1)</f>
        <v>15.062499999999998</v>
      </c>
      <c r="AC20" s="31" t="e">
        <f>VLOOKUP($B20&amp;$C20,'[1]FC3 Prod'!$A$6:$BP$36,[2]Consolidated!AC$1)</f>
        <v>#REF!</v>
      </c>
      <c r="AD20" s="38">
        <f>VLOOKUP($B20&amp;$C20,'[1]FC3 Prod'!$A$6:$BP$36,[2]Consolidated!AD$1)</f>
        <v>538.34487040898159</v>
      </c>
      <c r="AE20" s="38">
        <f>VLOOKUP($B20&amp;$C20,'[1]FC3 Prod'!$A$6:$BP$36,[2]Consolidated!AE$1)</f>
        <v>676.60563544506817</v>
      </c>
      <c r="AF20" s="39">
        <f>VLOOKUP($B20&amp;$C20,'[1]FC3 Prod'!$A$6:$BP$36,[2]Consolidated!AF$1)</f>
        <v>1.1124142402342259</v>
      </c>
      <c r="AG20" s="39">
        <f>VLOOKUP($B20&amp;$C20,'[1]FC3 Prod'!$A$6:$BP$36,[2]Consolidated!AG$1)</f>
        <v>0.88509830339510986</v>
      </c>
      <c r="AH20" s="34">
        <f>VLOOKUP($B20&amp;$C20,'[1]FC3 Prod'!$A$6:$BP$36,[2]Consolidated!AH$1)</f>
        <v>424.92929697941719</v>
      </c>
      <c r="AI20" s="33">
        <f>VLOOKUP($B20&amp;$C20,'[1]FC3 Prod'!$A$6:$BP$36,[2]Consolidated!AI$1)</f>
        <v>379.63117481956692</v>
      </c>
      <c r="AJ20" s="39">
        <f>VLOOKUP($B20&amp;$C20,'[1]FC3 Prod'!$A$6:$BP$36,[2]Consolidated!AJ$1)</f>
        <v>0.39396063876353743</v>
      </c>
      <c r="AK20" s="39">
        <f>VLOOKUP($B20&amp;$C20,'[1]FC3 Prod'!$A$6:$BP$36,[2]Consolidated!AK$1)</f>
        <v>0.47157817627238674</v>
      </c>
      <c r="AL20" s="40" t="str">
        <f>VLOOKUP($B20&amp;$C20,'[1]FC3 Prod'!$A$6:$BP$36,[2]Consolidated!AL$1)</f>
        <v>25/50</v>
      </c>
      <c r="AM20" s="41">
        <f>VLOOKUP($B20&amp;$C20,'[1]FC3 Prod'!$A$6:$BP$36,[2]Consolidated!AM$1)</f>
        <v>3.5819299652499331E-2</v>
      </c>
      <c r="AN20" s="42">
        <f>VLOOKUP($B20&amp;$C20,'[1]FC3 Prod'!$A$6:$BP$36,[2]Consolidated!AN$1)</f>
        <v>146</v>
      </c>
      <c r="AO20" s="43">
        <f>VLOOKUP($B20&amp;$C20,'[1]FC3 Prod'!$A$6:$BP$36,[2]Consolidated!AO$1)</f>
        <v>6.5990000000000002</v>
      </c>
      <c r="AP20" s="44">
        <f>VLOOKUP($B20&amp;$C20,'[1]FC3 Prod'!$A$6:$BP$36,[2]Consolidated!AP$1)</f>
        <v>4.079096498262496</v>
      </c>
      <c r="AQ20" s="44">
        <f>VLOOKUP($B20&amp;$C20,'[1]FC3 Prod'!$A$6:$BP$36,[2]Consolidated!AQ$1)</f>
        <v>29.429265335023086</v>
      </c>
      <c r="AR20" s="45">
        <f>VLOOKUP($B20&amp;$C20,'[1]FC3 Prod'!$A$6:$BP$36,[2]Consolidated!AR$1)</f>
        <v>0.99726775956284164</v>
      </c>
      <c r="AS20" s="46">
        <f>VLOOKUP($B20&amp;$C20,'[1]FC3 Prod'!$A$6:$BP$36,[2]Consolidated!AS$1)</f>
        <v>2.2333333333333334</v>
      </c>
      <c r="AT20" s="29">
        <f>VLOOKUP($B20&amp;$C20,'[1]FC3 Prod'!$A$6:$BP$36,[2]Consolidated!AT$1)</f>
        <v>0.79527939669882797</v>
      </c>
      <c r="AU20" s="34">
        <f>VLOOKUP($B20&amp;$C20,'[1]FC3 Prod'!$A$6:$BP$36,[2]Consolidated!AU$1)</f>
        <v>553.48726851851859</v>
      </c>
      <c r="AV20" s="34">
        <f>VLOOKUP($B20&amp;$C20,'[1]FC3 Prod'!$A$6:$BP$36,[2]Consolidated!AV$1)</f>
        <v>350</v>
      </c>
      <c r="AW20" s="47">
        <f>VLOOKUP($B20&amp;$C20,'[1]FC3 Prod'!$A$6:$BP$36,[2]Consolidated!AW$1)</f>
        <v>20820.026730820631</v>
      </c>
      <c r="AX20" s="47">
        <f>VLOOKUP($B20&amp;$C20,'[1]FC3 Prod'!$A$6:$BP$36,[2]Consolidated!AX$1)</f>
        <v>9710.389200748461</v>
      </c>
      <c r="AY20" s="48">
        <f>VLOOKUP($B20&amp;$C20,'[1]FC3 Prod'!$A$6:$BP$36,[2]Consolidated!AY$1)</f>
        <v>1411.7080994386527</v>
      </c>
      <c r="AZ20" s="47">
        <f>VLOOKUP($B20&amp;$C20,'[1]FC3 Prod'!$A$6:$BP$36,[2]Consolidated!AZ$1)</f>
        <v>1866.2483293237103</v>
      </c>
      <c r="BA20" s="47">
        <f>VLOOKUP($B20&amp;$C20,'[1]FC3 Prod'!$A$6:$BP$36,[2]Consolidated!BA$1)</f>
        <v>23862.714514835603</v>
      </c>
      <c r="BB20" s="47">
        <f>VLOOKUP($B20&amp;$C20,'[1]FC3 Prod'!$A$6:$BP$36,[2]Consolidated!BB$1)</f>
        <v>576.71086875167066</v>
      </c>
      <c r="BC20" s="47">
        <f>VLOOKUP($B20&amp;$C20,'[1]FC3 Prod'!$A$6:$BP$36,[2]Consolidated!BC$1)</f>
        <v>7750.2833466987422</v>
      </c>
      <c r="BD20" s="49">
        <f>VLOOKUP($B20&amp;$C20,'[1]FC3 Prod'!$A$6:$BP$36,[2]Consolidated!BD$1)</f>
        <v>65998.081090617474</v>
      </c>
      <c r="BE20" s="47">
        <f>VLOOKUP($B20&amp;$C20,'[1]FC3 Prod'!$A$6:$BP$36,[2]Consolidated!BE$1)</f>
        <v>26296.706629243516</v>
      </c>
      <c r="BF20" s="47">
        <f>VLOOKUP($B20&amp;$C20,'[1]FC3 Prod'!$A$6:$BP$36,[2]Consolidated!BF$1)</f>
        <v>8863.6260358192994</v>
      </c>
      <c r="BG20" s="50">
        <f>VLOOKUP($B20&amp;$C20,'[1]FC3 Prod'!$A$6:$BP$36,[2]Consolidated!BG$1)</f>
        <v>1027.0248596631916</v>
      </c>
      <c r="BH20" s="50">
        <f>VLOOKUP($B20&amp;$C20,'[1]FC3 Prod'!$A$6:$BP$36,[2]Consolidated!BH$1)</f>
        <v>619.16320368885329</v>
      </c>
      <c r="BI20" s="50">
        <f>VLOOKUP($B20&amp;$C20,'[1]FC3 Prod'!$A$6:$BP$36,[2]Consolidated!BI$1)</f>
        <v>70285.766919272908</v>
      </c>
      <c r="BJ20" s="37" t="e">
        <f>VLOOKUP($B20&amp;$C20,'[1]FC3 Prod'!$A$6:$BP$36,[2]Consolidated!BJ$1)</f>
        <v>#REF!</v>
      </c>
      <c r="BK20" s="37" t="e">
        <f>VLOOKUP($B20&amp;$C20,'[1]FC3 Prod'!$A$6:$BP$36,[2]Consolidated!BK$1)</f>
        <v>#REF!</v>
      </c>
      <c r="BL20" s="37" t="e">
        <f>VLOOKUP($B20&amp;$C20,'[1]FC3 Prod'!$A$6:$BP$36,[2]Consolidated!BL$1)</f>
        <v>#REF!</v>
      </c>
      <c r="BM20" s="37" t="e">
        <f>VLOOKUP($B20&amp;$C20,'[1]FC3 Prod'!$A$6:$BP$36,[2]Consolidated!BM$1)</f>
        <v>#REF!</v>
      </c>
      <c r="BN20" s="37" t="e">
        <f>VLOOKUP($B20&amp;$C20,'[1]FC3 Prod'!$A$6:$BP$36,[2]Consolidated!BN$1)</f>
        <v>#REF!</v>
      </c>
      <c r="BO20" s="37" t="e">
        <f>VLOOKUP($B20&amp;$C20,'[1]FC3 Prod'!$A$6:$BP$36,[2]Consolidated!BO$1)</f>
        <v>#REF!</v>
      </c>
      <c r="BP20" s="37" t="str">
        <f>VLOOKUP($B20&amp;$C20,'[1]FC3 Prod'!$A$6:$BP$36,[2]Consolidated!BP$1)</f>
        <v>NIL</v>
      </c>
      <c r="BQ20" s="51" t="e">
        <f>VLOOKUP($B20&amp;$C20,'[1]FC3 Prod'!$A$6:$BP$36,[2]Consolidated!BQ$1)</f>
        <v>#REF!</v>
      </c>
      <c r="BR20" s="51">
        <f>VLOOKUP($B20&amp;$C20,'[1]FC3 Prod'!$A$6:$BQ$36,[2]Consolidated!BR$1)</f>
        <v>60369</v>
      </c>
      <c r="BS20" s="52">
        <f t="shared" si="19"/>
        <v>60050.072039561608</v>
      </c>
      <c r="BT20" s="32">
        <f t="shared" ref="BT20:BT21" si="21">BR20-BS20</f>
        <v>318.92796043839189</v>
      </c>
      <c r="BU20" s="37">
        <f t="shared" ref="BU20:BU21" si="22">E20*BT20</f>
        <v>11931.095000000241</v>
      </c>
      <c r="BV20" s="53" t="s">
        <v>130</v>
      </c>
      <c r="BW20" s="54" cm="1">
        <f t="array" ref="BW20">IFERROR(VLOOKUP($A20,TRANSPOSE('[1]Fur 3 PLC'!$AS$1:$BX$38),8,0),0)</f>
        <v>909.4627105052125</v>
      </c>
      <c r="BX20" s="54" cm="1">
        <f t="array" ref="BX20">IFERROR(VLOOKUP($A20,TRANSPOSE('[1]Fur 3 PLC'!$AS$1:$BX$38),30,0),0)</f>
        <v>0</v>
      </c>
      <c r="BY20" s="54" cm="1">
        <f t="array" ref="BY20">IFERROR(VLOOKUP($A20,TRANSPOSE('[1]Fur 3 PLC'!$AS$1:$BX$38),14,0),0)</f>
        <v>0</v>
      </c>
      <c r="BZ20" s="54" cm="1">
        <f t="array" ref="BZ20">IFERROR(VLOOKUP($A20,TRANSPOSE('[1]Fur 3 PLC'!$AS$1:$BX$38),16,0),0)</f>
        <v>0</v>
      </c>
      <c r="CA20" s="54" cm="1">
        <f t="array" ref="CA20">IFERROR(VLOOKUP($A20,TRANSPOSE('[1]Fur 3 PLC'!$AS$1:$BX$38),9,0),0)</f>
        <v>404.99866345896811</v>
      </c>
      <c r="CB20" s="54" cm="1">
        <f t="array" ref="CB20">IFERROR(VLOOKUP($A20,TRANSPOSE('[1]Fur 3 PLC'!$AS$1:$BX$38),17,0),0)</f>
        <v>0</v>
      </c>
      <c r="CC20" s="54" cm="1">
        <f t="array" ref="CC20">IFERROR(VLOOKUP($A20,TRANSPOSE('[1]Fur 3 PLC'!$AS$1:$BX$38),20,0),0)</f>
        <v>48.623362737236029</v>
      </c>
      <c r="CD20" s="54" cm="1">
        <f t="array" ref="CD20">IFERROR(VLOOKUP($A20,TRANSPOSE('[1]Fur 3 PLC'!$AS$1:$BX$38),28,0),0)</f>
        <v>0</v>
      </c>
      <c r="CE20" s="54" cm="1">
        <f t="array" ref="CE20">IFERROR(VLOOKUP($A20,TRANSPOSE('[1]Fur 3 PLC'!$AS$1:$BX$38),13,0),0)</f>
        <v>0</v>
      </c>
      <c r="CF20" s="54" cm="1">
        <f t="array" ref="CF20">IFERROR(VLOOKUP($A20,TRANSPOSE('[1]Fur 3 PLC'!$AS$1:$BX$38),37,0),0)</f>
        <v>380.37957765303395</v>
      </c>
      <c r="CG20" s="54" cm="1">
        <f t="array" ref="CG20">IFERROR(VLOOKUP($A20,TRANSPOSE('[1]Fur 3 PLC'!$AS$1:$BX$38),6,0),0)</f>
        <v>0</v>
      </c>
      <c r="CH20" s="54" cm="1">
        <f t="array" ref="CH20">IFERROR(VLOOKUP($A20,TRANSPOSE('[1]Fur 3 PLC'!$AS$1:$BX$38),21,0),0)</f>
        <v>0</v>
      </c>
      <c r="CI20" s="54" cm="1">
        <f t="array" ref="CI20">IFERROR(VLOOKUP($A20,TRANSPOSE('[1]Fur 3 PLC'!$AS$1:$BX$38),12,0),0)</f>
        <v>0</v>
      </c>
      <c r="CJ20" s="54" cm="1">
        <f t="array" ref="CJ20">IFERROR(VLOOKUP($A20,TRANSPOSE('[1]Fur 3 PLC'!$AS$1:$BX$38),25,0),0)</f>
        <v>0</v>
      </c>
      <c r="CK20" s="54" cm="1">
        <f t="array" ref="CK20">IFERROR(VLOOKUP($A20,TRANSPOSE('[1]Fur 3 PLC'!$AS$1:$BX$38),26,0),0)</f>
        <v>360.99973269179367</v>
      </c>
      <c r="CL20" s="54" cm="1">
        <f t="array" ref="CL20">IFERROR(VLOOKUP($A20,TRANSPOSE('[1]Fur 3 PLC'!$AS$1:$BX$38),27,0),0)</f>
        <v>147.55412991178827</v>
      </c>
      <c r="CM20" s="54" cm="1">
        <f t="array" ref="CM20">IFERROR(VLOOKUP($A20,TRANSPOSE('[1]Fur 3 PLC'!$AS$1:$BX$38),22,0),0)</f>
        <v>0</v>
      </c>
      <c r="CN20" s="54"/>
      <c r="CO20" s="54" cm="1">
        <f t="array" ref="CO20">IFERROR(VLOOKUP($A20,TRANSPOSE('[1]Fur 3 PLC'!$AS$1:$BX$38),29,0),0)</f>
        <v>125.12697139802189</v>
      </c>
      <c r="CP20" s="54" cm="1">
        <f t="array" ref="CP20">IFERROR(VLOOKUP($A20,TRANSPOSE('[1]Fur 3 PLC'!$AS$1:$BX$38),10,0),0)</f>
        <v>0</v>
      </c>
      <c r="CQ20" s="54" cm="1">
        <f t="array" ref="CQ20">IFERROR(VLOOKUP($A20,TRANSPOSE('[1]Fur 3 PLC'!$AS$1:$BX$38),7,0),0)</f>
        <v>222.15985030740444</v>
      </c>
      <c r="CR20" s="54" cm="1">
        <f t="array" ref="CR20">IFERROR(VLOOKUP($A20,TRANSPOSE('[1]Fur 3 PLC'!$AS$1:$BX$38),35,0),0)</f>
        <v>0</v>
      </c>
      <c r="CS20" s="54" cm="1">
        <f t="array" ref="CS20">IFERROR(VLOOKUP($A20,TRANSPOSE('[1]Fur 3 PLC'!$AS$1:$BX$38),11,0),0)</f>
        <v>0</v>
      </c>
      <c r="CT20" s="54" cm="1">
        <f t="array" ref="CT20">IFERROR(VLOOKUP($A20,TRANSPOSE('[1]Fur 3 PLC'!$AS$1:$BX$38),19,0),0)</f>
        <v>0</v>
      </c>
      <c r="CU20" s="54" cm="1">
        <f t="array" ref="CU20">IFERROR(VLOOKUP($A20,TRANSPOSE('[1]Fur 3 PLC'!$AS$1:$BX$38),18,0),0)</f>
        <v>340.57738572574175</v>
      </c>
      <c r="CV20" s="54" cm="1">
        <f t="array" ref="CV20">IFERROR(VLOOKUP($A20,TRANSPOSE('[1]Fur 3 PLC'!$AR$1:$BV$38),15,0),0)</f>
        <v>373.26917936380642</v>
      </c>
      <c r="CW20" s="54" cm="1">
        <f t="array" ref="CW20">IFERROR(VLOOKUP($A20,TRANSPOSE('[1]Fur 3 PLC'!$CK$1:$DO$38),8,0),0)</f>
        <v>472.54166666666669</v>
      </c>
      <c r="CX20" s="54" cm="1">
        <f t="array" ref="CX20">IFERROR(VLOOKUP($A20,TRANSPOSE('[1]Fur 3 PLC'!$CK$1:$DO$38),30,0),0)</f>
        <v>0</v>
      </c>
      <c r="CY20" s="54" cm="1">
        <f t="array" ref="CY20">IFERROR(VLOOKUP($A20,TRANSPOSE('[1]Fur 3 PLC'!$CK$1:$DO$38),14,0),0)</f>
        <v>0</v>
      </c>
      <c r="CZ20" s="54" cm="1">
        <f t="array" ref="CZ20">IFERROR(VLOOKUP($A20,TRANSPOSE('[1]Fur 3 PLC'!$CK$1:$DO$38),16,0),0)</f>
        <v>0</v>
      </c>
      <c r="DA20" s="54" cm="1">
        <f t="array" ref="DA20">IFERROR(VLOOKUP($A20,TRANSPOSE('[1]Fur 3 PLC'!$CK$1:$DO$38),9,0),0)</f>
        <v>210.43055555555557</v>
      </c>
      <c r="DB20" s="55" cm="1">
        <f t="array" ref="DB20">IFERROR(VLOOKUP($A20,TRANSPOSE('[1]Fur 3 PLC'!$CK$1:$DO$38),17,0),0)</f>
        <v>0</v>
      </c>
      <c r="DC20" s="55" cm="1">
        <f t="array" ref="DC20">IFERROR(VLOOKUP($A20,TRANSPOSE('[1]Fur 3 PLC'!$CK$1:$DO$38),20,0),0)</f>
        <v>25.263888888888889</v>
      </c>
      <c r="DD20" s="54" cm="1">
        <f t="array" ref="DD20">IFERROR(VLOOKUP($A20,TRANSPOSE('[1]Fur 3 PLC'!$CK$1:$DO$38),28,0),0)</f>
        <v>0</v>
      </c>
      <c r="DE20" s="54" cm="1">
        <f t="array" ref="DE20">IFERROR(VLOOKUP($A20,TRANSPOSE('[1]Fur 3 PLC'!$CK$1:$DO$38),13,0),0)</f>
        <v>0</v>
      </c>
      <c r="DF20" s="54" cm="1">
        <f t="array" ref="DF20">IFERROR(VLOOKUP($A20,TRANSPOSE('[1]Fur 3 PLC'!$CK$1:$DO$38),37,0),0)</f>
        <v>197.63888888888889</v>
      </c>
      <c r="DG20" s="54" cm="1">
        <f t="array" ref="DG20">IFERROR(VLOOKUP($A20,TRANSPOSE('[1]Fur 3 PLC'!$CK$1:$DO$38),6,0),0)</f>
        <v>0</v>
      </c>
      <c r="DH20" s="54" cm="1">
        <f t="array" ref="DH20">IFERROR(VLOOKUP($A20,TRANSPOSE('[1]Fur 3 PLC'!$CK$1:$DO$38),21,0),0)</f>
        <v>0</v>
      </c>
      <c r="DI20" s="54" cm="1">
        <f t="array" ref="DI20">IFERROR(VLOOKUP($A20,TRANSPOSE('[1]Fur 3 PLC'!$CK$1:$DO$38),12,0),0)</f>
        <v>0</v>
      </c>
      <c r="DJ20" s="54" cm="1">
        <f t="array" ref="DJ20">IFERROR(VLOOKUP($A20,TRANSPOSE('[1]Fur 3 PLC'!$CK$1:$DO$38),25,0),0)</f>
        <v>0</v>
      </c>
      <c r="DK20" s="54" cm="1">
        <f t="array" ref="DK20">IFERROR(VLOOKUP($A20,TRANSPOSE('[1]Fur 3 PLC'!$CK$1:$DO$38),26,0),0)</f>
        <v>187.56944444444446</v>
      </c>
      <c r="DL20" s="54" cm="1">
        <f t="array" ref="DL20">IFERROR(VLOOKUP($A20,TRANSPOSE('[1]Fur 3 PLC'!$CK$1:$DO$38),27,0),0)</f>
        <v>76.666666666666657</v>
      </c>
      <c r="DM20" s="54" cm="1">
        <f t="array" ref="DM20">IFERROR(VLOOKUP($A20,TRANSPOSE('[1]Fur 3 PLC'!$CK$1:$DO$38),22,0),0)</f>
        <v>0</v>
      </c>
      <c r="DN20" s="54" cm="1">
        <f t="array" ref="DN20">IFERROR(VLOOKUP($A20,TRANSPOSE('[1]Fur 3 PLC'!$CK$1:$DO$38),19,0),0)</f>
        <v>0</v>
      </c>
      <c r="DO20" s="54" cm="1">
        <f t="array" ref="DO20">IFERROR(VLOOKUP($A20,TRANSPOSE('[1]Fur 3 PLC'!$CK$1:$DO$38),29,0),0)</f>
        <v>65.013888888888886</v>
      </c>
      <c r="DP20" s="54" cm="1">
        <f t="array" ref="DP20">IFERROR(VLOOKUP($A20,TRANSPOSE('[1]Fur 3 PLC'!$CK$1:$DO$38),10,0),0)</f>
        <v>0</v>
      </c>
      <c r="DQ20" s="54" cm="1">
        <f t="array" ref="DQ20">IFERROR(VLOOKUP($A20,TRANSPOSE('[1]Fur 3 PLC'!$CK$1:$DO$38),7,0),0)</f>
        <v>115.43055555555556</v>
      </c>
      <c r="DR20" s="54" cm="1">
        <f t="array" ref="DR20">IFERROR(VLOOKUP($A20,TRANSPOSE('[1]Fur 3 PLC'!$CK$1:$DO$38),35,0),0)</f>
        <v>0</v>
      </c>
      <c r="DS20" s="54" cm="1">
        <f t="array" ref="DS20">IFERROR(VLOOKUP($A20,TRANSPOSE('[1]Fur 3 PLC'!$CK$1:$DO$38),11,0),0)</f>
        <v>0</v>
      </c>
      <c r="DT20" s="54" cm="1">
        <f t="array" ref="DT20">IFERROR(VLOOKUP($A20,TRANSPOSE('[1]Fur 3 PLC'!$CK$1:$DO$38),19,0),0)</f>
        <v>0</v>
      </c>
      <c r="DU20" s="54" cm="1">
        <f t="array" ref="DU20">IFERROR(VLOOKUP($A20,TRANSPOSE('[1]Fur 3 PLC'!$CK$1:$DO$38),18,0),0)</f>
        <v>176.95833333333331</v>
      </c>
      <c r="DV20" s="54" cm="1">
        <f t="array" ref="DV20">IFERROR(VLOOKUP($A20,TRANSPOSE('[1]Fur 3 PLC'!$CK$1:$DO$38),15,0),0)</f>
        <v>193.94444444444446</v>
      </c>
      <c r="DW20" t="str">
        <f t="shared" si="20"/>
        <v>Dec-25</v>
      </c>
    </row>
    <row r="21" spans="1:127" x14ac:dyDescent="0.3">
      <c r="A21" s="28" t="str">
        <f t="shared" si="1"/>
        <v>F445996</v>
      </c>
      <c r="B21" s="29" t="s">
        <v>29</v>
      </c>
      <c r="C21" s="30">
        <f>C20</f>
        <v>45996</v>
      </c>
      <c r="D21" s="29" t="str">
        <f>VLOOKUP($B21&amp;$C21,'[1]FC4 Prod'!$A$6:$BP$36,[2]Consolidated!D$1)</f>
        <v>Mr.Ganesh Ghosh Ji</v>
      </c>
      <c r="E21" s="29">
        <f>VLOOKUP($B21&amp;$C21,'[1]FC4 Prod'!$A$6:$BP$36,[2]Consolidated!E$1)</f>
        <v>51.980000000000004</v>
      </c>
      <c r="F21" s="31">
        <f>VLOOKUP($B21&amp;$C21,'[1]FC4 Prod'!$A$6:$BP$36,[2]Consolidated!F$1)</f>
        <v>0.39999999999999858</v>
      </c>
      <c r="G21" s="32">
        <f>VLOOKUP($B21&amp;$C21,'[1]FC4 Prod'!$A$6:$BP$36,[2]Consolidated!G$1)</f>
        <v>52.38</v>
      </c>
      <c r="H21" s="32">
        <f>VLOOKUP($B21&amp;$C21,'[1]FC4 Prod'!$A$6:$BP$36,[2]Consolidated!H$1)</f>
        <v>21.574999999999999</v>
      </c>
      <c r="I21" s="32">
        <f>VLOOKUP($B21&amp;$C21,'[1]FC4 Prod'!$A$6:$BP$36,[2]Consolidated!I$1)</f>
        <v>10.68</v>
      </c>
      <c r="J21" s="32">
        <f>VLOOKUP($B21&amp;$C21,'[1]FC4 Prod'!$A$6:$BP$36,[2]Consolidated!J$1)</f>
        <v>40.619999999999997</v>
      </c>
      <c r="K21" s="32">
        <f>VLOOKUP($B21&amp;$C21,'[1]FC4 Prod'!$A$6:$BP$36,[2]Consolidated!K$1)</f>
        <v>1.4</v>
      </c>
      <c r="L21" s="32">
        <f>VLOOKUP($B21&amp;$C21,'[1]FC4 Prod'!$A$6:$BP$36,[2]Consolidated!L$1)</f>
        <v>22.72</v>
      </c>
      <c r="M21" s="32">
        <f>VLOOKUP($B21&amp;$C21,'[1]FC4 Prod'!$A$6:$BP$36,[2]Consolidated!M$1)</f>
        <v>4.45</v>
      </c>
      <c r="N21" s="32">
        <f>VLOOKUP($B21&amp;$C21,'[1]FC4 Prod'!$A$6:$BP$36,[2]Consolidated!N$1)</f>
        <v>17.12</v>
      </c>
      <c r="O21" s="32">
        <f>VLOOKUP($B21&amp;$C21,'[1]FC4 Prod'!$A$6:$BP$36,[2]Consolidated!O$1)</f>
        <v>0.67</v>
      </c>
      <c r="P21" s="33">
        <f>VLOOKUP($B21&amp;$C21,'[1]FC4 Prod'!$A$6:$BP$36,[2]Consolidated!P$1)</f>
        <v>8</v>
      </c>
      <c r="Q21" s="29">
        <f>VLOOKUP($B21&amp;$C21,'[1]FC4 Prod'!$A$6:$BP$36,[2]Consolidated!Q$1)</f>
        <v>92.29</v>
      </c>
      <c r="R21" s="29">
        <f>VLOOKUP($B21&amp;$C21,'[1]FC4 Prod'!$A$6:$BP$36,[2]Consolidated!R$1)</f>
        <v>30.474</v>
      </c>
      <c r="S21" s="34">
        <f>VLOOKUP($B21&amp;$C21,'[1]FC4 Prod'!$A$6:$BP$36,[2]Consolidated!S$1)</f>
        <v>37</v>
      </c>
      <c r="T21" s="34">
        <f>VLOOKUP($B21&amp;$C21,'[1]FC4 Prod'!$A$6:$BP$36,[2]Consolidated!T$1)</f>
        <v>31</v>
      </c>
      <c r="U21" s="34">
        <f>VLOOKUP($B21&amp;$C21,'[1]FC4 Prod'!$A$6:$BP$36,[2]Consolidated!U$1)</f>
        <v>26</v>
      </c>
      <c r="V21" s="34">
        <f>VLOOKUP($B21&amp;$C21,'[1]FC4 Prod'!$A$6:$BP$36,[2]Consolidated!V$1)</f>
        <v>94</v>
      </c>
      <c r="W21" s="35">
        <f>VLOOKUP($B21&amp;$C21,'[1]FC4 Prod'!$A$6:$BP$36,[2]Consolidated!W$1)</f>
        <v>1.775490573297422</v>
      </c>
      <c r="X21" s="35">
        <f>VLOOKUP($B21&amp;$C21,'[1]FC4 Prod'!$A$6:$BP$36,[2]Consolidated!X$1)</f>
        <v>54.005000000000003</v>
      </c>
      <c r="Y21" s="36">
        <f>VLOOKUP($B21&amp;$C21,'[1]FC4 Prod'!$A$6:$BP$36,[2]Consolidated!Y$1)</f>
        <v>0.96250347190074992</v>
      </c>
      <c r="Z21" s="37" t="str">
        <f>VLOOKUP($B21&amp;$C21,'[1]FC4 Prod'!$A$6:$BP$36,[2]Consolidated!Z$1)</f>
        <v>40/8</v>
      </c>
      <c r="AA21" s="31">
        <f>VLOOKUP($B21&amp;$C21,'[1]FC4 Prod'!$A$6:$BP$36,[2]Consolidated!AA$1)</f>
        <v>38.213999999999999</v>
      </c>
      <c r="AB21" s="31">
        <f>VLOOKUP($B21&amp;$C21,'[1]FC4 Prod'!$A$6:$BP$36,[2]Consolidated!AB$1)</f>
        <v>7.484</v>
      </c>
      <c r="AC21" s="31">
        <f>VLOOKUP($B21&amp;$C21,'[1]FC4 Prod'!$A$6:$BP$36,[2]Consolidated!AC$1)</f>
        <v>0</v>
      </c>
      <c r="AD21" s="38">
        <f>VLOOKUP($B21&amp;$C21,'[1]FC4 Prod'!$A$6:$BP$36,[2]Consolidated!AD$1)</f>
        <v>421.39433676414001</v>
      </c>
      <c r="AE21" s="38">
        <f>VLOOKUP($B21&amp;$C21,'[1]FC4 Prod'!$A$6:$BP$36,[2]Consolidated!AE$1)</f>
        <v>416.20933739322817</v>
      </c>
      <c r="AF21" s="39">
        <f>VLOOKUP($B21&amp;$C21,'[1]FC4 Prod'!$A$6:$BP$36,[2]Consolidated!AF$1)</f>
        <v>0.90684654885119831</v>
      </c>
      <c r="AG21" s="39">
        <f>VLOOKUP($B21&amp;$C21,'[1]FC4 Prod'!$A$6:$BP$36,[2]Consolidated!AG$1)</f>
        <v>0.91814374562904144</v>
      </c>
      <c r="AH21" s="34">
        <f>VLOOKUP($B21&amp;$C21,'[1]FC4 Prod'!$A$6:$BP$36,[2]Consolidated!AH$1)</f>
        <v>318.12352443247403</v>
      </c>
      <c r="AI21" s="33">
        <f>VLOOKUP($B21&amp;$C21,'[1]FC4 Prod'!$A$6:$BP$36,[2]Consolidated!AI$1)</f>
        <v>323.29762924201617</v>
      </c>
      <c r="AJ21" s="39">
        <f>VLOOKUP($B21&amp;$C21,'[1]FC4 Prod'!$A$6:$BP$36,[2]Consolidated!AJ$1)</f>
        <v>0.86317147942066508</v>
      </c>
      <c r="AK21" s="39">
        <f>VLOOKUP($B21&amp;$C21,'[1]FC4 Prod'!$A$6:$BP$36,[2]Consolidated!AK$1)</f>
        <v>0.72500786832574649</v>
      </c>
      <c r="AL21" s="40" t="str">
        <f>VLOOKUP($B21&amp;$C21,'[1]FC4 Prod'!$A$6:$BP$36,[2]Consolidated!AL$1)</f>
        <v>25/50</v>
      </c>
      <c r="AM21" s="41">
        <f>VLOOKUP($B21&amp;$C21,'[1]FC4 Prod'!$A$6:$BP$36,[2]Consolidated!AM$1)</f>
        <v>4.9442093112735661E-2</v>
      </c>
      <c r="AN21" s="42">
        <f>VLOOKUP($B21&amp;$C21,'[1]FC4 Prod'!$A$6:$BP$36,[2]Consolidated!AN$1)</f>
        <v>148</v>
      </c>
      <c r="AO21" s="43">
        <f>VLOOKUP($B21&amp;$C21,'[1]FC4 Prod'!$A$6:$BP$36,[2]Consolidated!AO$1)</f>
        <v>6.5990000000000002</v>
      </c>
      <c r="AP21" s="44">
        <f>VLOOKUP($B21&amp;$C21,'[1]FC4 Prod'!$A$6:$BP$36,[2]Consolidated!AP$1)</f>
        <v>2.9742016160061557</v>
      </c>
      <c r="AQ21" s="44">
        <f>VLOOKUP($B21&amp;$C21,'[1]FC4 Prod'!$A$6:$BP$36,[2]Consolidated!AQ$1)</f>
        <v>21.568131512641067</v>
      </c>
      <c r="AR21" s="45">
        <f>VLOOKUP($B21&amp;$C21,'[1]FC4 Prod'!$A$6:$BP$36,[2]Consolidated!AR$1)</f>
        <v>1.0109289617486341</v>
      </c>
      <c r="AS21" s="46">
        <f>VLOOKUP($B21&amp;$C21,'[1]FC4 Prod'!$A$6:$BP$36,[2]Consolidated!AS$1)</f>
        <v>2.1583333333333332</v>
      </c>
      <c r="AT21" s="29">
        <f>VLOOKUP($B21&amp;$C21,'[1]FC4 Prod'!$A$6:$BP$36,[2]Consolidated!AT$1)</f>
        <v>0.79065000590747248</v>
      </c>
      <c r="AU21" s="34">
        <f>VLOOKUP($B21&amp;$C21,'[1]FC4 Prod'!$A$6:$BP$36,[2]Consolidated!AU$1)</f>
        <v>563.92129629629619</v>
      </c>
      <c r="AV21" s="34">
        <f>VLOOKUP($B21&amp;$C21,'[1]FC4 Prod'!$A$6:$BP$36,[2]Consolidated!AV$1)</f>
        <v>183.33333333333334</v>
      </c>
      <c r="AW21" s="47">
        <f>VLOOKUP($B21&amp;$C21,'[1]FC4 Prod'!$A$6:$BP$36,[2]Consolidated!AW$1)</f>
        <v>16005.374182377836</v>
      </c>
      <c r="AX21" s="47">
        <f>VLOOKUP($B21&amp;$C21,'[1]FC4 Prod'!$A$6:$BP$36,[2]Consolidated!AX$1)</f>
        <v>6692.929203539823</v>
      </c>
      <c r="AY21" s="48">
        <f>VLOOKUP($B21&amp;$C21,'[1]FC4 Prod'!$A$6:$BP$36,[2]Consolidated!AY$1)</f>
        <v>359.67679876875718</v>
      </c>
      <c r="AZ21" s="47">
        <f>VLOOKUP($B21&amp;$C21,'[1]FC4 Prod'!$A$6:$BP$36,[2]Consolidated!AZ$1)</f>
        <v>686.63620623316649</v>
      </c>
      <c r="BA21" s="47">
        <f>VLOOKUP($B21&amp;$C21,'[1]FC4 Prod'!$A$6:$BP$36,[2]Consolidated!BA$1)</f>
        <v>17399.079453636012</v>
      </c>
      <c r="BB21" s="47">
        <f>VLOOKUP($B21&amp;$C21,'[1]FC4 Prod'!$A$6:$BP$36,[2]Consolidated!BB$1)</f>
        <v>411.43695844555594</v>
      </c>
      <c r="BC21" s="47">
        <f>VLOOKUP($B21&amp;$C21,'[1]FC4 Prod'!$A$6:$BP$36,[2]Consolidated!BC$1)</f>
        <v>5650.9830704116957</v>
      </c>
      <c r="BD21" s="49">
        <f>VLOOKUP($B21&amp;$C21,'[1]FC4 Prod'!$A$6:$BP$36,[2]Consolidated!BD$1)</f>
        <v>47206.115873412848</v>
      </c>
      <c r="BE21" s="47">
        <f>VLOOKUP($B21&amp;$C21,'[1]FC4 Prod'!$A$6:$BP$36,[2]Consolidated!BE$1)</f>
        <v>15614.495440554057</v>
      </c>
      <c r="BF21" s="47">
        <f>VLOOKUP($B21&amp;$C21,'[1]FC4 Prod'!$A$6:$BP$36,[2]Consolidated!BF$1)</f>
        <v>6782.9009234320883</v>
      </c>
      <c r="BG21" s="50">
        <f>VLOOKUP($B21&amp;$C21,'[1]FC4 Prod'!$A$6:$BP$36,[2]Consolidated!BG$1)</f>
        <v>395.77818391689107</v>
      </c>
      <c r="BH21" s="50">
        <f>VLOOKUP($B21&amp;$C21,'[1]FC4 Prod'!$A$6:$BP$36,[2]Consolidated!BH$1)</f>
        <v>408.78890207772218</v>
      </c>
      <c r="BI21" s="50">
        <f>VLOOKUP($B21&amp;$C21,'[1]FC4 Prod'!$A$6:$BP$36,[2]Consolidated!BI$1)</f>
        <v>46938.662180261636</v>
      </c>
      <c r="BJ21" s="37" t="e">
        <f>VLOOKUP($B21&amp;$C21,'[1]FC4 Prod'!$A$6:$BP$36,[2]Consolidated!BJ$1)</f>
        <v>#REF!</v>
      </c>
      <c r="BK21" s="37" t="e">
        <f>VLOOKUP($B21&amp;$C21,'[1]FC4 Prod'!$A$6:$BP$36,[2]Consolidated!BK$1)</f>
        <v>#REF!</v>
      </c>
      <c r="BL21" s="37" t="e">
        <f>VLOOKUP($B21&amp;$C21,'[1]FC4 Prod'!$A$6:$BP$36,[2]Consolidated!BL$1)</f>
        <v>#REF!</v>
      </c>
      <c r="BM21" s="37" t="e">
        <f>VLOOKUP($B21&amp;$C21,'[1]FC4 Prod'!$A$6:$BP$36,[2]Consolidated!BM$1)</f>
        <v>#REF!</v>
      </c>
      <c r="BN21" s="37" t="e">
        <f>VLOOKUP($B21&amp;$C21,'[1]FC4 Prod'!$A$6:$BP$36,[2]Consolidated!BN$1)</f>
        <v>#REF!</v>
      </c>
      <c r="BO21" s="37" t="e">
        <f>VLOOKUP($B21&amp;$C21,'[1]FC4 Prod'!$A$6:$BP$36,[2]Consolidated!BO$1)</f>
        <v>#REF!</v>
      </c>
      <c r="BP21" s="37" t="str">
        <f>VLOOKUP($B21&amp;$C21,'[1]FC4 Prod'!$A$6:$BP$36,[2]Consolidated!BP$1)</f>
        <v>NIL</v>
      </c>
      <c r="BQ21" s="51" t="e">
        <f>VLOOKUP($B21&amp;$C21,'[1]FC4 Prod'!$A$6:$BP$36,[2]Consolidated!BQ$1)</f>
        <v>#REF!</v>
      </c>
      <c r="BR21" s="51">
        <f>VLOOKUP($B21&amp;$C21,'[1]FC4 Prod'!$A$6:$BQ$36,[2]Consolidated!BR$1)</f>
        <v>41644</v>
      </c>
      <c r="BS21" s="52">
        <f t="shared" ref="BS21" si="23">BE21+BF21*110%+BG21+BA21</f>
        <v>40870.544093882258</v>
      </c>
      <c r="BT21" s="32">
        <f t="shared" si="21"/>
        <v>773.45590611774242</v>
      </c>
      <c r="BU21" s="37">
        <f t="shared" si="22"/>
        <v>40204.238000000252</v>
      </c>
      <c r="BV21" s="53" t="s">
        <v>130</v>
      </c>
      <c r="BW21" s="54" cm="1">
        <f t="array" ref="BW21">IFERROR(VLOOKUP($A21,TRANSPOSE('[1]Fur 4 PLC'!$AR$1:$BV$39),8,0),0)</f>
        <v>0</v>
      </c>
      <c r="BX21" s="54" cm="1">
        <f t="array" ref="BX21">IFERROR(VLOOKUP($A21,TRANSPOSE('[1]Fur 4 PLC'!$AR$1:$BV$39),30,0),0)</f>
        <v>0</v>
      </c>
      <c r="BY21" s="54" cm="1">
        <f t="array" ref="BY21">IFERROR(VLOOKUP($A21,TRANSPOSE('[1]Fur 4 PLC'!$AR$1:$BV$39),14,0),0)</f>
        <v>0</v>
      </c>
      <c r="BZ21" s="54" cm="1">
        <f t="array" ref="BZ21">IFERROR(VLOOKUP($A21,TRANSPOSE('[1]Fur 4 PLC'!$AR$1:$BV$39),16,0),0)</f>
        <v>0</v>
      </c>
      <c r="CA21" s="54" cm="1">
        <f t="array" ref="CA21">IFERROR(VLOOKUP($A21,TRANSPOSE('[1]Fur 4 PLC'!$AR$1:$BV$39),9,0),0)</f>
        <v>0</v>
      </c>
      <c r="CB21" s="54" cm="1">
        <f t="array" ref="CB21">IFERROR(VLOOKUP($A21,TRANSPOSE('[1]Fur 4 PLC'!$AR$1:$BV$39),17,0),0)</f>
        <v>0</v>
      </c>
      <c r="CC21" s="54" cm="1">
        <f t="array" ref="CC21">IFERROR(VLOOKUP($A21,TRANSPOSE('[1]Fur 4 PLC'!$AR$1:$BV$39),20,0),0)</f>
        <v>1395.0173143516738</v>
      </c>
      <c r="CD21" s="54" cm="1">
        <f t="array" ref="CD21">IFERROR(VLOOKUP($A21,TRANSPOSE('[1]Fur 4 PLC'!$AR$1:$BV$39),28,0),0)</f>
        <v>0</v>
      </c>
      <c r="CE21" s="54" cm="1">
        <f t="array" ref="CE21">IFERROR(VLOOKUP($A21,TRANSPOSE('[1]Fur 4 PLC'!$AR$1:$BV$39),13,0),0)</f>
        <v>90.534821085032704</v>
      </c>
      <c r="CF21" s="54" cm="1">
        <f t="array" ref="CF21">IFERROR(VLOOKUP($A21,TRANSPOSE('[1]Fur 4 PLC'!$AR$1:$BV$39),37,0),0)</f>
        <v>7.7145055790688728</v>
      </c>
      <c r="CG21" s="54" cm="1">
        <f t="array" ref="CG21">IFERROR(VLOOKUP($A21,TRANSPOSE('[1]Fur 4 PLC'!$AR$1:$BV$39),6,0),0)</f>
        <v>0</v>
      </c>
      <c r="CH21" s="54" cm="1">
        <f t="array" ref="CH21">IFERROR(VLOOKUP($A21,TRANSPOSE('[1]Fur 4 PLC'!$AR$1:$BV$39),21,0),0)</f>
        <v>0</v>
      </c>
      <c r="CI21" s="54" cm="1">
        <f t="array" ref="CI21">IFERROR(VLOOKUP($A21,TRANSPOSE('[1]Fur 4 PLC'!$AR$1:$BV$39),12,0),0)</f>
        <v>0</v>
      </c>
      <c r="CJ21" s="54" cm="1">
        <f t="array" ref="CJ21">IFERROR(VLOOKUP($A21,TRANSPOSE('[1]Fur 4 PLC'!$AR$1:$BV$39),25,0),0)</f>
        <v>118.68026163909194</v>
      </c>
      <c r="CK21" s="54" cm="1">
        <f t="array" ref="CK21">IFERROR(VLOOKUP($A21,TRANSPOSE('[1]Fur 4 PLC'!$AR$1:$BV$39),26,0),0)</f>
        <v>352.73181993074257</v>
      </c>
      <c r="CL21" s="54" cm="1">
        <f t="array" ref="CL21">IFERROR(VLOOKUP($A21,TRANSPOSE('[1]Fur 4 PLC'!$AR$1:$BV$39),27,0),0)</f>
        <v>0</v>
      </c>
      <c r="CM21" s="54" cm="1">
        <f t="array" ref="CM21">IFERROR(VLOOKUP($A21,TRANSPOSE('[1]Fur 4 PLC'!$AR$1:$BV$39),22,0),0)</f>
        <v>0</v>
      </c>
      <c r="CN21" s="54"/>
      <c r="CO21" s="54" cm="1">
        <f t="array" ref="CO21">IFERROR(VLOOKUP($A21,TRANSPOSE('[1]Fur 4 PLC'!$AR$1:$BV$39),29,0),0)</f>
        <v>114.85186610234705</v>
      </c>
      <c r="CP21" s="54" cm="1">
        <f t="array" ref="CP21">IFERROR(VLOOKUP($A21,TRANSPOSE('[1]Fur 4 PLC'!$AR$1:$BV$39),10,0),0)</f>
        <v>0</v>
      </c>
      <c r="CQ21" s="54" cm="1">
        <f t="array" ref="CQ21">IFERROR(VLOOKUP($A21,TRANSPOSE('[1]Fur 4 PLC'!$AR$1:$BV$39),7,0),0)</f>
        <v>154.25163524432475</v>
      </c>
      <c r="CR21" s="54" cm="1">
        <f t="array" ref="CR21">IFERROR(VLOOKUP($A21,TRANSPOSE('[1]Fur 4 PLC'!$AR$1:$BV$39),36,0),0)</f>
        <v>163.13966910350135</v>
      </c>
      <c r="CS21" s="54" cm="1">
        <f t="array" ref="CS21">IFERROR(VLOOKUP($A21,TRANSPOSE('[1]Fur 4 PLC'!$AR$1:$BV$39),11,0),0)</f>
        <v>0</v>
      </c>
      <c r="CT21" s="54" cm="1">
        <f t="array" ref="CT21">IFERROR(VLOOKUP($A21,TRANSPOSE('[1]Fur 4 PLC'!$AR$1:$BV$39),19,0),0)</f>
        <v>0</v>
      </c>
      <c r="CU21" s="54" cm="1">
        <f t="array" ref="CU21">IFERROR(VLOOKUP($A21,TRANSPOSE('[1]Fur 4 PLC'!$AR$1:$BV$39),18,0),0)</f>
        <v>289.93843786071568</v>
      </c>
      <c r="CV21" s="54" cm="1">
        <f t="array" ref="CV21">IFERROR(VLOOKUP($A21,TRANSPOSE('[1]Fur 4 PLC'!$AR$1:$BV$38),15,0),0)</f>
        <v>0</v>
      </c>
      <c r="CW21" s="54" cm="1">
        <f t="array" ref="CW21">IFERROR(VLOOKUP($A21,TRANSPOSE('[1]Fur 4 PLC'!$CK$1:$DO$39),8,0),0)</f>
        <v>0</v>
      </c>
      <c r="CX21" s="54" cm="1">
        <f t="array" ref="CX21">IFERROR(VLOOKUP($A21,TRANSPOSE('[1]Fur 4 PLC'!$CK$1:$DO$39),30,0),0)</f>
        <v>0</v>
      </c>
      <c r="CY21" s="54" cm="1">
        <f t="array" ref="CY21">IFERROR(VLOOKUP($A21,TRANSPOSE('[1]Fur 4 PLC'!$CK$1:$DO$39),14,0),0)</f>
        <v>0</v>
      </c>
      <c r="CZ21" s="54" cm="1">
        <f t="array" ref="CZ21">IFERROR(VLOOKUP($A21,TRANSPOSE('[1]Fur 4 PLC'!$CK$1:$DO$39),16,0),0)</f>
        <v>0</v>
      </c>
      <c r="DA21" s="54" cm="1">
        <f t="array" ref="DA21">IFERROR(VLOOKUP($A21,TRANSPOSE('[1]Fur 4 PLC'!$CK$1:$DO$39),9,0),0)</f>
        <v>0</v>
      </c>
      <c r="DB21" s="55" cm="1">
        <f t="array" ref="DB21">IFERROR(VLOOKUP($A21,TRANSPOSE('[1]Fur 4 PLC'!$CK$1:$DO$39),17,0),0)</f>
        <v>0</v>
      </c>
      <c r="DC21" s="55" cm="1">
        <f t="array" ref="DC21">IFERROR(VLOOKUP($A21,TRANSPOSE('[1]Fur 4 PLC'!$CK$1:$DO$39),20,0),0)</f>
        <v>771.41489361702133</v>
      </c>
      <c r="DD21" s="54" cm="1">
        <f t="array" ref="DD21">IFERROR(VLOOKUP($A21,TRANSPOSE('[1]Fur 4 PLC'!$CK$1:$DO$39),28,0),0)</f>
        <v>0</v>
      </c>
      <c r="DE21" s="54" cm="1">
        <f t="array" ref="DE21">IFERROR(VLOOKUP($A21,TRANSPOSE('[1]Fur 4 PLC'!$CK$1:$DO$39),13,0),0)</f>
        <v>50.063829787234049</v>
      </c>
      <c r="DF21" s="54" cm="1">
        <f t="array" ref="DF21">IFERROR(VLOOKUP($A21,TRANSPOSE('[1]Fur 4 PLC'!$CK$1:$DO$39),37,0),0)</f>
        <v>4.2659574468085113</v>
      </c>
      <c r="DG21" s="54" cm="1">
        <f t="array" ref="DG21">IFERROR(VLOOKUP($A21,TRANSPOSE('[1]Fur 4 PLC'!$CK$1:$DO$39),6,0),0)</f>
        <v>0</v>
      </c>
      <c r="DH21" s="54" cm="1">
        <f t="array" ref="DH21">IFERROR(VLOOKUP($A21,TRANSPOSE('[1]Fur 4 PLC'!$CK$1:$DO$39),21,0),0)</f>
        <v>0</v>
      </c>
      <c r="DI21" s="54" cm="1">
        <f t="array" ref="DI21">IFERROR(VLOOKUP($A21,TRANSPOSE('[1]Fur 4 PLC'!$CK$1:$DO$39),12,0),0)</f>
        <v>0</v>
      </c>
      <c r="DJ21" s="54" cm="1">
        <f t="array" ref="DJ21">IFERROR(VLOOKUP($A21,TRANSPOSE('[1]Fur 4 PLC'!$CK$1:$DO$39),25,0),0)</f>
        <v>65.627659574468069</v>
      </c>
      <c r="DK21" s="54" cm="1">
        <f t="array" ref="DK21">IFERROR(VLOOKUP($A21,TRANSPOSE('[1]Fur 4 PLC'!$CK$1:$DO$39),26,0),0)</f>
        <v>195.05319148936169</v>
      </c>
      <c r="DL21" s="54" cm="1">
        <f t="array" ref="DL21">IFERROR(VLOOKUP($A21,TRANSPOSE('[1]Fur 4 PLC'!$CK$1:$DO$39),27,0),0)</f>
        <v>0</v>
      </c>
      <c r="DM21" s="54" cm="1">
        <f t="array" ref="DM21">IFERROR(VLOOKUP($A21,TRANSPOSE('[1]Fur 4 PLC'!$CK$1:$DO$39),22,0),0)</f>
        <v>0</v>
      </c>
      <c r="DN21" s="54" cm="1">
        <f t="array" ref="DN21">IFERROR(VLOOKUP($A21,TRANSPOSE('[1]Fur 4 PLC'!$CK$1:$DO$39),19,0),0)</f>
        <v>0</v>
      </c>
      <c r="DO21" s="54" cm="1">
        <f t="array" ref="DO21">IFERROR(VLOOKUP($A21,TRANSPOSE('[1]Fur 4 PLC'!$CK$1:$DO$39),29,0),0)</f>
        <v>63.510638297872333</v>
      </c>
      <c r="DP21" s="54" cm="1">
        <f t="array" ref="DP21">IFERROR(VLOOKUP($A21,TRANSPOSE('[1]Fur 4 PLC'!$CK$1:$DO$39),10,0),0)</f>
        <v>0</v>
      </c>
      <c r="DQ21" s="54" cm="1">
        <f t="array" ref="DQ21">IFERROR(VLOOKUP($A21,TRANSPOSE('[1]Fur 4 PLC'!$CK$1:$DO$39),7,0),0)</f>
        <v>85.297872340425542</v>
      </c>
      <c r="DR21" s="54" cm="1">
        <f t="array" ref="DR21">IFERROR(VLOOKUP($A21,TRANSPOSE('[1]Fur 4 PLC'!$CK$1:$DO$39),36,0),0)</f>
        <v>90.21276595744682</v>
      </c>
      <c r="DS21" s="54" cm="1">
        <f t="array" ref="DS21">IFERROR(VLOOKUP($A21,TRANSPOSE('[1]Fur 4 PLC'!$CK$1:$DO$39),11,0),0)</f>
        <v>0</v>
      </c>
      <c r="DT21" s="54" cm="1">
        <f t="array" ref="DT21">IFERROR(VLOOKUP($A21,TRANSPOSE('[1]Fur 4 PLC'!$CK$1:$DO$39),19,0),0)</f>
        <v>0</v>
      </c>
      <c r="DU21" s="54" cm="1">
        <f t="array" ref="DU21">IFERROR(VLOOKUP($A21,TRANSPOSE('[1]Fur 4 PLC'!$CK$1:$DO$39),18,0),0)</f>
        <v>160.32978723404253</v>
      </c>
      <c r="DV21" s="54" cm="1">
        <f t="array" ref="DV21">IFERROR(VLOOKUP($A21,TRANSPOSE('[1]Fur 4 PLC'!$CK$1:$DO$39),15,0),0)</f>
        <v>0</v>
      </c>
      <c r="DW21" t="str">
        <f t="shared" si="20"/>
        <v>Dec-25</v>
      </c>
    </row>
    <row r="22" spans="1:127" x14ac:dyDescent="0.3">
      <c r="A22" s="28" t="str">
        <f t="shared" si="1"/>
        <v>F145997</v>
      </c>
      <c r="B22" s="29" t="s">
        <v>26</v>
      </c>
      <c r="C22" s="30">
        <f>C18+1</f>
        <v>45997</v>
      </c>
      <c r="D22" s="29" t="str">
        <f>VLOOKUP($B22&amp;$C22,'[1]FC1 Prod'!$A$6:$BP$36,[2]Consolidated!D$1)</f>
        <v>Raju Singh</v>
      </c>
      <c r="E22" s="29">
        <f>VLOOKUP($B22&amp;$C22,'[1]FC1 Prod'!$A$6:$BP$36,[2]Consolidated!E$1)</f>
        <v>23.41</v>
      </c>
      <c r="F22" s="31">
        <f>VLOOKUP($B22&amp;$C22,'[1]FC1 Prod'!$A$6:$BP$36,[2]Consolidated!F$1)</f>
        <v>0</v>
      </c>
      <c r="G22" s="32">
        <f>VLOOKUP($B22&amp;$C22,'[1]FC1 Prod'!$A$6:$BP$36,[2]Consolidated!G$1)</f>
        <v>23.41</v>
      </c>
      <c r="H22" s="32">
        <f>VLOOKUP($B22&amp;$C22,'[1]FC1 Prod'!$A$6:$BP$36,[2]Consolidated!H$1)</f>
        <v>16.419999999999998</v>
      </c>
      <c r="I22" s="32">
        <f>VLOOKUP($B22&amp;$C22,'[1]FC1 Prod'!$A$6:$BP$36,[2]Consolidated!I$1)</f>
        <v>5.39</v>
      </c>
      <c r="J22" s="32">
        <f>VLOOKUP($B22&amp;$C22,'[1]FC1 Prod'!$A$6:$BP$36,[2]Consolidated!J$1)</f>
        <v>39.479999999999997</v>
      </c>
      <c r="K22" s="32">
        <f>VLOOKUP($B22&amp;$C22,'[1]FC1 Prod'!$A$6:$BP$36,[2]Consolidated!K$1)</f>
        <v>1.32</v>
      </c>
      <c r="L22" s="32">
        <f>VLOOKUP($B22&amp;$C22,'[1]FC1 Prod'!$A$6:$BP$36,[2]Consolidated!L$1)</f>
        <v>28.76</v>
      </c>
      <c r="M22" s="32">
        <f>VLOOKUP($B22&amp;$C22,'[1]FC1 Prod'!$A$6:$BP$36,[2]Consolidated!M$1)</f>
        <v>4.8499999999999996</v>
      </c>
      <c r="N22" s="32">
        <f>VLOOKUP($B22&amp;$C22,'[1]FC1 Prod'!$A$6:$BP$36,[2]Consolidated!N$1)</f>
        <v>17.12</v>
      </c>
      <c r="O22" s="32">
        <f>VLOOKUP($B22&amp;$C22,'[1]FC1 Prod'!$A$6:$BP$36,[2]Consolidated!O$1)</f>
        <v>0.85</v>
      </c>
      <c r="P22" s="33">
        <f>VLOOKUP($B22&amp;$C22,'[1]FC1 Prod'!$A$6:$BP$36,[2]Consolidated!P$1)</f>
        <v>8</v>
      </c>
      <c r="Q22" s="29">
        <f>VLOOKUP($B22&amp;$C22,'[1]FC1 Prod'!$A$6:$BP$36,[2]Consolidated!Q$1)</f>
        <v>42.591000000000001</v>
      </c>
      <c r="R22" s="29">
        <f>VLOOKUP($B22&amp;$C22,'[1]FC1 Prod'!$A$6:$BP$36,[2]Consolidated!R$1)</f>
        <v>13.69</v>
      </c>
      <c r="S22" s="34">
        <f>VLOOKUP($B22&amp;$C22,'[1]FC1 Prod'!$A$6:$BP$36,[2]Consolidated!S$1)</f>
        <v>18</v>
      </c>
      <c r="T22" s="34">
        <f>VLOOKUP($B22&amp;$C22,'[1]FC1 Prod'!$A$6:$BP$36,[2]Consolidated!T$1)</f>
        <v>18</v>
      </c>
      <c r="U22" s="34">
        <f>VLOOKUP($B22&amp;$C22,'[1]FC1 Prod'!$A$6:$BP$36,[2]Consolidated!U$1)</f>
        <v>18</v>
      </c>
      <c r="V22" s="34">
        <f>VLOOKUP($B22&amp;$C22,'[1]FC1 Prod'!$A$6:$BP$36,[2]Consolidated!V$1)</f>
        <v>54</v>
      </c>
      <c r="W22" s="35">
        <f>VLOOKUP($B22&amp;$C22,'[1]FC1 Prod'!$A$6:$BP$36,[2]Consolidated!W$1)</f>
        <v>1.819350704826997</v>
      </c>
      <c r="X22" s="35">
        <f>VLOOKUP($B22&amp;$C22,'[1]FC1 Prod'!$A$6:$BP$36,[2]Consolidated!X$1)</f>
        <v>24.134999999999998</v>
      </c>
      <c r="Y22" s="36">
        <f>VLOOKUP($B22&amp;$C22,'[1]FC1 Prod'!$A$6:$BP$36,[2]Consolidated!Y$1)</f>
        <v>0.9699606380774809</v>
      </c>
      <c r="Z22" s="37" t="str">
        <f>VLOOKUP($B22&amp;$C22,'[1]FC1 Prod'!$A$6:$BP$36,[2]Consolidated!Z$1)</f>
        <v>40/22</v>
      </c>
      <c r="AA22" s="31">
        <f>VLOOKUP($B22&amp;$C22,'[1]FC1 Prod'!$A$6:$BP$36,[2]Consolidated!AA$1)</f>
        <v>40.186250000000001</v>
      </c>
      <c r="AB22" s="31">
        <f>VLOOKUP($B22&amp;$C22,'[1]FC1 Prod'!$A$6:$BP$36,[2]Consolidated!AB$1)</f>
        <v>21.197500000000002</v>
      </c>
      <c r="AC22" s="31">
        <f>VLOOKUP($B22&amp;$C22,'[1]FC1 Prod'!$A$6:$BP$36,[2]Consolidated!AC$1)</f>
        <v>0.46499999999999997</v>
      </c>
      <c r="AD22" s="38">
        <f>VLOOKUP($B22&amp;$C22,'[1]FC1 Prod'!$A$6:$BP$36,[2]Consolidated!AD$1)</f>
        <v>226.55507454079455</v>
      </c>
      <c r="AE22" s="38">
        <f>VLOOKUP($B22&amp;$C22,'[1]FC1 Prod'!$A$6:$BP$36,[2]Consolidated!AE$1)</f>
        <v>471.97932262708241</v>
      </c>
      <c r="AF22" s="39">
        <f>VLOOKUP($B22&amp;$C22,'[1]FC1 Prod'!$A$6:$BP$36,[2]Consolidated!AF$1)</f>
        <v>1.7737960662083463</v>
      </c>
      <c r="AG22" s="39">
        <f>VLOOKUP($B22&amp;$C22,'[1]FC1 Prod'!$A$6:$BP$36,[2]Consolidated!AG$1)</f>
        <v>0.85144090161237274</v>
      </c>
      <c r="AH22" s="34">
        <f>VLOOKUP($B22&amp;$C22,'[1]FC1 Prod'!$A$6:$BP$36,[2]Consolidated!AH$1)</f>
        <v>363.92994446817596</v>
      </c>
      <c r="AI22" s="33">
        <f>VLOOKUP($B22&amp;$C22,'[1]FC1 Prod'!$A$6:$BP$36,[2]Consolidated!AI$1)</f>
        <v>443.1400256300725</v>
      </c>
      <c r="AJ22" s="39">
        <f>VLOOKUP($B22&amp;$C22,'[1]FC1 Prod'!$A$6:$BP$36,[2]Consolidated!AJ$1)</f>
        <v>3.0554526647164297</v>
      </c>
      <c r="AK22" s="39">
        <f>VLOOKUP($B22&amp;$C22,'[1]FC1 Prod'!$A$6:$BP$36,[2]Consolidated!AK$1)</f>
        <v>0.57516946411519076</v>
      </c>
      <c r="AL22" s="40" t="str">
        <f>VLOOKUP($B22&amp;$C22,'[1]FC1 Prod'!$A$6:$BP$36,[2]Consolidated!AL$1)</f>
        <v>10/70</v>
      </c>
      <c r="AM22" s="41">
        <f>VLOOKUP($B22&amp;$C22,'[1]FC1 Prod'!$A$6:$BP$36,[2]Consolidated!AM$1)</f>
        <v>0</v>
      </c>
      <c r="AN22" s="42">
        <f>VLOOKUP($B22&amp;$C22,'[1]FC1 Prod'!$A$6:$BP$36,[2]Consolidated!AN$1)</f>
        <v>105</v>
      </c>
      <c r="AO22" s="43">
        <f>VLOOKUP($B22&amp;$C22,'[1]FC1 Prod'!$A$6:$BP$36,[2]Consolidated!AO$1)</f>
        <v>3.9969999999999999</v>
      </c>
      <c r="AP22" s="44">
        <f>VLOOKUP($B22&amp;$C22,'[1]FC1 Prod'!$A$6:$BP$36,[2]Consolidated!AP$1)</f>
        <v>4.656001708671508</v>
      </c>
      <c r="AQ22" s="44">
        <f>VLOOKUP($B22&amp;$C22,'[1]FC1 Prod'!$A$6:$BP$36,[2]Consolidated!AQ$1)</f>
        <v>22.614126246341513</v>
      </c>
      <c r="AR22" s="45">
        <f>VLOOKUP($B22&amp;$C22,'[1]FC1 Prod'!$A$6:$BP$36,[2]Consolidated!AR$1)</f>
        <v>0.99431818181818177</v>
      </c>
      <c r="AS22" s="46">
        <f>VLOOKUP($B22&amp;$C22,'[1]FC1 Prod'!$A$6:$BP$36,[2]Consolidated!AS$1)</f>
        <v>2.0666666666666664</v>
      </c>
      <c r="AT22" s="29">
        <f>VLOOKUP($B22&amp;$C22,'[1]FC1 Prod'!$A$6:$BP$36,[2]Consolidated!AT$1)</f>
        <v>0.80013793753334406</v>
      </c>
      <c r="AU22" s="34">
        <f>VLOOKUP($B22&amp;$C22,'[1]FC1 Prod'!$A$6:$BP$36,[2]Consolidated!AU$1)</f>
        <v>417.41898148148147</v>
      </c>
      <c r="AV22" s="34">
        <f>VLOOKUP($B22&amp;$C22,'[1]FC1 Prod'!$A$6:$BP$36,[2]Consolidated!AV$1)</f>
        <v>175</v>
      </c>
      <c r="AW22" s="47">
        <f>VLOOKUP($B22&amp;$C22,'[1]FC1 Prod'!$A$6:$BP$36,[2]Consolidated!AW$1)</f>
        <v>8419.1969243912863</v>
      </c>
      <c r="AX22" s="47">
        <f>VLOOKUP($B22&amp;$C22,'[1]FC1 Prod'!$A$6:$BP$36,[2]Consolidated!AX$1)</f>
        <v>11492.524562152927</v>
      </c>
      <c r="AY22" s="48">
        <f>VLOOKUP($B22&amp;$C22,'[1]FC1 Prod'!$A$6:$BP$36,[2]Consolidated!AY$1)</f>
        <v>1237.5480563861597</v>
      </c>
      <c r="AZ22" s="47">
        <f>VLOOKUP($B22&amp;$C22,'[1]FC1 Prod'!$A$6:$BP$36,[2]Consolidated!AZ$1)</f>
        <v>2645.9354976505765</v>
      </c>
      <c r="BA22" s="47">
        <f>VLOOKUP($B22&amp;$C22,'[1]FC1 Prod'!$A$6:$BP$36,[2]Consolidated!BA$1)</f>
        <v>27237.609995728322</v>
      </c>
      <c r="BB22" s="47">
        <f>VLOOKUP($B22&amp;$C22,'[1]FC1 Prod'!$A$6:$BP$36,[2]Consolidated!BB$1)</f>
        <v>510.32815036309273</v>
      </c>
      <c r="BC22" s="47">
        <f>VLOOKUP($B22&amp;$C22,'[1]FC1 Prod'!$A$6:$BP$36,[2]Consolidated!BC$1)</f>
        <v>8846.4032464758657</v>
      </c>
      <c r="BD22" s="49">
        <f>VLOOKUP($B22&amp;$C22,'[1]FC1 Prod'!$A$6:$BP$36,[2]Consolidated!BD$1)</f>
        <v>60389.546433148229</v>
      </c>
      <c r="BE22" s="47">
        <f>VLOOKUP($B22&amp;$C22,'[1]FC1 Prod'!$A$6:$BP$36,[2]Consolidated!BE$1)</f>
        <v>17828.661683041435</v>
      </c>
      <c r="BF22" s="47">
        <f>VLOOKUP($B22&amp;$C22,'[1]FC1 Prod'!$A$6:$BP$36,[2]Consolidated!BF$1)</f>
        <v>13557.436992738145</v>
      </c>
      <c r="BG22" s="50">
        <f>VLOOKUP($B22&amp;$C22,'[1]FC1 Prod'!$A$6:$BP$36,[2]Consolidated!BG$1)</f>
        <v>2002.9645450662108</v>
      </c>
      <c r="BH22" s="50">
        <f>VLOOKUP($B22&amp;$C22,'[1]FC1 Prod'!$A$6:$BP$36,[2]Consolidated!BH$1)</f>
        <v>632.72608714224691</v>
      </c>
      <c r="BI22" s="50">
        <f>VLOOKUP($B22&amp;$C22,'[1]FC1 Prod'!$A$6:$BP$36,[2]Consolidated!BI$1)</f>
        <v>72751.738047842809</v>
      </c>
      <c r="BJ22" s="37" t="e">
        <f>VLOOKUP($B22&amp;$C22,'[1]FC1 Prod'!$A$6:$BP$36,[2]Consolidated!BJ$1)</f>
        <v>#REF!</v>
      </c>
      <c r="BK22" s="37" t="e">
        <f>VLOOKUP($B22&amp;$C22,'[1]FC1 Prod'!$A$6:$BP$36,[2]Consolidated!BK$1)</f>
        <v>#REF!</v>
      </c>
      <c r="BL22" s="37" t="e">
        <f>VLOOKUP($B22&amp;$C22,'[1]FC1 Prod'!$A$6:$BP$36,[2]Consolidated!BL$1)</f>
        <v>#REF!</v>
      </c>
      <c r="BM22" s="37" t="e">
        <f>VLOOKUP($B22&amp;$C22,'[1]FC1 Prod'!$A$6:$BP$36,[2]Consolidated!BM$1)</f>
        <v>#REF!</v>
      </c>
      <c r="BN22" s="37" t="e">
        <f>VLOOKUP($B22&amp;$C22,'[1]FC1 Prod'!$A$6:$BP$36,[2]Consolidated!BN$1)</f>
        <v>#REF!</v>
      </c>
      <c r="BO22" s="37" t="e">
        <f>VLOOKUP($B22&amp;$C22,'[1]FC1 Prod'!$A$6:$BP$36,[2]Consolidated!BO$1)</f>
        <v>#REF!</v>
      </c>
      <c r="BP22" s="37" t="str">
        <f>VLOOKUP($B22&amp;$C22,'[1]FC1 Prod'!$A$6:$BP$36,[2]Consolidated!BP$1)</f>
        <v>NIL</v>
      </c>
      <c r="BQ22" s="51" t="e">
        <f>VLOOKUP($B22&amp;$C22,'[1]FC1 Prod'!$A$6:$BP$36,[2]Consolidated!BQ$1)</f>
        <v>#REF!</v>
      </c>
      <c r="BR22" s="51">
        <f>VLOOKUP($B22&amp;$C22,'[1]FC1 Prod'!$A$6:$BQ$36,[2]Consolidated!BR$1)</f>
        <v>60759</v>
      </c>
      <c r="BS22" s="52">
        <f t="shared" ref="BS22:BS24" si="24">BE22+BF22+BG22+BA22</f>
        <v>60626.673216574112</v>
      </c>
      <c r="BT22" s="32">
        <f>BR22-BS22</f>
        <v>132.3267834258877</v>
      </c>
      <c r="BU22" s="37">
        <f>E22*BT22</f>
        <v>3097.7700000000309</v>
      </c>
      <c r="BV22" s="53" t="s">
        <v>130</v>
      </c>
      <c r="BW22" s="54" cm="1">
        <f t="array" ref="BW22">IFERROR(VLOOKUP($A22,TRANSPOSE('[1]Fur 1 PLC'!$AR$1:$BV$38),8,0),0)</f>
        <v>0</v>
      </c>
      <c r="BX22" s="54" cm="1">
        <f t="array" ref="BX22">IFERROR(VLOOKUP($A22,TRANSPOSE('[1]Fur 1 PLC'!$AR$1:$BV$38),30,0),0)</f>
        <v>108.54335753951302</v>
      </c>
      <c r="BY22" s="54" cm="1">
        <f t="array" ref="BY22">IFERROR(VLOOKUP($A22,TRANSPOSE('[1]Fur 1 PLC'!$AR$1:$BV$38),14,0),0)</f>
        <v>0</v>
      </c>
      <c r="BZ22" s="54" cm="1">
        <f t="array" ref="BZ22">IFERROR(VLOOKUP($A22,TRANSPOSE('[1]Fur 1 PLC'!$AR$1:$BV$38),16,0),0)</f>
        <v>0</v>
      </c>
      <c r="CA22" s="54" cm="1">
        <f t="array" ref="CA22">IFERROR(VLOOKUP($A22,TRANSPOSE('[1]Fur 1 PLC'!$AR$1:$BV$38),9,0),0)</f>
        <v>312.30243485689874</v>
      </c>
      <c r="CB22" s="54" cm="1">
        <f t="array" ref="CB22">IFERROR(VLOOKUP($A22,TRANSPOSE('[1]Fur 1 PLC'!$AR$1:$BV$38),17,0),0)</f>
        <v>0</v>
      </c>
      <c r="CC22" s="54" cm="1">
        <f t="array" ref="CC22">IFERROR(VLOOKUP($A22,TRANSPOSE('[1]Fur 1 PLC'!$AR$1:$BV$38),20,0),0)</f>
        <v>831.18325501922254</v>
      </c>
      <c r="CD22" s="54" cm="1">
        <f t="array" ref="CD22">IFERROR(VLOOKUP($A22,TRANSPOSE('[1]Fur 1 PLC'!$AR$1:$BV$38),28,0),0)</f>
        <v>0</v>
      </c>
      <c r="CE22" s="54" cm="1">
        <f t="array" ref="CE22">IFERROR(VLOOKUP($A22,TRANSPOSE('[1]Fur 1 PLC'!$AR$1:$BV$38),13,0),0)</f>
        <v>0</v>
      </c>
      <c r="CF22" s="54" cm="1">
        <f t="array" ref="CF22">IFERROR(VLOOKUP($A22,TRANSPOSE('[1]Fur 1 PLC'!$AR$1:$BV$38),37,0),0)</f>
        <v>571.80692011960696</v>
      </c>
      <c r="CG22" s="54" cm="1">
        <f t="array" ref="CG22">IFERROR(VLOOKUP($A22,TRANSPOSE('[1]Fur 1 PLC'!$AR$1:$BV$38),6,0),0)</f>
        <v>0</v>
      </c>
      <c r="CH22" s="54" cm="1">
        <f t="array" ref="CH22">IFERROR(VLOOKUP($A22,TRANSPOSE('[1]Fur 1 PLC'!$AR$1:$BV$38),21,0),0)</f>
        <v>0</v>
      </c>
      <c r="CI22" s="54" cm="1">
        <f t="array" ref="CI22">IFERROR(VLOOKUP($A22,TRANSPOSE('[1]Fur 1 PLC'!$AR$1:$BV$38),12,0),0)</f>
        <v>0</v>
      </c>
      <c r="CJ22" s="54" cm="1">
        <f t="array" ref="CJ22">IFERROR(VLOOKUP($A22,TRANSPOSE('[1]Fur 1 PLC'!$AR$1:$BV$38),25,0),0)</f>
        <v>0</v>
      </c>
      <c r="CK22" s="54" cm="1">
        <f t="array" ref="CK22">IFERROR(VLOOKUP($A22,TRANSPOSE('[1]Fur 1 PLC'!$AR$1:$BV$38),26,0),0)</f>
        <v>0</v>
      </c>
      <c r="CL22" s="54" cm="1">
        <f t="array" ref="CL22">IFERROR(VLOOKUP($A22,TRANSPOSE('[1]Fur 1 PLC'!$AR$1:$BV$38),27,0),0)</f>
        <v>476.24946604015372</v>
      </c>
      <c r="CM22" s="54" cm="1">
        <f t="array" ref="CM22">IFERROR(VLOOKUP($A22,TRANSPOSE('[1]Fur 1 PLC'!$AR$1:$BV$38),22,0),0)</f>
        <v>0</v>
      </c>
      <c r="CN22" s="54"/>
      <c r="CO22" s="54" cm="1">
        <f t="array" ref="CO22">IFERROR(VLOOKUP($A22,TRANSPOSE('[1]Fur 1 PLC'!$AR$1:$BV$38),29,0),0)</f>
        <v>0</v>
      </c>
      <c r="CP22" s="54" cm="1">
        <f t="array" ref="CP22">IFERROR(VLOOKUP($A22,TRANSPOSE('[1]Fur 1 PLC'!$AR$1:$BV$38),10,0),0)</f>
        <v>0</v>
      </c>
      <c r="CQ22" s="54" cm="1">
        <f t="array" ref="CQ22">IFERROR(VLOOKUP($A22,TRANSPOSE('[1]Fur 1 PLC'!$AR$1:$BV$38),7,0),0)</f>
        <v>267.74882528833831</v>
      </c>
      <c r="CR22" s="54" cm="1">
        <f t="array" ref="CR22">IFERROR(VLOOKUP($A22,TRANSPOSE('[1]Fur 1 PLC'!$AR$1:$BV$38),35,0),0)</f>
        <v>191.2857753096967</v>
      </c>
      <c r="CS22" s="54" cm="1">
        <f t="array" ref="CS22">IFERROR(VLOOKUP($A22,TRANSPOSE('[1]Fur 1 PLC'!$AR$1:$BV$38),11,0),0)</f>
        <v>0</v>
      </c>
      <c r="CT22" s="54" cm="1">
        <f t="array" ref="CT22">IFERROR(VLOOKUP($A22,TRANSPOSE('[1]Fur 1 PLC'!$AR$1:$BV$38),19,0),0)</f>
        <v>0</v>
      </c>
      <c r="CU22" s="54" cm="1">
        <f t="array" ref="CU22">IFERROR(VLOOKUP($A22,TRANSPOSE('[1]Fur 1 PLC'!$AR$1:$BV$38),18,0),0)</f>
        <v>519.00897052541654</v>
      </c>
      <c r="CV22" s="54" cm="1">
        <f t="array" ref="CV22">IFERROR(VLOOKUP($A22,TRANSPOSE('[1]Fur 1 PLC'!$AR$1:$BV$38),15,0),0)</f>
        <v>156.85604442545923</v>
      </c>
      <c r="CW22" s="54" cm="1">
        <f t="array" ref="CW22">IFERROR(VLOOKUP($A22,TRANSPOSE('[1]Fur 1 PLC'!$CL$1:$DP$38),8,0),0)</f>
        <v>0</v>
      </c>
      <c r="CX22" s="54" cm="1">
        <f t="array" ref="CX22">IFERROR(VLOOKUP($A22,TRANSPOSE('[1]Fur 1 PLC'!$CL$1:$DP$38),30,0),0)</f>
        <v>47.05555555555555</v>
      </c>
      <c r="CY22" s="54" cm="1">
        <f t="array" ref="CY22">IFERROR(VLOOKUP($A22,TRANSPOSE('[1]Fur 1 PLC'!$CL$1:$DP$38),14,0),0)</f>
        <v>0</v>
      </c>
      <c r="CZ22" s="54" cm="1">
        <f t="array" ref="CZ22">IFERROR(VLOOKUP($A22,TRANSPOSE('[1]Fur 1 PLC'!$CL$1:$DP$38),16,0),0)</f>
        <v>0</v>
      </c>
      <c r="DA22" s="54" cm="1">
        <f t="array" ref="DA22">IFERROR(VLOOKUP($A22,TRANSPOSE('[1]Fur 1 PLC'!$CL$1:$DP$38),9,0),0)</f>
        <v>135.38888888888889</v>
      </c>
      <c r="DB22" s="55" cm="1">
        <f t="array" ref="DB22">IFERROR(VLOOKUP($A22,TRANSPOSE('[1]Fur 1 PLC'!$CL$1:$DP$38),17,0),0)</f>
        <v>0</v>
      </c>
      <c r="DC22" s="55" cm="1">
        <f t="array" ref="DC22">IFERROR(VLOOKUP($A22,TRANSPOSE('[1]Fur 1 PLC'!$CL$1:$DP$38),20,0),0)</f>
        <v>360.33333333333326</v>
      </c>
      <c r="DD22" s="54" cm="1">
        <f t="array" ref="DD22">IFERROR(VLOOKUP($A22,TRANSPOSE('[1]Fur 1 PLC'!$CL$1:$DP$38),28,0),0)</f>
        <v>0</v>
      </c>
      <c r="DE22" s="54" cm="1">
        <f t="array" ref="DE22">IFERROR(VLOOKUP($A22,TRANSPOSE('[1]Fur 1 PLC'!$CL$1:$DP$38),13,0),0)</f>
        <v>0</v>
      </c>
      <c r="DF22" s="54" cm="1">
        <f t="array" ref="DF22">IFERROR(VLOOKUP($A22,TRANSPOSE('[1]Fur 1 PLC'!$CL$1:$DP$38),37,0),0)</f>
        <v>247.88888888888889</v>
      </c>
      <c r="DG22" s="54" cm="1">
        <f t="array" ref="DG22">IFERROR(VLOOKUP($A22,TRANSPOSE('[1]Fur 1 PLC'!$CL$1:$DP$38),6,0),0)</f>
        <v>0</v>
      </c>
      <c r="DH22" s="54" cm="1">
        <f t="array" ref="DH22">IFERROR(VLOOKUP($A22,TRANSPOSE('[1]Fur 1 PLC'!$CL$1:$DP$38),21,0),0)</f>
        <v>0</v>
      </c>
      <c r="DI22" s="54" cm="1">
        <f t="array" ref="DI22">IFERROR(VLOOKUP($A22,TRANSPOSE('[1]Fur 1 PLC'!$CL$1:$DP$38),12,0),0)</f>
        <v>0</v>
      </c>
      <c r="DJ22" s="54" cm="1">
        <f t="array" ref="DJ22">IFERROR(VLOOKUP($A22,TRANSPOSE('[1]Fur 1 PLC'!$CL$1:$DP$38),25,0),0)</f>
        <v>0</v>
      </c>
      <c r="DK22" s="54" cm="1">
        <f t="array" ref="DK22">IFERROR(VLOOKUP($A22,TRANSPOSE('[1]Fur 1 PLC'!$CL$1:$DP$38),26,0),0)</f>
        <v>0</v>
      </c>
      <c r="DL22" s="54" cm="1">
        <f t="array" ref="DL22">IFERROR(VLOOKUP($A22,TRANSPOSE('[1]Fur 1 PLC'!$CL$1:$DP$38),27,0),0)</f>
        <v>206.46296296296296</v>
      </c>
      <c r="DM22" s="54" cm="1">
        <f t="array" ref="DM22">IFERROR(VLOOKUP($A22,TRANSPOSE('[1]Fur 1 PLC'!$CL$1:$DP$38),22,0),0)</f>
        <v>0</v>
      </c>
      <c r="DN22" s="54" cm="1">
        <f t="array" ref="DN22">IFERROR(VLOOKUP($A22,TRANSPOSE('[1]Fur 1 PLC'!$CL$1:$DP$38),19,0),0)</f>
        <v>0</v>
      </c>
      <c r="DO22" s="54" cm="1">
        <f t="array" ref="DO22">IFERROR(VLOOKUP($A22,TRANSPOSE('[1]Fur 1 PLC'!$CL$1:$DP$38),29,0),0)</f>
        <v>0</v>
      </c>
      <c r="DP22" s="54" cm="1">
        <f t="array" ref="DP22">IFERROR(VLOOKUP($A22,TRANSPOSE('[1]Fur 1 PLC'!$CL$1:$DP$38),10,0),0)</f>
        <v>0</v>
      </c>
      <c r="DQ22" s="54" cm="1">
        <f t="array" ref="DQ22">IFERROR(VLOOKUP($A22,TRANSPOSE('[1]Fur 1 PLC'!$CL$1:$DP$38),7,0),0)</f>
        <v>116.07407407407406</v>
      </c>
      <c r="DR22" s="54" cm="1">
        <f t="array" ref="DR22">IFERROR(VLOOKUP($A22,TRANSPOSE('[1]Fur 1 PLC'!$CL$1:$DP$38),35,0),0)</f>
        <v>82.925925925925924</v>
      </c>
      <c r="DS22" s="54" cm="1">
        <f t="array" ref="DS22">IFERROR(VLOOKUP($A22,TRANSPOSE('[1]Fur 1 PLC'!$CL$1:$DP$38),11,0),0)</f>
        <v>0</v>
      </c>
      <c r="DT22" s="54" cm="1">
        <f t="array" ref="DT22">IFERROR(VLOOKUP($A22,TRANSPOSE('[1]Fur 1 PLC'!$CL$1:$DP$38),19,0),0)</f>
        <v>0</v>
      </c>
      <c r="DU22" s="54" cm="1">
        <f t="array" ref="DU22">IFERROR(VLOOKUP($A22,TRANSPOSE('[1]Fur 1 PLC'!$CL$1:$DP$38),18,0),0)</f>
        <v>225</v>
      </c>
      <c r="DV22" s="54" cm="1">
        <f t="array" ref="DV22">IFERROR(VLOOKUP($A22,TRANSPOSE('[1]Fur 1 PLC'!$CL$1:$DP$38),15,0),0)</f>
        <v>68</v>
      </c>
      <c r="DW22" t="str">
        <f>TEXT(C22,"Mmm-yy")</f>
        <v>Dec-25</v>
      </c>
    </row>
    <row r="23" spans="1:127" x14ac:dyDescent="0.3">
      <c r="A23" s="28" t="str">
        <f t="shared" si="1"/>
        <v>F245997</v>
      </c>
      <c r="B23" s="29" t="s">
        <v>27</v>
      </c>
      <c r="C23" s="30">
        <f>C22</f>
        <v>45997</v>
      </c>
      <c r="D23" s="29" t="str">
        <f>VLOOKUP($B23&amp;$C23,'[1]FC2 Prod'!$A$6:$BP$36,[2]Consolidated!D$1)</f>
        <v>Mr. Girish Malik</v>
      </c>
      <c r="E23" s="29">
        <f>VLOOKUP($B23&amp;$C23,'[1]FC2 Prod'!$A$6:$BP$36,[2]Consolidated!E$1)</f>
        <v>30.12</v>
      </c>
      <c r="F23" s="29">
        <f>VLOOKUP($B23&amp;$C23,'[1]FC2 Prod'!$A$6:$BP$36,[2]Consolidated!F$1)</f>
        <v>0.27999999999999758</v>
      </c>
      <c r="G23" s="29">
        <f>VLOOKUP($B23&amp;$C23,'[1]FC2 Prod'!$A$6:$BP$36,[2]Consolidated!G$1)</f>
        <v>30.4</v>
      </c>
      <c r="H23" s="32">
        <f>VLOOKUP($B23&amp;$C23,'[1]FC2 Prod'!$A$6:$BP$36,[2]Consolidated!H$1)</f>
        <v>21.26</v>
      </c>
      <c r="I23" s="32">
        <f>VLOOKUP($B23&amp;$C23,'[1]FC2 Prod'!$A$6:$BP$36,[2]Consolidated!I$1)</f>
        <v>6.08</v>
      </c>
      <c r="J23" s="32">
        <f>VLOOKUP($B23&amp;$C23,'[1]FC2 Prod'!$A$6:$BP$36,[2]Consolidated!J$1)</f>
        <v>39.520000000000003</v>
      </c>
      <c r="K23" s="32">
        <f>VLOOKUP($B23&amp;$C23,'[1]FC2 Prod'!$A$6:$BP$36,[2]Consolidated!K$1)</f>
        <v>1.44</v>
      </c>
      <c r="L23" s="32">
        <f>VLOOKUP($B23&amp;$C23,'[1]FC2 Prod'!$A$6:$BP$36,[2]Consolidated!L$1)</f>
        <v>28.32</v>
      </c>
      <c r="M23" s="32">
        <f>VLOOKUP($B23&amp;$C23,'[1]FC2 Prod'!$A$6:$BP$36,[2]Consolidated!M$1)</f>
        <v>5.12</v>
      </c>
      <c r="N23" s="32">
        <f>VLOOKUP($B23&amp;$C23,'[1]FC2 Prod'!$A$6:$BP$36,[2]Consolidated!N$1)</f>
        <v>16.32</v>
      </c>
      <c r="O23" s="32">
        <f>VLOOKUP($B23&amp;$C23,'[1]FC2 Prod'!$A$6:$BP$36,[2]Consolidated!O$1)</f>
        <v>0.85</v>
      </c>
      <c r="P23" s="34">
        <f>VLOOKUP($B23&amp;$C23,'[1]FC2 Prod'!$A$6:$BP$36,[2]Consolidated!P$1)</f>
        <v>9</v>
      </c>
      <c r="Q23" s="29">
        <f>VLOOKUP($B23&amp;$C23,'[1]FC2 Prod'!$A$6:$BP$36,[2]Consolidated!Q$1)</f>
        <v>60.241</v>
      </c>
      <c r="R23" s="29">
        <f>VLOOKUP($B23&amp;$C23,'[1]FC2 Prod'!$A$6:$BP$36,[2]Consolidated!R$1)</f>
        <v>20.503999999999998</v>
      </c>
      <c r="S23" s="34">
        <f>VLOOKUP($B23&amp;$C23,'[1]FC2 Prod'!$A$6:$BP$36,[2]Consolidated!S$1)</f>
        <v>30</v>
      </c>
      <c r="T23" s="34">
        <f>VLOOKUP($B23&amp;$C23,'[1]FC2 Prod'!$A$6:$BP$36,[2]Consolidated!T$1)</f>
        <v>20</v>
      </c>
      <c r="U23" s="34">
        <f>VLOOKUP($B23&amp;$C23,'[1]FC2 Prod'!$A$6:$BP$36,[2]Consolidated!U$1)</f>
        <v>19</v>
      </c>
      <c r="V23" s="34">
        <f>VLOOKUP($B23&amp;$C23,'[1]FC2 Prod'!$A$6:$BP$36,[2]Consolidated!V$1)</f>
        <v>69</v>
      </c>
      <c r="W23" s="29">
        <f>VLOOKUP($B23&amp;$C23,'[1]FC2 Prod'!$A$6:$BP$36,[2]Consolidated!W$1)</f>
        <v>2.0000332005312083</v>
      </c>
      <c r="X23" s="35">
        <f>VLOOKUP($B23&amp;$C23,'[1]FC2 Prod'!$A$6:$BP$36,[2]Consolidated!X$1)</f>
        <v>31.335000000000004</v>
      </c>
      <c r="Y23" s="36">
        <f>VLOOKUP($B23&amp;$C23,'[1]FC2 Prod'!$A$6:$BP$36,[2]Consolidated!Y$1)</f>
        <v>0.96122546673049292</v>
      </c>
      <c r="Z23" s="37" t="str">
        <f>VLOOKUP($B23&amp;$C23,'[1]FC2 Prod'!$A$6:$BP$36,[2]Consolidated!Z$1)</f>
        <v>55/22</v>
      </c>
      <c r="AA23" s="31">
        <f>VLOOKUP($B23&amp;$C23,'[1]FC2 Prod'!$A$6:$BP$36,[2]Consolidated!AA$1)</f>
        <v>55.118888888888897</v>
      </c>
      <c r="AB23" s="31">
        <f>VLOOKUP($B23&amp;$C23,'[1]FC2 Prod'!$A$6:$BP$36,[2]Consolidated!AB$1)</f>
        <v>21.554444444444442</v>
      </c>
      <c r="AC23" s="31">
        <f>VLOOKUP($B23&amp;$C23,'[1]FC2 Prod'!$A$6:$BP$36,[2]Consolidated!AC$1)</f>
        <v>0.45555555555555549</v>
      </c>
      <c r="AD23" s="38">
        <f>VLOOKUP($B23&amp;$C23,'[1]FC2 Prod'!$A$6:$BP$36,[2]Consolidated!AD$1)</f>
        <v>630.89880899734396</v>
      </c>
      <c r="AE23" s="38">
        <f>VLOOKUP($B23&amp;$C23,'[1]FC2 Prod'!$A$6:$BP$36,[2]Consolidated!AE$1)</f>
        <v>634.66029968459497</v>
      </c>
      <c r="AF23" s="39">
        <f>VLOOKUP($B23&amp;$C23,'[1]FC2 Prod'!$A$6:$BP$36,[2]Consolidated!AF$1)</f>
        <v>0.87365656905402311</v>
      </c>
      <c r="AG23" s="39">
        <f>VLOOKUP($B23&amp;$C23,'[1]FC2 Prod'!$A$6:$BP$36,[2]Consolidated!AG$1)</f>
        <v>0.86847860054081127</v>
      </c>
      <c r="AH23" s="34">
        <f>VLOOKUP($B23&amp;$C23,'[1]FC2 Prod'!$A$6:$BP$36,[2]Consolidated!AH$1)</f>
        <v>503.93050730411687</v>
      </c>
      <c r="AI23" s="33">
        <f>VLOOKUP($B23&amp;$C23,'[1]FC2 Prod'!$A$6:$BP$36,[2]Consolidated!AI$1)</f>
        <v>501.24712138114199</v>
      </c>
      <c r="AJ23" s="39">
        <f>VLOOKUP($B23&amp;$C23,'[1]FC2 Prod'!$A$6:$BP$36,[2]Consolidated!AJ$1)</f>
        <v>0.48772280714440613</v>
      </c>
      <c r="AK23" s="39">
        <f>VLOOKUP($B23&amp;$C23,'[1]FC2 Prod'!$A$6:$BP$36,[2]Consolidated!AK$1)</f>
        <v>0.47438438727895094</v>
      </c>
      <c r="AL23" s="40" t="str">
        <f>VLOOKUP($B23&amp;$C23,'[1]FC2 Prod'!$A$6:$BP$36,[2]Consolidated!AL$1)</f>
        <v>10/70</v>
      </c>
      <c r="AM23" s="41">
        <f>VLOOKUP($B23&amp;$C23,'[1]FC2 Prod'!$A$6:$BP$36,[2]Consolidated!AM$1)</f>
        <v>0</v>
      </c>
      <c r="AN23" s="42">
        <f>VLOOKUP($B23&amp;$C23,'[1]FC2 Prod'!$A$6:$BP$36,[2]Consolidated!AN$1)</f>
        <v>146</v>
      </c>
      <c r="AO23" s="43">
        <f>VLOOKUP($B23&amp;$C23,'[1]FC2 Prod'!$A$6:$BP$36,[2]Consolidated!AO$1)</f>
        <v>6.5039999999999996</v>
      </c>
      <c r="AP23" s="44">
        <f>VLOOKUP($B23&amp;$C23,'[1]FC2 Prod'!$A$6:$BP$36,[2]Consolidated!AP$1)</f>
        <v>5.0632138114209821</v>
      </c>
      <c r="AQ23" s="44">
        <f>VLOOKUP($B23&amp;$C23,'[1]FC2 Prod'!$A$6:$BP$36,[2]Consolidated!AQ$1)</f>
        <v>28.467562511541328</v>
      </c>
      <c r="AR23" s="45">
        <f>VLOOKUP($B23&amp;$C23,'[1]FC2 Prod'!$A$6:$BP$36,[2]Consolidated!AR$1)</f>
        <v>0.99726775956284164</v>
      </c>
      <c r="AS23" s="46">
        <f>VLOOKUP($B23&amp;$C23,'[1]FC2 Prod'!$A$6:$BP$36,[2]Consolidated!AS$1)</f>
        <v>2.1633333333333331</v>
      </c>
      <c r="AT23" s="29">
        <f>VLOOKUP($B23&amp;$C23,'[1]FC2 Prod'!$A$6:$BP$36,[2]Consolidated!AT$1)</f>
        <v>0.78280120196157876</v>
      </c>
      <c r="AU23" s="34">
        <f>VLOOKUP($B23&amp;$C23,'[1]FC2 Prod'!$A$6:$BP$36,[2]Consolidated!AU$1)</f>
        <v>478.1331018518519</v>
      </c>
      <c r="AV23" s="34">
        <f>VLOOKUP($B23&amp;$C23,'[1]FC2 Prod'!$A$6:$BP$36,[2]Consolidated!AV$1)</f>
        <v>158.33333333333334</v>
      </c>
      <c r="AW23" s="47">
        <f>VLOOKUP($B23&amp;$C23,'[1]FC2 Prod'!$A$6:$BP$36,[2]Consolidated!AW$1)</f>
        <v>25065.877158034527</v>
      </c>
      <c r="AX23" s="47">
        <f>VLOOKUP($B23&amp;$C23,'[1]FC2 Prod'!$A$6:$BP$36,[2]Consolidated!AX$1)</f>
        <v>15403.452855245683</v>
      </c>
      <c r="AY23" s="48">
        <f>VLOOKUP($B23&amp;$C23,'[1]FC2 Prod'!$A$6:$BP$36,[2]Consolidated!AY$1)</f>
        <v>1819.7211155378486</v>
      </c>
      <c r="AZ23" s="47">
        <f>VLOOKUP($B23&amp;$C23,'[1]FC2 Prod'!$A$6:$BP$36,[2]Consolidated!AZ$1)</f>
        <v>2317.939907038513</v>
      </c>
      <c r="BA23" s="47">
        <f>VLOOKUP($B23&amp;$C23,'[1]FC2 Prod'!$A$6:$BP$36,[2]Consolidated!BA$1)</f>
        <v>29619.800796812746</v>
      </c>
      <c r="BB23" s="47">
        <f>VLOOKUP($B23&amp;$C23,'[1]FC2 Prod'!$A$6:$BP$36,[2]Consolidated!BB$1)</f>
        <v>742.26791832669323</v>
      </c>
      <c r="BC23" s="47">
        <f>VLOOKUP($B23&amp;$C23,'[1]FC2 Prod'!$A$6:$BP$36,[2]Consolidated!BC$1)</f>
        <v>9620.1062416998666</v>
      </c>
      <c r="BD23" s="49">
        <f>VLOOKUP($B23&amp;$C23,'[1]FC2 Prod'!$A$6:$BP$36,[2]Consolidated!BD$1)</f>
        <v>84589.165992695867</v>
      </c>
      <c r="BE23" s="47">
        <f>VLOOKUP($B23&amp;$C23,'[1]FC2 Prod'!$A$6:$BP$36,[2]Consolidated!BE$1)</f>
        <v>25042.231573705179</v>
      </c>
      <c r="BF23" s="47">
        <f>VLOOKUP($B23&amp;$C23,'[1]FC2 Prod'!$A$6:$BP$36,[2]Consolidated!BF$1)</f>
        <v>15368.871181938912</v>
      </c>
      <c r="BG23" s="50">
        <f>VLOOKUP($B23&amp;$C23,'[1]FC2 Prod'!$A$6:$BP$36,[2]Consolidated!BG$1)</f>
        <v>1820.6175298804781</v>
      </c>
      <c r="BH23" s="50">
        <f>VLOOKUP($B23&amp;$C23,'[1]FC2 Prod'!$A$6:$BP$36,[2]Consolidated!BH$1)</f>
        <v>741.6946098937583</v>
      </c>
      <c r="BI23" s="50">
        <f>VLOOKUP($B23&amp;$C23,'[1]FC2 Prod'!$A$6:$BP$36,[2]Consolidated!BI$1)</f>
        <v>84531.261840969441</v>
      </c>
      <c r="BJ23" s="37" t="e">
        <f>VLOOKUP($B23&amp;$C23,'[1]FC2 Prod'!$A$6:$BP$36,[2]Consolidated!BJ$1)</f>
        <v>#REF!</v>
      </c>
      <c r="BK23" s="37" t="e">
        <f>VLOOKUP($B23&amp;$C23,'[1]FC2 Prod'!$A$6:$BP$36,[2]Consolidated!BK$1)</f>
        <v>#REF!</v>
      </c>
      <c r="BL23" s="37" t="e">
        <f>VLOOKUP($B23&amp;$C23,'[1]FC2 Prod'!$A$6:$BP$36,[2]Consolidated!BL$1)</f>
        <v>#REF!</v>
      </c>
      <c r="BM23" s="37" t="e">
        <f>VLOOKUP($B23&amp;$C23,'[1]FC2 Prod'!$A$6:$BP$36,[2]Consolidated!BM$1)</f>
        <v>#REF!</v>
      </c>
      <c r="BN23" s="37" t="e">
        <f>VLOOKUP($B23&amp;$C23,'[1]FC2 Prod'!$A$6:$BP$36,[2]Consolidated!BN$1)</f>
        <v>#REF!</v>
      </c>
      <c r="BO23" s="37" t="e">
        <f>VLOOKUP($B23&amp;$C23,'[1]FC2 Prod'!$A$6:$BP$36,[2]Consolidated!BO$1)</f>
        <v>#REF!</v>
      </c>
      <c r="BP23" s="37" t="str">
        <f>VLOOKUP($B23&amp;$C23,'[1]FC2 Prod'!$A$6:$BP$36,[2]Consolidated!BP$1)</f>
        <v>NIL</v>
      </c>
      <c r="BQ23" s="29" t="e">
        <f>VLOOKUP($B23&amp;$C23,'[1]FC2 Prod'!$A$6:$BP$36,[2]Consolidated!BQ$1)</f>
        <v>#REF!</v>
      </c>
      <c r="BR23" s="51">
        <f>VLOOKUP($B23&amp;$C23,'[1]FC2 Prod'!$A$6:$BQ$36,[2]Consolidated!BR$1)</f>
        <v>69902</v>
      </c>
      <c r="BS23" s="52">
        <f t="shared" si="24"/>
        <v>71851.52108233732</v>
      </c>
      <c r="BT23" s="32">
        <f>BR23-BS23</f>
        <v>-1949.52108233732</v>
      </c>
      <c r="BU23" s="37">
        <f>E23*BT23</f>
        <v>-58719.575000000077</v>
      </c>
      <c r="BV23" s="53" t="s">
        <v>130</v>
      </c>
      <c r="BW23" s="54" cm="1">
        <f t="array" ref="BW23">IFERROR(VLOOKUP($A23,TRANSPOSE('[1]Fur 2 PLC'!$AR$1:$BV$38),8,0),0)</f>
        <v>0</v>
      </c>
      <c r="BX23" s="54" cm="1">
        <f t="array" ref="BX23">IFERROR(VLOOKUP($A23,TRANSPOSE('[1]Fur 2 PLC'!$AR$1:$BV$38),30,0),0)</f>
        <v>0</v>
      </c>
      <c r="BY23" s="54" cm="1">
        <f t="array" ref="BY23">IFERROR(VLOOKUP($A23,TRANSPOSE('[1]Fur 2 PLC'!$AR$1:$BV$38),14,0),0)</f>
        <v>0</v>
      </c>
      <c r="BZ23" s="54" cm="1">
        <f t="array" ref="BZ23">IFERROR(VLOOKUP($A23,TRANSPOSE('[1]Fur 2 PLC'!$AR$1:$BV$38),16,0),0)</f>
        <v>0</v>
      </c>
      <c r="CA23" s="54" cm="1">
        <f t="array" ref="CA23">IFERROR(VLOOKUP($A23,TRANSPOSE('[1]Fur 2 PLC'!$AR$1:$BV$38),9,0),0)</f>
        <v>517.76228419654717</v>
      </c>
      <c r="CB23" s="54" cm="1">
        <f t="array" ref="CB23">IFERROR(VLOOKUP($A23,TRANSPOSE('[1]Fur 2 PLC'!$AR$1:$BV$38),17,0),0)</f>
        <v>378.51925630810092</v>
      </c>
      <c r="CC23" s="54" cm="1">
        <f t="array" ref="CC23">IFERROR(VLOOKUP($A23,TRANSPOSE('[1]Fur 2 PLC'!$AR$1:$BV$38),20,0),0)</f>
        <v>0</v>
      </c>
      <c r="CD23" s="54" cm="1">
        <f t="array" ref="CD23">IFERROR(VLOOKUP($A23,TRANSPOSE('[1]Fur 2 PLC'!$AR$1:$BV$38),28,0),0)</f>
        <v>142.49667994687914</v>
      </c>
      <c r="CE23" s="54" cm="1">
        <f t="array" ref="CE23">IFERROR(VLOOKUP($A23,TRANSPOSE('[1]Fur 2 PLC'!$AR$1:$BV$38),13,0),0)</f>
        <v>0</v>
      </c>
      <c r="CF23" s="54" cm="1">
        <f t="array" ref="CF23">IFERROR(VLOOKUP($A23,TRANSPOSE('[1]Fur 2 PLC'!$AR$1:$BV$38),37,0),0)</f>
        <v>667.92828685258951</v>
      </c>
      <c r="CG23" s="54" cm="1">
        <f t="array" ref="CG23">IFERROR(VLOOKUP($A23,TRANSPOSE('[1]Fur 2 PLC'!$AR$1:$BV$38),6,0),0)</f>
        <v>0</v>
      </c>
      <c r="CH23" s="54" cm="1">
        <f t="array" ref="CH23">IFERROR(VLOOKUP($A23,TRANSPOSE('[1]Fur 2 PLC'!$AR$1:$BV$38),21,0),0)</f>
        <v>0</v>
      </c>
      <c r="CI23" s="54" cm="1">
        <f t="array" ref="CI23">IFERROR(VLOOKUP($A23,TRANSPOSE('[1]Fur 2 PLC'!$AR$1:$BV$38),12,0),0)</f>
        <v>0</v>
      </c>
      <c r="CJ23" s="54" cm="1">
        <f t="array" ref="CJ23">IFERROR(VLOOKUP($A23,TRANSPOSE('[1]Fur 2 PLC'!$AR$1:$BV$38),25,0),0)</f>
        <v>0</v>
      </c>
      <c r="CK23" s="54" cm="1">
        <f t="array" ref="CK23">IFERROR(VLOOKUP($A23,TRANSPOSE('[1]Fur 2 PLC'!$AR$1:$BV$38),26,0),0)</f>
        <v>0</v>
      </c>
      <c r="CL23" s="54" cm="1">
        <f t="array" ref="CL23">IFERROR(VLOOKUP($A23,TRANSPOSE('[1]Fur 2 PLC'!$AR$1:$BV$38),27,0),0)</f>
        <v>538.2470119521912</v>
      </c>
      <c r="CM23" s="54" cm="1">
        <f t="array" ref="CM23">IFERROR(VLOOKUP($A23,TRANSPOSE('[1]Fur 2 PLC'!$AR$1:$BV$38),22,0),0)</f>
        <v>0</v>
      </c>
      <c r="CN23" s="54"/>
      <c r="CO23" s="54" cm="1">
        <f t="array" ref="CO23">IFERROR(VLOOKUP($A23,TRANSPOSE('[1]Fur 2 PLC'!$AR$1:$BV$38),29,0),0)</f>
        <v>0</v>
      </c>
      <c r="CP23" s="54" cm="1">
        <f t="array" ref="CP23">IFERROR(VLOOKUP($A23,TRANSPOSE('[1]Fur 2 PLC'!$AR$1:$BV$38),10,0),0)</f>
        <v>0</v>
      </c>
      <c r="CQ23" s="54" cm="1">
        <f t="array" ref="CQ23">IFERROR(VLOOKUP($A23,TRANSPOSE('[1]Fur 2 PLC'!$AR$1:$BV$38),7,0),0)</f>
        <v>229.38247011952188</v>
      </c>
      <c r="CR23" s="54" cm="1">
        <f t="array" ref="CR23">IFERROR(VLOOKUP($A23,TRANSPOSE('[1]Fur 2 PLC'!$AR$1:$BV$38),35,0),0)</f>
        <v>7.1713147410358564</v>
      </c>
      <c r="CS23" s="54" cm="1">
        <f t="array" ref="CS23">IFERROR(VLOOKUP($A23,TRANSPOSE('[1]Fur 2 PLC'!$AR$1:$BV$38),11,0),0)</f>
        <v>753.48605577689239</v>
      </c>
      <c r="CT23" s="54" cm="1">
        <f t="array" ref="CT23">IFERROR(VLOOKUP($A23,TRANSPOSE('[1]Fur 2 PLC'!$AR$1:$BV$38),19,0),0)</f>
        <v>0</v>
      </c>
      <c r="CU23" s="54" cm="1">
        <f t="array" ref="CU23">IFERROR(VLOOKUP($A23,TRANSPOSE('[1]Fur 2 PLC'!$AR$1:$BV$38),18,0),0)</f>
        <v>0</v>
      </c>
      <c r="CV23" s="54" cm="1">
        <f t="array" ref="CV23">IFERROR(VLOOKUP($A23,TRANSPOSE('[1]Fur 2 PLC'!$AR$1:$BV$38),15,0),0)</f>
        <v>350.265604249668</v>
      </c>
      <c r="CW23" s="54" cm="1">
        <f t="array" ref="CW23">IFERROR(VLOOKUP($A23,TRANSPOSE('[1]Fur 2 PLC'!$CI$1:$DM$38),8,0),0)</f>
        <v>0</v>
      </c>
      <c r="CX23" s="54" cm="1">
        <f t="array" ref="CX23">IFERROR(VLOOKUP($A23,TRANSPOSE('[1]Fur 2 PLC'!$CI$1:$DM$38),30,0),0)</f>
        <v>0</v>
      </c>
      <c r="CY23" s="54" cm="1">
        <f t="array" ref="CY23">IFERROR(VLOOKUP($A23,TRANSPOSE('[1]Fur 2 PLC'!$CI$1:$DM$38),14,0),0)</f>
        <v>0</v>
      </c>
      <c r="CZ23" s="54" cm="1">
        <f t="array" ref="CZ23">IFERROR(VLOOKUP($A23,TRANSPOSE('[1]Fur 2 PLC'!$CI$1:$DM$38),16,0),0)</f>
        <v>0</v>
      </c>
      <c r="DA23" s="54" cm="1">
        <f t="array" ref="DA23">IFERROR(VLOOKUP($A23,TRANSPOSE('[1]Fur 2 PLC'!$CI$1:$DM$38),9,0),0)</f>
        <v>226.01449275362322</v>
      </c>
      <c r="DB23" s="55" cm="1">
        <f t="array" ref="DB23">IFERROR(VLOOKUP($A23,TRANSPOSE('[1]Fur 2 PLC'!$CI$1:$DM$38),17,0),0)</f>
        <v>165.231884057971</v>
      </c>
      <c r="DC23" s="55" cm="1">
        <f t="array" ref="DC23">IFERROR(VLOOKUP($A23,TRANSPOSE('[1]Fur 2 PLC'!$CI$1:$DM$38),20,0),0)</f>
        <v>0</v>
      </c>
      <c r="DD23" s="54" cm="1">
        <f t="array" ref="DD23">IFERROR(VLOOKUP($A23,TRANSPOSE('[1]Fur 2 PLC'!$CI$1:$DM$38),28,0),0)</f>
        <v>62.202898550724633</v>
      </c>
      <c r="DE23" s="54" cm="1">
        <f t="array" ref="DE23">IFERROR(VLOOKUP($A23,TRANSPOSE('[1]Fur 2 PLC'!$CI$1:$DM$38),13,0),0)</f>
        <v>0</v>
      </c>
      <c r="DF23" s="54" cm="1">
        <f t="array" ref="DF23">IFERROR(VLOOKUP($A23,TRANSPOSE('[1]Fur 2 PLC'!$CI$1:$DM$38),37,0),0)</f>
        <v>291.56521739130432</v>
      </c>
      <c r="DG23" s="54" cm="1">
        <f t="array" ref="DG23">IFERROR(VLOOKUP($A23,TRANSPOSE('[1]Fur 2 PLC'!$CI$1:$DM$38),6,0),0)</f>
        <v>0</v>
      </c>
      <c r="DH23" s="54" cm="1">
        <f t="array" ref="DH23">IFERROR(VLOOKUP($A23,TRANSPOSE('[1]Fur 2 PLC'!$CI$1:$DM$38),21,0),0)</f>
        <v>0</v>
      </c>
      <c r="DI23" s="54" cm="1">
        <f t="array" ref="DI23">IFERROR(VLOOKUP($A23,TRANSPOSE('[1]Fur 2 PLC'!$CI$1:$DM$38),12,0),0)</f>
        <v>0</v>
      </c>
      <c r="DJ23" s="54" cm="1">
        <f t="array" ref="DJ23">IFERROR(VLOOKUP($A23,TRANSPOSE('[1]Fur 2 PLC'!$CI$1:$DM$38),25,0),0)</f>
        <v>0</v>
      </c>
      <c r="DK23" s="54" cm="1">
        <f t="array" ref="DK23">IFERROR(VLOOKUP($A23,TRANSPOSE('[1]Fur 2 PLC'!$CI$1:$DM$38),26,0),0)</f>
        <v>0</v>
      </c>
      <c r="DL23" s="54" cm="1">
        <f t="array" ref="DL23">IFERROR(VLOOKUP($A23,TRANSPOSE('[1]Fur 2 PLC'!$CI$1:$DM$38),27,0),0)</f>
        <v>234.95652173913044</v>
      </c>
      <c r="DM23" s="54" cm="1">
        <f t="array" ref="DM23">IFERROR(VLOOKUP($A23,TRANSPOSE('[1]Fur 2 PLC'!$CI$1:$DM$38),22,0),0)</f>
        <v>0</v>
      </c>
      <c r="DN23" s="54" cm="1">
        <f t="array" ref="DN23">IFERROR(VLOOKUP($A23,TRANSPOSE('[1]Fur 2 PLC'!$CI$1:$DM$38),19,0),0)</f>
        <v>0</v>
      </c>
      <c r="DO23" s="54" cm="1">
        <f t="array" ref="DO23">IFERROR(VLOOKUP($A23,TRANSPOSE('[1]Fur 2 PLC'!$CI$1:$DM$38),29,0),0)</f>
        <v>0</v>
      </c>
      <c r="DP23" s="54" cm="1">
        <f t="array" ref="DP23">IFERROR(VLOOKUP($A23,TRANSPOSE('[1]Fur 2 PLC'!$CI$1:$DM$38),10,0),0)</f>
        <v>0</v>
      </c>
      <c r="DQ23" s="54" cm="1">
        <f t="array" ref="DQ23">IFERROR(VLOOKUP($A23,TRANSPOSE('[1]Fur 2 PLC'!$CI$1:$DM$38),7,0),0)</f>
        <v>100.13043478260869</v>
      </c>
      <c r="DR23" s="54" cm="1">
        <f t="array" ref="DR23">IFERROR(VLOOKUP($A23,TRANSPOSE('[1]Fur 2 PLC'!$CI$1:$DM$38),35,0),0)</f>
        <v>3.1304347826086958</v>
      </c>
      <c r="DS23" s="54" cm="1">
        <f t="array" ref="DS23">IFERROR(VLOOKUP($A23,TRANSPOSE('[1]Fur 2 PLC'!$CI$1:$DM$38),11,0),0)</f>
        <v>328.91304347826087</v>
      </c>
      <c r="DT23" s="54" cm="1">
        <f t="array" ref="DT23">IFERROR(VLOOKUP($A23,TRANSPOSE('[1]Fur 2 PLC'!$CI$1:$DM$38),19,0),0)</f>
        <v>0</v>
      </c>
      <c r="DU23" s="54" cm="1">
        <f t="array" ref="DU23">IFERROR(VLOOKUP($A23,TRANSPOSE('[1]Fur 2 PLC'!$CI$1:$DM$38),18,0),0)</f>
        <v>0</v>
      </c>
      <c r="DV23" s="54" cm="1">
        <f t="array" ref="DV23">IFERROR(VLOOKUP($A23,TRANSPOSE('[1]Fur 2 PLC'!$CI$1:$DM$38),15,0),0)</f>
        <v>152.89855072463772</v>
      </c>
      <c r="DW23" t="str">
        <f t="shared" ref="DW23:DW25" si="25">TEXT(C23,"Mmm-yy")</f>
        <v>Dec-25</v>
      </c>
    </row>
    <row r="24" spans="1:127" x14ac:dyDescent="0.3">
      <c r="A24" s="28" t="str">
        <f t="shared" si="1"/>
        <v>F345997</v>
      </c>
      <c r="B24" s="29" t="s">
        <v>28</v>
      </c>
      <c r="C24" s="30">
        <f>C23</f>
        <v>45997</v>
      </c>
      <c r="D24" s="29" t="str">
        <f>VLOOKUP($B24&amp;$C24,'[1]FC3 Prod'!$A$6:$BP$36,[2]Consolidated!D$1)</f>
        <v>Mr. Ajay Singh</v>
      </c>
      <c r="E24" s="29">
        <f>VLOOKUP($B24&amp;$C24,'[1]FC3 Prod'!$A$6:$BP$36,[2]Consolidated!E$1)</f>
        <v>37.68</v>
      </c>
      <c r="F24" s="31">
        <f>VLOOKUP($B24&amp;$C24,'[1]FC3 Prod'!$A$6:$BP$36,[2]Consolidated!F$1)</f>
        <v>0.28000000000000114</v>
      </c>
      <c r="G24" s="32">
        <f>VLOOKUP($B24&amp;$C24,'[1]FC3 Prod'!$A$6:$BP$36,[2]Consolidated!G$1)</f>
        <v>37.96</v>
      </c>
      <c r="H24" s="32">
        <f>VLOOKUP($B24&amp;$C24,'[1]FC3 Prod'!$A$6:$BP$36,[2]Consolidated!H$1)</f>
        <v>29.344000000000001</v>
      </c>
      <c r="I24" s="32">
        <f>VLOOKUP($B24&amp;$C24,'[1]FC3 Prod'!$A$6:$BP$36,[2]Consolidated!I$1)</f>
        <v>10.32</v>
      </c>
      <c r="J24" s="32">
        <f>VLOOKUP($B24&amp;$C24,'[1]FC3 Prod'!$A$6:$BP$36,[2]Consolidated!J$1)</f>
        <v>38.119999999999997</v>
      </c>
      <c r="K24" s="32">
        <f>VLOOKUP($B24&amp;$C24,'[1]FC3 Prod'!$A$6:$BP$36,[2]Consolidated!K$1)</f>
        <v>1.38</v>
      </c>
      <c r="L24" s="32">
        <f>VLOOKUP($B24&amp;$C24,'[1]FC3 Prod'!$A$6:$BP$36,[2]Consolidated!L$1)</f>
        <v>25.72</v>
      </c>
      <c r="M24" s="32">
        <f>VLOOKUP($B24&amp;$C24,'[1]FC3 Prod'!$A$6:$BP$36,[2]Consolidated!M$1)</f>
        <v>4.8499999999999996</v>
      </c>
      <c r="N24" s="32">
        <f>VLOOKUP($B24&amp;$C24,'[1]FC3 Prod'!$A$6:$BP$36,[2]Consolidated!N$1)</f>
        <v>15.76</v>
      </c>
      <c r="O24" s="32">
        <f>VLOOKUP($B24&amp;$C24,'[1]FC3 Prod'!$A$6:$BP$36,[2]Consolidated!O$1)</f>
        <v>0.8</v>
      </c>
      <c r="P24" s="33">
        <f>VLOOKUP($B24&amp;$C24,'[1]FC3 Prod'!$A$6:$BP$36,[2]Consolidated!P$1)</f>
        <v>8</v>
      </c>
      <c r="Q24" s="29">
        <f>VLOOKUP($B24&amp;$C24,'[1]FC3 Prod'!$A$6:$BP$36,[2]Consolidated!Q$1)</f>
        <v>80.308000000000007</v>
      </c>
      <c r="R24" s="29">
        <f>VLOOKUP($B24&amp;$C24,'[1]FC3 Prod'!$A$6:$BP$36,[2]Consolidated!R$1)</f>
        <v>24.544999999999998</v>
      </c>
      <c r="S24" s="34">
        <f>VLOOKUP($B24&amp;$C24,'[1]FC3 Prod'!$A$6:$BP$36,[2]Consolidated!S$1)</f>
        <v>38</v>
      </c>
      <c r="T24" s="34">
        <f>VLOOKUP($B24&amp;$C24,'[1]FC3 Prod'!$A$6:$BP$36,[2]Consolidated!T$1)</f>
        <v>22</v>
      </c>
      <c r="U24" s="34">
        <f>VLOOKUP($B24&amp;$C24,'[1]FC3 Prod'!$A$6:$BP$36,[2]Consolidated!U$1)</f>
        <v>15</v>
      </c>
      <c r="V24" s="34">
        <f>VLOOKUP($B24&amp;$C24,'[1]FC3 Prod'!$A$6:$BP$36,[2]Consolidated!V$1)</f>
        <v>75</v>
      </c>
      <c r="W24" s="35">
        <f>VLOOKUP($B24&amp;$C24,'[1]FC3 Prod'!$A$6:$BP$36,[2]Consolidated!W$1)</f>
        <v>2.1313163481953294</v>
      </c>
      <c r="X24" s="35">
        <f>VLOOKUP($B24&amp;$C24,'[1]FC3 Prod'!$A$6:$BP$36,[2]Consolidated!X$1)</f>
        <v>39.134999999999998</v>
      </c>
      <c r="Y24" s="36">
        <f>VLOOKUP($B24&amp;$C24,'[1]FC3 Prod'!$A$6:$BP$36,[2]Consolidated!Y$1)</f>
        <v>0.96282100421617478</v>
      </c>
      <c r="Z24" s="37" t="str">
        <f>VLOOKUP($B24&amp;$C24,'[1]FC3 Prod'!$A$6:$BP$36,[2]Consolidated!Z$1)</f>
        <v>60/15</v>
      </c>
      <c r="AA24" s="31">
        <f>VLOOKUP($B24&amp;$C24,'[1]FC3 Prod'!$A$6:$BP$36,[2]Consolidated!AA$1)</f>
        <v>59.763750000000009</v>
      </c>
      <c r="AB24" s="31">
        <f>VLOOKUP($B24&amp;$C24,'[1]FC3 Prod'!$A$6:$BP$36,[2]Consolidated!AB$1)</f>
        <v>14.999999999999998</v>
      </c>
      <c r="AC24" s="31" t="e">
        <f>VLOOKUP($B24&amp;$C24,'[1]FC3 Prod'!$A$6:$BP$36,[2]Consolidated!AC$1)</f>
        <v>#REF!</v>
      </c>
      <c r="AD24" s="38">
        <f>VLOOKUP($B24&amp;$C24,'[1]FC3 Prod'!$A$6:$BP$36,[2]Consolidated!AD$1)</f>
        <v>632.42757197452238</v>
      </c>
      <c r="AE24" s="38">
        <f>VLOOKUP($B24&amp;$C24,'[1]FC3 Prod'!$A$6:$BP$36,[2]Consolidated!AE$1)</f>
        <v>692.38236977972406</v>
      </c>
      <c r="AF24" s="39">
        <f>VLOOKUP($B24&amp;$C24,'[1]FC3 Prod'!$A$6:$BP$36,[2]Consolidated!AF$1)</f>
        <v>0.94498963436097028</v>
      </c>
      <c r="AG24" s="39">
        <f>VLOOKUP($B24&amp;$C24,'[1]FC3 Prod'!$A$6:$BP$36,[2]Consolidated!AG$1)</f>
        <v>0.86316105967593271</v>
      </c>
      <c r="AH24" s="34">
        <f>VLOOKUP($B24&amp;$C24,'[1]FC3 Prod'!$A$6:$BP$36,[2]Consolidated!AH$1)</f>
        <v>333.83917197452234</v>
      </c>
      <c r="AI24" s="33">
        <f>VLOOKUP($B24&amp;$C24,'[1]FC3 Prod'!$A$6:$BP$36,[2]Consolidated!AI$1)</f>
        <v>390.21358811040335</v>
      </c>
      <c r="AJ24" s="39">
        <f>VLOOKUP($B24&amp;$C24,'[1]FC3 Prod'!$A$6:$BP$36,[2]Consolidated!AJ$1)</f>
        <v>0.55537786296075309</v>
      </c>
      <c r="AK24" s="39">
        <f>VLOOKUP($B24&amp;$C24,'[1]FC3 Prod'!$A$6:$BP$36,[2]Consolidated!AK$1)</f>
        <v>0.45236894121678889</v>
      </c>
      <c r="AL24" s="40" t="str">
        <f>VLOOKUP($B24&amp;$C24,'[1]FC3 Prod'!$A$6:$BP$36,[2]Consolidated!AL$1)</f>
        <v>25/50</v>
      </c>
      <c r="AM24" s="41">
        <f>VLOOKUP($B24&amp;$C24,'[1]FC3 Prod'!$A$6:$BP$36,[2]Consolidated!AM$1)</f>
        <v>3.4766454352441613E-2</v>
      </c>
      <c r="AN24" s="42">
        <f>VLOOKUP($B24&amp;$C24,'[1]FC3 Prod'!$A$6:$BP$36,[2]Consolidated!AN$1)</f>
        <v>147.1</v>
      </c>
      <c r="AO24" s="43">
        <f>VLOOKUP($B24&amp;$C24,'[1]FC3 Prod'!$A$6:$BP$36,[2]Consolidated!AO$1)</f>
        <v>6.5039999999999996</v>
      </c>
      <c r="AP24" s="44">
        <f>VLOOKUP($B24&amp;$C24,'[1]FC3 Prod'!$A$6:$BP$36,[2]Consolidated!AP$1)</f>
        <v>4.0765392781316345</v>
      </c>
      <c r="AQ24" s="44">
        <f>VLOOKUP($B24&amp;$C24,'[1]FC3 Prod'!$A$6:$BP$36,[2]Consolidated!AQ$1)</f>
        <v>29.210717021374265</v>
      </c>
      <c r="AR24" s="45">
        <f>VLOOKUP($B24&amp;$C24,'[1]FC3 Prod'!$A$6:$BP$36,[2]Consolidated!AR$1)</f>
        <v>1.0047814207650274</v>
      </c>
      <c r="AS24" s="46">
        <f>VLOOKUP($B24&amp;$C24,'[1]FC3 Prod'!$A$6:$BP$36,[2]Consolidated!AS$1)</f>
        <v>2.2000000000000002</v>
      </c>
      <c r="AT24" s="29">
        <f>VLOOKUP($B24&amp;$C24,'[1]FC3 Prod'!$A$6:$BP$36,[2]Consolidated!AT$1)</f>
        <v>0.79685920055440063</v>
      </c>
      <c r="AU24" s="34">
        <f>VLOOKUP($B24&amp;$C24,'[1]FC3 Prod'!$A$6:$BP$36,[2]Consolidated!AU$1)</f>
        <v>488.1967592592593</v>
      </c>
      <c r="AV24" s="34">
        <f>VLOOKUP($B24&amp;$C24,'[1]FC3 Prod'!$A$6:$BP$36,[2]Consolidated!AV$1)</f>
        <v>308.33333333333331</v>
      </c>
      <c r="AW24" s="47">
        <f>VLOOKUP($B24&amp;$C24,'[1]FC3 Prod'!$A$6:$BP$36,[2]Consolidated!AW$1)</f>
        <v>24652.725583864118</v>
      </c>
      <c r="AX24" s="47">
        <f>VLOOKUP($B24&amp;$C24,'[1]FC3 Prod'!$A$6:$BP$36,[2]Consolidated!AX$1)</f>
        <v>7709.6411889596611</v>
      </c>
      <c r="AY24" s="48">
        <f>VLOOKUP($B24&amp;$C24,'[1]FC3 Prod'!$A$6:$BP$36,[2]Consolidated!AY$1)</f>
        <v>789.64968152866243</v>
      </c>
      <c r="AZ24" s="47">
        <f>VLOOKUP($B24&amp;$C24,'[1]FC3 Prod'!$A$6:$BP$36,[2]Consolidated!AZ$1)</f>
        <v>1843.873407643312</v>
      </c>
      <c r="BA24" s="47">
        <f>VLOOKUP($B24&amp;$C24,'[1]FC3 Prod'!$A$6:$BP$36,[2]Consolidated!BA$1)</f>
        <v>23847.754777070062</v>
      </c>
      <c r="BB24" s="47">
        <f>VLOOKUP($B24&amp;$C24,'[1]FC3 Prod'!$A$6:$BP$36,[2]Consolidated!BB$1)</f>
        <v>588.43644639065815</v>
      </c>
      <c r="BC24" s="47">
        <f>VLOOKUP($B24&amp;$C24,'[1]FC3 Prod'!$A$6:$BP$36,[2]Consolidated!BC$1)</f>
        <v>7745.424628450106</v>
      </c>
      <c r="BD24" s="49">
        <f>VLOOKUP($B24&amp;$C24,'[1]FC3 Prod'!$A$6:$BP$36,[2]Consolidated!BD$1)</f>
        <v>67177.505713906576</v>
      </c>
      <c r="BE24" s="47">
        <f>VLOOKUP($B24&amp;$C24,'[1]FC3 Prod'!$A$6:$BP$36,[2]Consolidated!BE$1)</f>
        <v>26901.514198513803</v>
      </c>
      <c r="BF24" s="47">
        <f>VLOOKUP($B24&amp;$C24,'[1]FC3 Prod'!$A$6:$BP$36,[2]Consolidated!BF$1)</f>
        <v>9118.0104564755839</v>
      </c>
      <c r="BG24" s="50">
        <f>VLOOKUP($B24&amp;$C24,'[1]FC3 Prod'!$A$6:$BP$36,[2]Consolidated!BG$1)</f>
        <v>1074.6974522292994</v>
      </c>
      <c r="BH24" s="50">
        <f>VLOOKUP($B24&amp;$C24,'[1]FC3 Prod'!$A$6:$BP$36,[2]Consolidated!BH$1)</f>
        <v>627.85850291932059</v>
      </c>
      <c r="BI24" s="50">
        <f>VLOOKUP($B24&amp;$C24,'[1]FC3 Prod'!$A$6:$BP$36,[2]Consolidated!BI$1)</f>
        <v>71159.133423301479</v>
      </c>
      <c r="BJ24" s="37" t="e">
        <f>VLOOKUP($B24&amp;$C24,'[1]FC3 Prod'!$A$6:$BP$36,[2]Consolidated!BJ$1)</f>
        <v>#REF!</v>
      </c>
      <c r="BK24" s="37" t="e">
        <f>VLOOKUP($B24&amp;$C24,'[1]FC3 Prod'!$A$6:$BP$36,[2]Consolidated!BK$1)</f>
        <v>#REF!</v>
      </c>
      <c r="BL24" s="37" t="e">
        <f>VLOOKUP($B24&amp;$C24,'[1]FC3 Prod'!$A$6:$BP$36,[2]Consolidated!BL$1)</f>
        <v>#REF!</v>
      </c>
      <c r="BM24" s="37" t="e">
        <f>VLOOKUP($B24&amp;$C24,'[1]FC3 Prod'!$A$6:$BP$36,[2]Consolidated!BM$1)</f>
        <v>#REF!</v>
      </c>
      <c r="BN24" s="37" t="e">
        <f>VLOOKUP($B24&amp;$C24,'[1]FC3 Prod'!$A$6:$BP$36,[2]Consolidated!BN$1)</f>
        <v>#REF!</v>
      </c>
      <c r="BO24" s="37" t="e">
        <f>VLOOKUP($B24&amp;$C24,'[1]FC3 Prod'!$A$6:$BP$36,[2]Consolidated!BO$1)</f>
        <v>#REF!</v>
      </c>
      <c r="BP24" s="37" t="str">
        <f>VLOOKUP($B24&amp;$C24,'[1]FC3 Prod'!$A$6:$BP$36,[2]Consolidated!BP$1)</f>
        <v>NIL</v>
      </c>
      <c r="BQ24" s="51" t="e">
        <f>VLOOKUP($B24&amp;$C24,'[1]FC3 Prod'!$A$6:$BP$36,[2]Consolidated!BQ$1)</f>
        <v>#REF!</v>
      </c>
      <c r="BR24" s="51">
        <f>VLOOKUP($B24&amp;$C24,'[1]FC3 Prod'!$A$6:$BQ$36,[2]Consolidated!BR$1)</f>
        <v>60369</v>
      </c>
      <c r="BS24" s="52">
        <f t="shared" si="24"/>
        <v>60941.97688428875</v>
      </c>
      <c r="BT24" s="32">
        <f t="shared" ref="BT24:BT25" si="26">BR24-BS24</f>
        <v>-572.97688428874972</v>
      </c>
      <c r="BU24" s="37">
        <f t="shared" ref="BU24:BU25" si="27">E24*BT24</f>
        <v>-21589.769000000088</v>
      </c>
      <c r="BV24" s="53" t="s">
        <v>130</v>
      </c>
      <c r="BW24" s="54" cm="1">
        <f t="array" ref="BW24">IFERROR(VLOOKUP($A24,TRANSPOSE('[1]Fur 3 PLC'!$AS$1:$BX$38),8,0),0)</f>
        <v>906.26326963906592</v>
      </c>
      <c r="BX24" s="54" cm="1">
        <f t="array" ref="BX24">IFERROR(VLOOKUP($A24,TRANSPOSE('[1]Fur 3 PLC'!$AS$1:$BX$38),30,0),0)</f>
        <v>0</v>
      </c>
      <c r="BY24" s="54" cm="1">
        <f t="array" ref="BY24">IFERROR(VLOOKUP($A24,TRANSPOSE('[1]Fur 3 PLC'!$AS$1:$BX$38),14,0),0)</f>
        <v>0</v>
      </c>
      <c r="BZ24" s="54" cm="1">
        <f t="array" ref="BZ24">IFERROR(VLOOKUP($A24,TRANSPOSE('[1]Fur 3 PLC'!$AS$1:$BX$38),16,0),0)</f>
        <v>0</v>
      </c>
      <c r="CA24" s="54" cm="1">
        <f t="array" ref="CA24">IFERROR(VLOOKUP($A24,TRANSPOSE('[1]Fur 3 PLC'!$AS$1:$BX$38),9,0),0)</f>
        <v>418.15286624203821</v>
      </c>
      <c r="CB24" s="54" cm="1">
        <f t="array" ref="CB24">IFERROR(VLOOKUP($A24,TRANSPOSE('[1]Fur 3 PLC'!$AS$1:$BX$38),17,0),0)</f>
        <v>0</v>
      </c>
      <c r="CC24" s="54" cm="1">
        <f t="array" ref="CC24">IFERROR(VLOOKUP($A24,TRANSPOSE('[1]Fur 3 PLC'!$AS$1:$BX$38),20,0),0)</f>
        <v>49.761146496815286</v>
      </c>
      <c r="CD24" s="54" cm="1">
        <f t="array" ref="CD24">IFERROR(VLOOKUP($A24,TRANSPOSE('[1]Fur 3 PLC'!$AS$1:$BX$38),28,0),0)</f>
        <v>0</v>
      </c>
      <c r="CE24" s="54" cm="1">
        <f t="array" ref="CE24">IFERROR(VLOOKUP($A24,TRANSPOSE('[1]Fur 3 PLC'!$AS$1:$BX$38),13,0),0)</f>
        <v>0</v>
      </c>
      <c r="CF24" s="54" cm="1">
        <f t="array" ref="CF24">IFERROR(VLOOKUP($A24,TRANSPOSE('[1]Fur 3 PLC'!$AS$1:$BX$38),37,0),0)</f>
        <v>398.03609341825904</v>
      </c>
      <c r="CG24" s="54" cm="1">
        <f t="array" ref="CG24">IFERROR(VLOOKUP($A24,TRANSPOSE('[1]Fur 3 PLC'!$AS$1:$BX$38),6,0),0)</f>
        <v>0</v>
      </c>
      <c r="CH24" s="54" cm="1">
        <f t="array" ref="CH24">IFERROR(VLOOKUP($A24,TRANSPOSE('[1]Fur 3 PLC'!$AS$1:$BX$38),21,0),0)</f>
        <v>0</v>
      </c>
      <c r="CI24" s="54" cm="1">
        <f t="array" ref="CI24">IFERROR(VLOOKUP($A24,TRANSPOSE('[1]Fur 3 PLC'!$AS$1:$BX$38),12,0),0)</f>
        <v>0</v>
      </c>
      <c r="CJ24" s="54" cm="1">
        <f t="array" ref="CJ24">IFERROR(VLOOKUP($A24,TRANSPOSE('[1]Fur 3 PLC'!$AS$1:$BX$38),25,0),0)</f>
        <v>0</v>
      </c>
      <c r="CK24" s="54" cm="1">
        <f t="array" ref="CK24">IFERROR(VLOOKUP($A24,TRANSPOSE('[1]Fur 3 PLC'!$AS$1:$BX$38),26,0),0)</f>
        <v>371.04564755838641</v>
      </c>
      <c r="CL24" s="54" cm="1">
        <f t="array" ref="CL24">IFERROR(VLOOKUP($A24,TRANSPOSE('[1]Fur 3 PLC'!$AS$1:$BX$38),27,0),0)</f>
        <v>153.23779193205945</v>
      </c>
      <c r="CM24" s="54" cm="1">
        <f t="array" ref="CM24">IFERROR(VLOOKUP($A24,TRANSPOSE('[1]Fur 3 PLC'!$AS$1:$BX$38),22,0),0)</f>
        <v>0</v>
      </c>
      <c r="CN24" s="54"/>
      <c r="CO24" s="54" cm="1">
        <f t="array" ref="CO24">IFERROR(VLOOKUP($A24,TRANSPOSE('[1]Fur 3 PLC'!$AS$1:$BX$38),29,0),0)</f>
        <v>127.12314225053079</v>
      </c>
      <c r="CP24" s="54" cm="1">
        <f t="array" ref="CP24">IFERROR(VLOOKUP($A24,TRANSPOSE('[1]Fur 3 PLC'!$AS$1:$BX$38),10,0),0)</f>
        <v>0</v>
      </c>
      <c r="CQ24" s="54" cm="1">
        <f t="array" ref="CQ24">IFERROR(VLOOKUP($A24,TRANSPOSE('[1]Fur 3 PLC'!$AS$1:$BX$38),7,0),0)</f>
        <v>238.98619957537156</v>
      </c>
      <c r="CR24" s="54" cm="1">
        <f t="array" ref="CR24">IFERROR(VLOOKUP($A24,TRANSPOSE('[1]Fur 3 PLC'!$AS$1:$BX$38),35,0),0)</f>
        <v>0</v>
      </c>
      <c r="CS24" s="54" cm="1">
        <f t="array" ref="CS24">IFERROR(VLOOKUP($A24,TRANSPOSE('[1]Fur 3 PLC'!$AS$1:$BX$38),11,0),0)</f>
        <v>0</v>
      </c>
      <c r="CT24" s="54" cm="1">
        <f t="array" ref="CT24">IFERROR(VLOOKUP($A24,TRANSPOSE('[1]Fur 3 PLC'!$AS$1:$BX$38),19,0),0)</f>
        <v>0</v>
      </c>
      <c r="CU24" s="54" cm="1">
        <f t="array" ref="CU24">IFERROR(VLOOKUP($A24,TRANSPOSE('[1]Fur 3 PLC'!$AS$1:$BX$38),18,0),0)</f>
        <v>388.72080679405519</v>
      </c>
      <c r="CV24" s="54" cm="1">
        <f t="array" ref="CV24">IFERROR(VLOOKUP($A24,TRANSPOSE('[1]Fur 3 PLC'!$AR$1:$BV$38),15,0),0)</f>
        <v>368.41825902335455</v>
      </c>
      <c r="CW24" s="54" cm="1">
        <f t="array" ref="CW24">IFERROR(VLOOKUP($A24,TRANSPOSE('[1]Fur 3 PLC'!$CK$1:$DO$38),8,0),0)</f>
        <v>455.30666666666667</v>
      </c>
      <c r="CX24" s="54" cm="1">
        <f t="array" ref="CX24">IFERROR(VLOOKUP($A24,TRANSPOSE('[1]Fur 3 PLC'!$CK$1:$DO$38),30,0),0)</f>
        <v>0</v>
      </c>
      <c r="CY24" s="54" cm="1">
        <f t="array" ref="CY24">IFERROR(VLOOKUP($A24,TRANSPOSE('[1]Fur 3 PLC'!$CK$1:$DO$38),14,0),0)</f>
        <v>0</v>
      </c>
      <c r="CZ24" s="54" cm="1">
        <f t="array" ref="CZ24">IFERROR(VLOOKUP($A24,TRANSPOSE('[1]Fur 3 PLC'!$CK$1:$DO$38),16,0),0)</f>
        <v>0</v>
      </c>
      <c r="DA24" s="54" cm="1">
        <f t="array" ref="DA24">IFERROR(VLOOKUP($A24,TRANSPOSE('[1]Fur 3 PLC'!$CK$1:$DO$38),9,0),0)</f>
        <v>210.08</v>
      </c>
      <c r="DB24" s="55" cm="1">
        <f t="array" ref="DB24">IFERROR(VLOOKUP($A24,TRANSPOSE('[1]Fur 3 PLC'!$CK$1:$DO$38),17,0),0)</f>
        <v>0</v>
      </c>
      <c r="DC24" s="55" cm="1">
        <f t="array" ref="DC24">IFERROR(VLOOKUP($A24,TRANSPOSE('[1]Fur 3 PLC'!$CK$1:$DO$38),20,0),0)</f>
        <v>25</v>
      </c>
      <c r="DD24" s="54" cm="1">
        <f t="array" ref="DD24">IFERROR(VLOOKUP($A24,TRANSPOSE('[1]Fur 3 PLC'!$CK$1:$DO$38),28,0),0)</f>
        <v>0</v>
      </c>
      <c r="DE24" s="54" cm="1">
        <f t="array" ref="DE24">IFERROR(VLOOKUP($A24,TRANSPOSE('[1]Fur 3 PLC'!$CK$1:$DO$38),13,0),0)</f>
        <v>0</v>
      </c>
      <c r="DF24" s="54" cm="1">
        <f t="array" ref="DF24">IFERROR(VLOOKUP($A24,TRANSPOSE('[1]Fur 3 PLC'!$CK$1:$DO$38),37,0),0)</f>
        <v>199.97333333333333</v>
      </c>
      <c r="DG24" s="54" cm="1">
        <f t="array" ref="DG24">IFERROR(VLOOKUP($A24,TRANSPOSE('[1]Fur 3 PLC'!$CK$1:$DO$38),6,0),0)</f>
        <v>0</v>
      </c>
      <c r="DH24" s="54" cm="1">
        <f t="array" ref="DH24">IFERROR(VLOOKUP($A24,TRANSPOSE('[1]Fur 3 PLC'!$CK$1:$DO$38),21,0),0)</f>
        <v>0</v>
      </c>
      <c r="DI24" s="54" cm="1">
        <f t="array" ref="DI24">IFERROR(VLOOKUP($A24,TRANSPOSE('[1]Fur 3 PLC'!$CK$1:$DO$38),12,0),0)</f>
        <v>0</v>
      </c>
      <c r="DJ24" s="54" cm="1">
        <f t="array" ref="DJ24">IFERROR(VLOOKUP($A24,TRANSPOSE('[1]Fur 3 PLC'!$CK$1:$DO$38),25,0),0)</f>
        <v>0</v>
      </c>
      <c r="DK24" s="54" cm="1">
        <f t="array" ref="DK24">IFERROR(VLOOKUP($A24,TRANSPOSE('[1]Fur 3 PLC'!$CK$1:$DO$38),26,0),0)</f>
        <v>186.41333333333333</v>
      </c>
      <c r="DL24" s="54" cm="1">
        <f t="array" ref="DL24">IFERROR(VLOOKUP($A24,TRANSPOSE('[1]Fur 3 PLC'!$CK$1:$DO$38),27,0),0)</f>
        <v>76.986666666666665</v>
      </c>
      <c r="DM24" s="54" cm="1">
        <f t="array" ref="DM24">IFERROR(VLOOKUP($A24,TRANSPOSE('[1]Fur 3 PLC'!$CK$1:$DO$38),22,0),0)</f>
        <v>0</v>
      </c>
      <c r="DN24" s="54" cm="1">
        <f t="array" ref="DN24">IFERROR(VLOOKUP($A24,TRANSPOSE('[1]Fur 3 PLC'!$CK$1:$DO$38),19,0),0)</f>
        <v>0</v>
      </c>
      <c r="DO24" s="54" cm="1">
        <f t="array" ref="DO24">IFERROR(VLOOKUP($A24,TRANSPOSE('[1]Fur 3 PLC'!$CK$1:$DO$38),29,0),0)</f>
        <v>63.866666666666667</v>
      </c>
      <c r="DP24" s="54" cm="1">
        <f t="array" ref="DP24">IFERROR(VLOOKUP($A24,TRANSPOSE('[1]Fur 3 PLC'!$CK$1:$DO$38),10,0),0)</f>
        <v>0</v>
      </c>
      <c r="DQ24" s="54" cm="1">
        <f t="array" ref="DQ24">IFERROR(VLOOKUP($A24,TRANSPOSE('[1]Fur 3 PLC'!$CK$1:$DO$38),7,0),0)</f>
        <v>120.06666666666668</v>
      </c>
      <c r="DR24" s="54" cm="1">
        <f t="array" ref="DR24">IFERROR(VLOOKUP($A24,TRANSPOSE('[1]Fur 3 PLC'!$CK$1:$DO$38),35,0),0)</f>
        <v>0</v>
      </c>
      <c r="DS24" s="54" cm="1">
        <f t="array" ref="DS24">IFERROR(VLOOKUP($A24,TRANSPOSE('[1]Fur 3 PLC'!$CK$1:$DO$38),11,0),0)</f>
        <v>0</v>
      </c>
      <c r="DT24" s="54" cm="1">
        <f t="array" ref="DT24">IFERROR(VLOOKUP($A24,TRANSPOSE('[1]Fur 3 PLC'!$CK$1:$DO$38),19,0),0)</f>
        <v>0</v>
      </c>
      <c r="DU24" s="54" cm="1">
        <f t="array" ref="DU24">IFERROR(VLOOKUP($A24,TRANSPOSE('[1]Fur 3 PLC'!$CK$1:$DO$38),18,0),0)</f>
        <v>195.29333333333335</v>
      </c>
      <c r="DV24" s="54" cm="1">
        <f t="array" ref="DV24">IFERROR(VLOOKUP($A24,TRANSPOSE('[1]Fur 3 PLC'!$CK$1:$DO$38),15,0),0)</f>
        <v>185.09333333333333</v>
      </c>
      <c r="DW24" t="str">
        <f t="shared" si="25"/>
        <v>Dec-25</v>
      </c>
    </row>
    <row r="25" spans="1:127" x14ac:dyDescent="0.3">
      <c r="A25" s="28" t="str">
        <f t="shared" si="1"/>
        <v>F445997</v>
      </c>
      <c r="B25" s="29" t="s">
        <v>29</v>
      </c>
      <c r="C25" s="30">
        <f>C24</f>
        <v>45997</v>
      </c>
      <c r="D25" s="29" t="str">
        <f>VLOOKUP($B25&amp;$C25,'[1]FC4 Prod'!$A$6:$BP$36,[2]Consolidated!D$1)</f>
        <v>Mr.Ganesh Ghosh Ji</v>
      </c>
      <c r="E25" s="29">
        <f>VLOOKUP($B25&amp;$C25,'[1]FC4 Prod'!$A$6:$BP$36,[2]Consolidated!E$1)</f>
        <v>50.95</v>
      </c>
      <c r="F25" s="31">
        <f>VLOOKUP($B25&amp;$C25,'[1]FC4 Prod'!$A$6:$BP$36,[2]Consolidated!F$1)</f>
        <v>0.40999999999999659</v>
      </c>
      <c r="G25" s="32">
        <f>VLOOKUP($B25&amp;$C25,'[1]FC4 Prod'!$A$6:$BP$36,[2]Consolidated!G$1)</f>
        <v>51.36</v>
      </c>
      <c r="H25" s="32">
        <f>VLOOKUP($B25&amp;$C25,'[1]FC4 Prod'!$A$6:$BP$36,[2]Consolidated!H$1)</f>
        <v>21.224999999999998</v>
      </c>
      <c r="I25" s="32">
        <f>VLOOKUP($B25&amp;$C25,'[1]FC4 Prod'!$A$6:$BP$36,[2]Consolidated!I$1)</f>
        <v>10.66</v>
      </c>
      <c r="J25" s="32">
        <f>VLOOKUP($B25&amp;$C25,'[1]FC4 Prod'!$A$6:$BP$36,[2]Consolidated!J$1)</f>
        <v>40.58</v>
      </c>
      <c r="K25" s="32">
        <f>VLOOKUP($B25&amp;$C25,'[1]FC4 Prod'!$A$6:$BP$36,[2]Consolidated!K$1)</f>
        <v>1.36</v>
      </c>
      <c r="L25" s="32">
        <f>VLOOKUP($B25&amp;$C25,'[1]FC4 Prod'!$A$6:$BP$36,[2]Consolidated!L$1)</f>
        <v>22.56</v>
      </c>
      <c r="M25" s="32">
        <f>VLOOKUP($B25&amp;$C25,'[1]FC4 Prod'!$A$6:$BP$36,[2]Consolidated!M$1)</f>
        <v>4.5999999999999996</v>
      </c>
      <c r="N25" s="32">
        <f>VLOOKUP($B25&amp;$C25,'[1]FC4 Prod'!$A$6:$BP$36,[2]Consolidated!N$1)</f>
        <v>17.21</v>
      </c>
      <c r="O25" s="32">
        <f>VLOOKUP($B25&amp;$C25,'[1]FC4 Prod'!$A$6:$BP$36,[2]Consolidated!O$1)</f>
        <v>0.67</v>
      </c>
      <c r="P25" s="33">
        <f>VLOOKUP($B25&amp;$C25,'[1]FC4 Prod'!$A$6:$BP$36,[2]Consolidated!P$1)</f>
        <v>8</v>
      </c>
      <c r="Q25" s="29">
        <f>VLOOKUP($B25&amp;$C25,'[1]FC4 Prod'!$A$6:$BP$36,[2]Consolidated!Q$1)</f>
        <v>91.14500000000001</v>
      </c>
      <c r="R25" s="29">
        <f>VLOOKUP($B25&amp;$C25,'[1]FC4 Prod'!$A$6:$BP$36,[2]Consolidated!R$1)</f>
        <v>29.344000000000001</v>
      </c>
      <c r="S25" s="34">
        <f>VLOOKUP($B25&amp;$C25,'[1]FC4 Prod'!$A$6:$BP$36,[2]Consolidated!S$1)</f>
        <v>40</v>
      </c>
      <c r="T25" s="34">
        <f>VLOOKUP($B25&amp;$C25,'[1]FC4 Prod'!$A$6:$BP$36,[2]Consolidated!T$1)</f>
        <v>30</v>
      </c>
      <c r="U25" s="34">
        <f>VLOOKUP($B25&amp;$C25,'[1]FC4 Prod'!$A$6:$BP$36,[2]Consolidated!U$1)</f>
        <v>23</v>
      </c>
      <c r="V25" s="34">
        <f>VLOOKUP($B25&amp;$C25,'[1]FC4 Prod'!$A$6:$BP$36,[2]Consolidated!V$1)</f>
        <v>93</v>
      </c>
      <c r="W25" s="35">
        <f>VLOOKUP($B25&amp;$C25,'[1]FC4 Prod'!$A$6:$BP$36,[2]Consolidated!W$1)</f>
        <v>1.7889106967615309</v>
      </c>
      <c r="X25" s="35">
        <f>VLOOKUP($B25&amp;$C25,'[1]FC4 Prod'!$A$6:$BP$36,[2]Consolidated!X$1)</f>
        <v>52.949999999999996</v>
      </c>
      <c r="Y25" s="36">
        <f>VLOOKUP($B25&amp;$C25,'[1]FC4 Prod'!$A$6:$BP$36,[2]Consolidated!Y$1)</f>
        <v>0.96222851746931082</v>
      </c>
      <c r="Z25" s="37" t="str">
        <f>VLOOKUP($B25&amp;$C25,'[1]FC4 Prod'!$A$6:$BP$36,[2]Consolidated!Z$1)</f>
        <v>40/8</v>
      </c>
      <c r="AA25" s="31">
        <f>VLOOKUP($B25&amp;$C25,'[1]FC4 Prod'!$A$6:$BP$36,[2]Consolidated!AA$1)</f>
        <v>38.790000000000006</v>
      </c>
      <c r="AB25" s="31">
        <f>VLOOKUP($B25&amp;$C25,'[1]FC4 Prod'!$A$6:$BP$36,[2]Consolidated!AB$1)</f>
        <v>7.1400000000000006</v>
      </c>
      <c r="AC25" s="31">
        <f>VLOOKUP($B25&amp;$C25,'[1]FC4 Prod'!$A$6:$BP$36,[2]Consolidated!AC$1)</f>
        <v>0</v>
      </c>
      <c r="AD25" s="38">
        <f>VLOOKUP($B25&amp;$C25,'[1]FC4 Prod'!$A$6:$BP$36,[2]Consolidated!AD$1)</f>
        <v>433.03973185475957</v>
      </c>
      <c r="AE25" s="38">
        <f>VLOOKUP($B25&amp;$C25,'[1]FC4 Prod'!$A$6:$BP$36,[2]Consolidated!AE$1)</f>
        <v>419.44939952698724</v>
      </c>
      <c r="AF25" s="39">
        <f>VLOOKUP($B25&amp;$C25,'[1]FC4 Prod'!$A$6:$BP$36,[2]Consolidated!AF$1)</f>
        <v>0.8957607615785721</v>
      </c>
      <c r="AG25" s="39">
        <f>VLOOKUP($B25&amp;$C25,'[1]FC4 Prod'!$A$6:$BP$36,[2]Consolidated!AG$1)</f>
        <v>0.92478377710740456</v>
      </c>
      <c r="AH25" s="34">
        <f>VLOOKUP($B25&amp;$C25,'[1]FC4 Prod'!$A$6:$BP$36,[2]Consolidated!AH$1)</f>
        <v>244.14430814524047</v>
      </c>
      <c r="AI25" s="33">
        <f>VLOOKUP($B25&amp;$C25,'[1]FC4 Prod'!$A$6:$BP$36,[2]Consolidated!AI$1)</f>
        <v>315.13950186457311</v>
      </c>
      <c r="AJ25" s="39">
        <f>VLOOKUP($B25&amp;$C25,'[1]FC4 Prod'!$A$6:$BP$36,[2]Consolidated!AJ$1)</f>
        <v>0.5705177163960764</v>
      </c>
      <c r="AK25" s="39">
        <f>VLOOKUP($B25&amp;$C25,'[1]FC4 Prod'!$A$6:$BP$36,[2]Consolidated!AK$1)</f>
        <v>0.68489256227342676</v>
      </c>
      <c r="AL25" s="40" t="str">
        <f>VLOOKUP($B25&amp;$C25,'[1]FC4 Prod'!$A$6:$BP$36,[2]Consolidated!AL$1)</f>
        <v>25/50</v>
      </c>
      <c r="AM25" s="41">
        <f>VLOOKUP($B25&amp;$C25,'[1]FC4 Prod'!$A$6:$BP$36,[2]Consolidated!AM$1)</f>
        <v>4.7497546614327771E-2</v>
      </c>
      <c r="AN25" s="42">
        <f>VLOOKUP($B25&amp;$C25,'[1]FC4 Prod'!$A$6:$BP$36,[2]Consolidated!AN$1)</f>
        <v>147.19999999999999</v>
      </c>
      <c r="AO25" s="43">
        <f>VLOOKUP($B25&amp;$C25,'[1]FC4 Prod'!$A$6:$BP$36,[2]Consolidated!AO$1)</f>
        <v>6.5039999999999996</v>
      </c>
      <c r="AP25" s="44">
        <f>VLOOKUP($B25&amp;$C25,'[1]FC4 Prod'!$A$6:$BP$36,[2]Consolidated!AP$1)</f>
        <v>3.016761530912659</v>
      </c>
      <c r="AQ25" s="44">
        <f>VLOOKUP($B25&amp;$C25,'[1]FC4 Prod'!$A$6:$BP$36,[2]Consolidated!AQ$1)</f>
        <v>22.116493915801673</v>
      </c>
      <c r="AR25" s="45">
        <f>VLOOKUP($B25&amp;$C25,'[1]FC4 Prod'!$A$6:$BP$36,[2]Consolidated!AR$1)</f>
        <v>1.0054644808743169</v>
      </c>
      <c r="AS25" s="46">
        <f>VLOOKUP($B25&amp;$C25,'[1]FC4 Prod'!$A$6:$BP$36,[2]Consolidated!AS$1)</f>
        <v>2.1333333333333333</v>
      </c>
      <c r="AT25" s="29">
        <f>VLOOKUP($B25&amp;$C25,'[1]FC4 Prod'!$A$6:$BP$36,[2]Consolidated!AT$1)</f>
        <v>0.7975163460366036</v>
      </c>
      <c r="AU25" s="34">
        <f>VLOOKUP($B25&amp;$C25,'[1]FC4 Prod'!$A$6:$BP$36,[2]Consolidated!AU$1)</f>
        <v>544.08101851851859</v>
      </c>
      <c r="AV25" s="34">
        <f>VLOOKUP($B25&amp;$C25,'[1]FC4 Prod'!$A$6:$BP$36,[2]Consolidated!AV$1)</f>
        <v>175</v>
      </c>
      <c r="AW25" s="47">
        <f>VLOOKUP($B25&amp;$C25,'[1]FC4 Prod'!$A$6:$BP$36,[2]Consolidated!AW$1)</f>
        <v>16026.194700686945</v>
      </c>
      <c r="AX25" s="47">
        <f>VLOOKUP($B25&amp;$C25,'[1]FC4 Prod'!$A$6:$BP$36,[2]Consolidated!AX$1)</f>
        <v>4717.0351324828262</v>
      </c>
      <c r="AY25" s="48">
        <f>VLOOKUP($B25&amp;$C25,'[1]FC4 Prod'!$A$6:$BP$36,[2]Consolidated!AY$1)</f>
        <v>464.74975466143275</v>
      </c>
      <c r="AZ25" s="47">
        <f>VLOOKUP($B25&amp;$C25,'[1]FC4 Prod'!$A$6:$BP$36,[2]Consolidated!AZ$1)</f>
        <v>899.94406280667317</v>
      </c>
      <c r="BA25" s="47">
        <f>VLOOKUP($B25&amp;$C25,'[1]FC4 Prod'!$A$6:$BP$36,[2]Consolidated!BA$1)</f>
        <v>17648.054955839056</v>
      </c>
      <c r="BB25" s="47">
        <f>VLOOKUP($B25&amp;$C25,'[1]FC4 Prod'!$A$6:$BP$36,[2]Consolidated!BB$1)</f>
        <v>397.5597860647693</v>
      </c>
      <c r="BC25" s="47">
        <f>VLOOKUP($B25&amp;$C25,'[1]FC4 Prod'!$A$6:$BP$36,[2]Consolidated!BC$1)</f>
        <v>5731.8469087340518</v>
      </c>
      <c r="BD25" s="49">
        <f>VLOOKUP($B25&amp;$C25,'[1]FC4 Prod'!$A$6:$BP$36,[2]Consolidated!BD$1)</f>
        <v>45885.385301275746</v>
      </c>
      <c r="BE25" s="47">
        <f>VLOOKUP($B25&amp;$C25,'[1]FC4 Prod'!$A$6:$BP$36,[2]Consolidated!BE$1)</f>
        <v>15736.412580961727</v>
      </c>
      <c r="BF25" s="47">
        <f>VLOOKUP($B25&amp;$C25,'[1]FC4 Prod'!$A$6:$BP$36,[2]Consolidated!BF$1)</f>
        <v>6542.622728164868</v>
      </c>
      <c r="BG25" s="50">
        <f>VLOOKUP($B25&amp;$C25,'[1]FC4 Prod'!$A$6:$BP$36,[2]Consolidated!BG$1)</f>
        <v>409.11678115799799</v>
      </c>
      <c r="BH25" s="50">
        <f>VLOOKUP($B25&amp;$C25,'[1]FC4 Prod'!$A$6:$BP$36,[2]Consolidated!BH$1)</f>
        <v>412.36151108930324</v>
      </c>
      <c r="BI25" s="50">
        <f>VLOOKUP($B25&amp;$C25,'[1]FC4 Prod'!$A$6:$BP$36,[2]Consolidated!BI$1)</f>
        <v>47380.359528753674</v>
      </c>
      <c r="BJ25" s="37" t="e">
        <f>VLOOKUP($B25&amp;$C25,'[1]FC4 Prod'!$A$6:$BP$36,[2]Consolidated!BJ$1)</f>
        <v>#REF!</v>
      </c>
      <c r="BK25" s="37" t="e">
        <f>VLOOKUP($B25&amp;$C25,'[1]FC4 Prod'!$A$6:$BP$36,[2]Consolidated!BK$1)</f>
        <v>#REF!</v>
      </c>
      <c r="BL25" s="37" t="e">
        <f>VLOOKUP($B25&amp;$C25,'[1]FC4 Prod'!$A$6:$BP$36,[2]Consolidated!BL$1)</f>
        <v>#REF!</v>
      </c>
      <c r="BM25" s="37" t="e">
        <f>VLOOKUP($B25&amp;$C25,'[1]FC4 Prod'!$A$6:$BP$36,[2]Consolidated!BM$1)</f>
        <v>#REF!</v>
      </c>
      <c r="BN25" s="37" t="e">
        <f>VLOOKUP($B25&amp;$C25,'[1]FC4 Prod'!$A$6:$BP$36,[2]Consolidated!BN$1)</f>
        <v>#REF!</v>
      </c>
      <c r="BO25" s="37" t="e">
        <f>VLOOKUP($B25&amp;$C25,'[1]FC4 Prod'!$A$6:$BP$36,[2]Consolidated!BO$1)</f>
        <v>#REF!</v>
      </c>
      <c r="BP25" s="37" t="str">
        <f>VLOOKUP($B25&amp;$C25,'[1]FC4 Prod'!$A$6:$BP$36,[2]Consolidated!BP$1)</f>
        <v>NIL</v>
      </c>
      <c r="BQ25" s="51" t="e">
        <f>VLOOKUP($B25&amp;$C25,'[1]FC4 Prod'!$A$6:$BP$36,[2]Consolidated!BQ$1)</f>
        <v>#REF!</v>
      </c>
      <c r="BR25" s="51">
        <f>VLOOKUP($B25&amp;$C25,'[1]FC4 Prod'!$A$6:$BQ$36,[2]Consolidated!BR$1)</f>
        <v>41644</v>
      </c>
      <c r="BS25" s="52">
        <f t="shared" ref="BS25" si="28">BE25+BF25*110%+BG25+BA25</f>
        <v>40990.469318940137</v>
      </c>
      <c r="BT25" s="32">
        <f t="shared" si="26"/>
        <v>653.53068105986313</v>
      </c>
      <c r="BU25" s="37">
        <f t="shared" si="27"/>
        <v>33297.38820000003</v>
      </c>
      <c r="BV25" s="53" t="s">
        <v>130</v>
      </c>
      <c r="BW25" s="54" cm="1">
        <f t="array" ref="BW25">IFERROR(VLOOKUP($A25,TRANSPOSE('[1]Fur 4 PLC'!$AR$1:$BV$39),8,0),0)</f>
        <v>0</v>
      </c>
      <c r="BX25" s="54" cm="1">
        <f t="array" ref="BX25">IFERROR(VLOOKUP($A25,TRANSPOSE('[1]Fur 4 PLC'!$AR$1:$BV$39),30,0),0)</f>
        <v>0</v>
      </c>
      <c r="BY25" s="54" cm="1">
        <f t="array" ref="BY25">IFERROR(VLOOKUP($A25,TRANSPOSE('[1]Fur 4 PLC'!$AR$1:$BV$39),14,0),0)</f>
        <v>0</v>
      </c>
      <c r="BZ25" s="54" cm="1">
        <f t="array" ref="BZ25">IFERROR(VLOOKUP($A25,TRANSPOSE('[1]Fur 4 PLC'!$AR$1:$BV$39),16,0),0)</f>
        <v>0</v>
      </c>
      <c r="CA25" s="54" cm="1">
        <f t="array" ref="CA25">IFERROR(VLOOKUP($A25,TRANSPOSE('[1]Fur 4 PLC'!$AR$1:$BV$39),9,0),0)</f>
        <v>0</v>
      </c>
      <c r="CB25" s="54" cm="1">
        <f t="array" ref="CB25">IFERROR(VLOOKUP($A25,TRANSPOSE('[1]Fur 4 PLC'!$AR$1:$BV$39),17,0),0)</f>
        <v>0</v>
      </c>
      <c r="CC25" s="54" cm="1">
        <f t="array" ref="CC25">IFERROR(VLOOKUP($A25,TRANSPOSE('[1]Fur 4 PLC'!$AR$1:$BV$39),20,0),0)</f>
        <v>1404.8086359175661</v>
      </c>
      <c r="CD25" s="54" cm="1">
        <f t="array" ref="CD25">IFERROR(VLOOKUP($A25,TRANSPOSE('[1]Fur 4 PLC'!$AR$1:$BV$39),28,0),0)</f>
        <v>0</v>
      </c>
      <c r="CE25" s="54" cm="1">
        <f t="array" ref="CE25">IFERROR(VLOOKUP($A25,TRANSPOSE('[1]Fur 4 PLC'!$AR$1:$BV$39),13,0),0)</f>
        <v>91.305201177625122</v>
      </c>
      <c r="CF25" s="54" cm="1">
        <f t="array" ref="CF25">IFERROR(VLOOKUP($A25,TRANSPOSE('[1]Fur 4 PLC'!$AR$1:$BV$39),37,0),0)</f>
        <v>9.695780176643769</v>
      </c>
      <c r="CG25" s="54" cm="1">
        <f t="array" ref="CG25">IFERROR(VLOOKUP($A25,TRANSPOSE('[1]Fur 4 PLC'!$AR$1:$BV$39),6,0),0)</f>
        <v>0</v>
      </c>
      <c r="CH25" s="54" cm="1">
        <f t="array" ref="CH25">IFERROR(VLOOKUP($A25,TRANSPOSE('[1]Fur 4 PLC'!$AR$1:$BV$39),21,0),0)</f>
        <v>0</v>
      </c>
      <c r="CI25" s="54" cm="1">
        <f t="array" ref="CI25">IFERROR(VLOOKUP($A25,TRANSPOSE('[1]Fur 4 PLC'!$AR$1:$BV$39),12,0),0)</f>
        <v>0</v>
      </c>
      <c r="CJ25" s="54" cm="1">
        <f t="array" ref="CJ25">IFERROR(VLOOKUP($A25,TRANSPOSE('[1]Fur 4 PLC'!$AR$1:$BV$39),25,0),0)</f>
        <v>107.1638861629048</v>
      </c>
      <c r="CK25" s="54" cm="1">
        <f t="array" ref="CK25">IFERROR(VLOOKUP($A25,TRANSPOSE('[1]Fur 4 PLC'!$AR$1:$BV$39),26,0),0)</f>
        <v>360.39254170755635</v>
      </c>
      <c r="CL25" s="54" cm="1">
        <f t="array" ref="CL25">IFERROR(VLOOKUP($A25,TRANSPOSE('[1]Fur 4 PLC'!$AR$1:$BV$39),27,0),0)</f>
        <v>0</v>
      </c>
      <c r="CM25" s="54" cm="1">
        <f t="array" ref="CM25">IFERROR(VLOOKUP($A25,TRANSPOSE('[1]Fur 4 PLC'!$AR$1:$BV$39),22,0),0)</f>
        <v>0</v>
      </c>
      <c r="CN25" s="54"/>
      <c r="CO25" s="54" cm="1">
        <f t="array" ref="CO25">IFERROR(VLOOKUP($A25,TRANSPOSE('[1]Fur 4 PLC'!$AR$1:$BV$39),29,0),0)</f>
        <v>108.38076545632973</v>
      </c>
      <c r="CP25" s="54" cm="1">
        <f t="array" ref="CP25">IFERROR(VLOOKUP($A25,TRANSPOSE('[1]Fur 4 PLC'!$AR$1:$BV$39),10,0),0)</f>
        <v>0</v>
      </c>
      <c r="CQ25" s="54" cm="1">
        <f t="array" ref="CQ25">IFERROR(VLOOKUP($A25,TRANSPOSE('[1]Fur 4 PLC'!$AR$1:$BV$39),7,0),0)</f>
        <v>107.63493621197252</v>
      </c>
      <c r="CR25" s="54" cm="1">
        <f t="array" ref="CR25">IFERROR(VLOOKUP($A25,TRANSPOSE('[1]Fur 4 PLC'!$AR$1:$BV$39),36,0),0)</f>
        <v>168.24337585868497</v>
      </c>
      <c r="CS25" s="54" cm="1">
        <f t="array" ref="CS25">IFERROR(VLOOKUP($A25,TRANSPOSE('[1]Fur 4 PLC'!$AR$1:$BV$39),11,0),0)</f>
        <v>0</v>
      </c>
      <c r="CT25" s="54" cm="1">
        <f t="array" ref="CT25">IFERROR(VLOOKUP($A25,TRANSPOSE('[1]Fur 4 PLC'!$AR$1:$BV$39),19,0),0)</f>
        <v>0</v>
      </c>
      <c r="CU25" s="54" cm="1">
        <f t="array" ref="CU25">IFERROR(VLOOKUP($A25,TRANSPOSE('[1]Fur 4 PLC'!$AR$1:$BV$39),18,0),0)</f>
        <v>292.79685966633951</v>
      </c>
      <c r="CV25" s="54" cm="1">
        <f t="array" ref="CV25">IFERROR(VLOOKUP($A25,TRANSPOSE('[1]Fur 4 PLC'!$AR$1:$BV$38),15,0),0)</f>
        <v>0</v>
      </c>
      <c r="CW25" s="54" cm="1">
        <f t="array" ref="CW25">IFERROR(VLOOKUP($A25,TRANSPOSE('[1]Fur 4 PLC'!$CK$1:$DO$39),8,0),0)</f>
        <v>0</v>
      </c>
      <c r="CX25" s="54" cm="1">
        <f t="array" ref="CX25">IFERROR(VLOOKUP($A25,TRANSPOSE('[1]Fur 4 PLC'!$CK$1:$DO$39),30,0),0)</f>
        <v>0</v>
      </c>
      <c r="CY25" s="54" cm="1">
        <f t="array" ref="CY25">IFERROR(VLOOKUP($A25,TRANSPOSE('[1]Fur 4 PLC'!$CK$1:$DO$39),14,0),0)</f>
        <v>0</v>
      </c>
      <c r="CZ25" s="54" cm="1">
        <f t="array" ref="CZ25">IFERROR(VLOOKUP($A25,TRANSPOSE('[1]Fur 4 PLC'!$CK$1:$DO$39),16,0),0)</f>
        <v>0</v>
      </c>
      <c r="DA25" s="54" cm="1">
        <f t="array" ref="DA25">IFERROR(VLOOKUP($A25,TRANSPOSE('[1]Fur 4 PLC'!$CK$1:$DO$39),9,0),0)</f>
        <v>0</v>
      </c>
      <c r="DB25" s="55" cm="1">
        <f t="array" ref="DB25">IFERROR(VLOOKUP($A25,TRANSPOSE('[1]Fur 4 PLC'!$CK$1:$DO$39),17,0),0)</f>
        <v>0</v>
      </c>
      <c r="DC25" s="55" cm="1">
        <f t="array" ref="DC25">IFERROR(VLOOKUP($A25,TRANSPOSE('[1]Fur 4 PLC'!$CK$1:$DO$39),20,0),0)</f>
        <v>769.6236559139785</v>
      </c>
      <c r="DD25" s="54" cm="1">
        <f t="array" ref="DD25">IFERROR(VLOOKUP($A25,TRANSPOSE('[1]Fur 4 PLC'!$CK$1:$DO$39),28,0),0)</f>
        <v>0</v>
      </c>
      <c r="DE25" s="54" cm="1">
        <f t="array" ref="DE25">IFERROR(VLOOKUP($A25,TRANSPOSE('[1]Fur 4 PLC'!$CK$1:$DO$39),13,0),0)</f>
        <v>50.021505376344088</v>
      </c>
      <c r="DF25" s="54" cm="1">
        <f t="array" ref="DF25">IFERROR(VLOOKUP($A25,TRANSPOSE('[1]Fur 4 PLC'!$CK$1:$DO$39),37,0),0)</f>
        <v>5.311827956989247</v>
      </c>
      <c r="DG25" s="54" cm="1">
        <f t="array" ref="DG25">IFERROR(VLOOKUP($A25,TRANSPOSE('[1]Fur 4 PLC'!$CK$1:$DO$39),6,0),0)</f>
        <v>0</v>
      </c>
      <c r="DH25" s="54" cm="1">
        <f t="array" ref="DH25">IFERROR(VLOOKUP($A25,TRANSPOSE('[1]Fur 4 PLC'!$CK$1:$DO$39),21,0),0)</f>
        <v>0</v>
      </c>
      <c r="DI25" s="54" cm="1">
        <f t="array" ref="DI25">IFERROR(VLOOKUP($A25,TRANSPOSE('[1]Fur 4 PLC'!$CK$1:$DO$39),12,0),0)</f>
        <v>0</v>
      </c>
      <c r="DJ25" s="54" cm="1">
        <f t="array" ref="DJ25">IFERROR(VLOOKUP($A25,TRANSPOSE('[1]Fur 4 PLC'!$CK$1:$DO$39),25,0),0)</f>
        <v>58.70967741935484</v>
      </c>
      <c r="DK25" s="54" cm="1">
        <f t="array" ref="DK25">IFERROR(VLOOKUP($A25,TRANSPOSE('[1]Fur 4 PLC'!$CK$1:$DO$39),26,0),0)</f>
        <v>197.44086021505376</v>
      </c>
      <c r="DL25" s="54" cm="1">
        <f t="array" ref="DL25">IFERROR(VLOOKUP($A25,TRANSPOSE('[1]Fur 4 PLC'!$CK$1:$DO$39),27,0),0)</f>
        <v>0</v>
      </c>
      <c r="DM25" s="54" cm="1">
        <f t="array" ref="DM25">IFERROR(VLOOKUP($A25,TRANSPOSE('[1]Fur 4 PLC'!$CK$1:$DO$39),22,0),0)</f>
        <v>0</v>
      </c>
      <c r="DN25" s="54" cm="1">
        <f t="array" ref="DN25">IFERROR(VLOOKUP($A25,TRANSPOSE('[1]Fur 4 PLC'!$CK$1:$DO$39),19,0),0)</f>
        <v>0</v>
      </c>
      <c r="DO25" s="54" cm="1">
        <f t="array" ref="DO25">IFERROR(VLOOKUP($A25,TRANSPOSE('[1]Fur 4 PLC'!$CK$1:$DO$39),29,0),0)</f>
        <v>59.376344086021504</v>
      </c>
      <c r="DP25" s="54" cm="1">
        <f t="array" ref="DP25">IFERROR(VLOOKUP($A25,TRANSPOSE('[1]Fur 4 PLC'!$CK$1:$DO$39),10,0),0)</f>
        <v>0</v>
      </c>
      <c r="DQ25" s="54" cm="1">
        <f t="array" ref="DQ25">IFERROR(VLOOKUP($A25,TRANSPOSE('[1]Fur 4 PLC'!$CK$1:$DO$39),7,0),0)</f>
        <v>58.967741935483865</v>
      </c>
      <c r="DR25" s="54" cm="1">
        <f t="array" ref="DR25">IFERROR(VLOOKUP($A25,TRANSPOSE('[1]Fur 4 PLC'!$CK$1:$DO$39),36,0),0)</f>
        <v>92.172043010752688</v>
      </c>
      <c r="DS25" s="54" cm="1">
        <f t="array" ref="DS25">IFERROR(VLOOKUP($A25,TRANSPOSE('[1]Fur 4 PLC'!$CK$1:$DO$39),11,0),0)</f>
        <v>0</v>
      </c>
      <c r="DT25" s="54" cm="1">
        <f t="array" ref="DT25">IFERROR(VLOOKUP($A25,TRANSPOSE('[1]Fur 4 PLC'!$CK$1:$DO$39),19,0),0)</f>
        <v>0</v>
      </c>
      <c r="DU25" s="54" cm="1">
        <f t="array" ref="DU25">IFERROR(VLOOKUP($A25,TRANSPOSE('[1]Fur 4 PLC'!$CK$1:$DO$39),18,0),0)</f>
        <v>160.40860215053763</v>
      </c>
      <c r="DV25" s="54" cm="1">
        <f t="array" ref="DV25">IFERROR(VLOOKUP($A25,TRANSPOSE('[1]Fur 4 PLC'!$CK$1:$DO$39),15,0),0)</f>
        <v>0</v>
      </c>
      <c r="DW25" t="str">
        <f t="shared" si="25"/>
        <v>Dec-25</v>
      </c>
    </row>
    <row r="26" spans="1:127" x14ac:dyDescent="0.3">
      <c r="A26" s="28" t="str">
        <f t="shared" si="1"/>
        <v>F145998</v>
      </c>
      <c r="B26" s="29" t="s">
        <v>26</v>
      </c>
      <c r="C26" s="30">
        <f>C22+1</f>
        <v>45998</v>
      </c>
      <c r="D26" s="29" t="str">
        <f>VLOOKUP($B26&amp;$C26,'[1]FC1 Prod'!$A$6:$BP$36,[2]Consolidated!D$1)</f>
        <v>Raju Singh</v>
      </c>
      <c r="E26" s="29">
        <f>VLOOKUP($B26&amp;$C26,'[1]FC1 Prod'!$A$6:$BP$36,[2]Consolidated!E$1)</f>
        <v>22.885000000000002</v>
      </c>
      <c r="F26" s="31">
        <f>VLOOKUP($B26&amp;$C26,'[1]FC1 Prod'!$A$6:$BP$36,[2]Consolidated!F$1)</f>
        <v>0</v>
      </c>
      <c r="G26" s="32">
        <f>VLOOKUP($B26&amp;$C26,'[1]FC1 Prod'!$A$6:$BP$36,[2]Consolidated!G$1)</f>
        <v>22.885000000000002</v>
      </c>
      <c r="H26" s="32">
        <f>VLOOKUP($B26&amp;$C26,'[1]FC1 Prod'!$A$6:$BP$36,[2]Consolidated!H$1)</f>
        <v>15.465</v>
      </c>
      <c r="I26" s="32">
        <f>VLOOKUP($B26&amp;$C26,'[1]FC1 Prod'!$A$6:$BP$36,[2]Consolidated!I$1)</f>
        <v>5.68</v>
      </c>
      <c r="J26" s="32">
        <f>VLOOKUP($B26&amp;$C26,'[1]FC1 Prod'!$A$6:$BP$36,[2]Consolidated!J$1)</f>
        <v>39.520000000000003</v>
      </c>
      <c r="K26" s="32">
        <f>VLOOKUP($B26&amp;$C26,'[1]FC1 Prod'!$A$6:$BP$36,[2]Consolidated!K$1)</f>
        <v>1.3</v>
      </c>
      <c r="L26" s="32">
        <f>VLOOKUP($B26&amp;$C26,'[1]FC1 Prod'!$A$6:$BP$36,[2]Consolidated!L$1)</f>
        <v>28.12</v>
      </c>
      <c r="M26" s="32">
        <f>VLOOKUP($B26&amp;$C26,'[1]FC1 Prod'!$A$6:$BP$36,[2]Consolidated!M$1)</f>
        <v>4.88</v>
      </c>
      <c r="N26" s="32">
        <f>VLOOKUP($B26&amp;$C26,'[1]FC1 Prod'!$A$6:$BP$36,[2]Consolidated!N$1)</f>
        <v>17.32</v>
      </c>
      <c r="O26" s="32">
        <f>VLOOKUP($B26&amp;$C26,'[1]FC1 Prod'!$A$6:$BP$36,[2]Consolidated!O$1)</f>
        <v>0.84</v>
      </c>
      <c r="P26" s="33">
        <f>VLOOKUP($B26&amp;$C26,'[1]FC1 Prod'!$A$6:$BP$36,[2]Consolidated!P$1)</f>
        <v>8</v>
      </c>
      <c r="Q26" s="29">
        <f>VLOOKUP($B26&amp;$C26,'[1]FC1 Prod'!$A$6:$BP$36,[2]Consolidated!Q$1)</f>
        <v>42.664999999999999</v>
      </c>
      <c r="R26" s="29">
        <f>VLOOKUP($B26&amp;$C26,'[1]FC1 Prod'!$A$6:$BP$36,[2]Consolidated!R$1)</f>
        <v>14.38</v>
      </c>
      <c r="S26" s="34">
        <f>VLOOKUP($B26&amp;$C26,'[1]FC1 Prod'!$A$6:$BP$36,[2]Consolidated!S$1)</f>
        <v>23</v>
      </c>
      <c r="T26" s="34">
        <f>VLOOKUP($B26&amp;$C26,'[1]FC1 Prod'!$A$6:$BP$36,[2]Consolidated!T$1)</f>
        <v>16</v>
      </c>
      <c r="U26" s="34">
        <f>VLOOKUP($B26&amp;$C26,'[1]FC1 Prod'!$A$6:$BP$36,[2]Consolidated!U$1)</f>
        <v>15</v>
      </c>
      <c r="V26" s="34">
        <f>VLOOKUP($B26&amp;$C26,'[1]FC1 Prod'!$A$6:$BP$36,[2]Consolidated!V$1)</f>
        <v>54</v>
      </c>
      <c r="W26" s="35">
        <f>VLOOKUP($B26&amp;$C26,'[1]FC1 Prod'!$A$6:$BP$36,[2]Consolidated!W$1)</f>
        <v>1.8643216080402008</v>
      </c>
      <c r="X26" s="35">
        <f>VLOOKUP($B26&amp;$C26,'[1]FC1 Prod'!$A$6:$BP$36,[2]Consolidated!X$1)</f>
        <v>23.594999999999999</v>
      </c>
      <c r="Y26" s="36">
        <f>VLOOKUP($B26&amp;$C26,'[1]FC1 Prod'!$A$6:$BP$36,[2]Consolidated!Y$1)</f>
        <v>0.96990887899978817</v>
      </c>
      <c r="Z26" s="37" t="str">
        <f>VLOOKUP($B26&amp;$C26,'[1]FC1 Prod'!$A$6:$BP$36,[2]Consolidated!Z$1)</f>
        <v>40/22</v>
      </c>
      <c r="AA26" s="31">
        <f>VLOOKUP($B26&amp;$C26,'[1]FC1 Prod'!$A$6:$BP$36,[2]Consolidated!AA$1)</f>
        <v>40.155000000000001</v>
      </c>
      <c r="AB26" s="31">
        <f>VLOOKUP($B26&amp;$C26,'[1]FC1 Prod'!$A$6:$BP$36,[2]Consolidated!AB$1)</f>
        <v>20.013749999999998</v>
      </c>
      <c r="AC26" s="31">
        <f>VLOOKUP($B26&amp;$C26,'[1]FC1 Prod'!$A$6:$BP$36,[2]Consolidated!AC$1)</f>
        <v>0.5625</v>
      </c>
      <c r="AD26" s="38">
        <f>VLOOKUP($B26&amp;$C26,'[1]FC1 Prod'!$A$6:$BP$36,[2]Consolidated!AD$1)</f>
        <v>467.44918885733011</v>
      </c>
      <c r="AE26" s="38">
        <f>VLOOKUP($B26&amp;$C26,'[1]FC1 Prod'!$A$6:$BP$36,[2]Consolidated!AE$1)</f>
        <v>483.63878157745233</v>
      </c>
      <c r="AF26" s="39">
        <f>VLOOKUP($B26&amp;$C26,'[1]FC1 Prod'!$A$6:$BP$36,[2]Consolidated!AF$1)</f>
        <v>0.85902384595335524</v>
      </c>
      <c r="AG26" s="39">
        <f>VLOOKUP($B26&amp;$C26,'[1]FC1 Prod'!$A$6:$BP$36,[2]Consolidated!AG$1)</f>
        <v>0.83026840546221536</v>
      </c>
      <c r="AH26" s="34">
        <f>VLOOKUP($B26&amp;$C26,'[1]FC1 Prod'!$A$6:$BP$36,[2]Consolidated!AH$1)</f>
        <v>539.77190299322706</v>
      </c>
      <c r="AI26" s="33">
        <f>VLOOKUP($B26&amp;$C26,'[1]FC1 Prod'!$A$6:$BP$36,[2]Consolidated!AI$1)</f>
        <v>476.21061830893598</v>
      </c>
      <c r="AJ26" s="39">
        <f>VLOOKUP($B26&amp;$C26,'[1]FC1 Prod'!$A$6:$BP$36,[2]Consolidated!AJ$1)</f>
        <v>2.4331396615182275</v>
      </c>
      <c r="AK26" s="39">
        <f>VLOOKUP($B26&amp;$C26,'[1]FC1 Prod'!$A$6:$BP$36,[2]Consolidated!AK$1)</f>
        <v>0.52098341096615997</v>
      </c>
      <c r="AL26" s="40" t="str">
        <f>VLOOKUP($B26&amp;$C26,'[1]FC1 Prod'!$A$6:$BP$36,[2]Consolidated!AL$1)</f>
        <v>10/70</v>
      </c>
      <c r="AM26" s="41">
        <f>VLOOKUP($B26&amp;$C26,'[1]FC1 Prod'!$A$6:$BP$36,[2]Consolidated!AM$1)</f>
        <v>0</v>
      </c>
      <c r="AN26" s="42">
        <f>VLOOKUP($B26&amp;$C26,'[1]FC1 Prod'!$A$6:$BP$36,[2]Consolidated!AN$1)</f>
        <v>104.4</v>
      </c>
      <c r="AO26" s="43">
        <f>VLOOKUP($B26&amp;$C26,'[1]FC1 Prod'!$A$6:$BP$36,[2]Consolidated!AO$1)</f>
        <v>3.8</v>
      </c>
      <c r="AP26" s="44">
        <f>VLOOKUP($B26&amp;$C26,'[1]FC1 Prod'!$A$6:$BP$36,[2]Consolidated!AP$1)</f>
        <v>4.7279877649115143</v>
      </c>
      <c r="AQ26" s="44">
        <f>VLOOKUP($B26&amp;$C26,'[1]FC1 Prod'!$A$6:$BP$36,[2]Consolidated!AQ$1)</f>
        <v>22.740124746055219</v>
      </c>
      <c r="AR26" s="45">
        <f>VLOOKUP($B26&amp;$C26,'[1]FC1 Prod'!$A$6:$BP$36,[2]Consolidated!AR$1)</f>
        <v>0.98863636363636365</v>
      </c>
      <c r="AS26" s="46">
        <f>VLOOKUP($B26&amp;$C26,'[1]FC1 Prod'!$A$6:$BP$36,[2]Consolidated!AS$1)</f>
        <v>2.0340000000000003</v>
      </c>
      <c r="AT26" s="29">
        <f>VLOOKUP($B26&amp;$C26,'[1]FC1 Prod'!$A$6:$BP$36,[2]Consolidated!AT$1)</f>
        <v>0.80092311905412161</v>
      </c>
      <c r="AU26" s="34">
        <f>VLOOKUP($B26&amp;$C26,'[1]FC1 Prod'!$A$6:$BP$36,[2]Consolidated!AU$1)</f>
        <v>375.07986111111109</v>
      </c>
      <c r="AV26" s="34">
        <f>VLOOKUP($B26&amp;$C26,'[1]FC1 Prod'!$A$6:$BP$36,[2]Consolidated!AV$1)</f>
        <v>175</v>
      </c>
      <c r="AW26" s="47">
        <f>VLOOKUP($B26&amp;$C26,'[1]FC1 Prod'!$A$6:$BP$36,[2]Consolidated!AW$1)</f>
        <v>17927.815162770374</v>
      </c>
      <c r="AX26" s="47">
        <f>VLOOKUP($B26&amp;$C26,'[1]FC1 Prod'!$A$6:$BP$36,[2]Consolidated!AX$1)</f>
        <v>16305.702425169324</v>
      </c>
      <c r="AY26" s="48">
        <f>VLOOKUP($B26&amp;$C26,'[1]FC1 Prod'!$A$6:$BP$36,[2]Consolidated!AY$1)</f>
        <v>3213.4149005899058</v>
      </c>
      <c r="AZ26" s="47">
        <f>VLOOKUP($B26&amp;$C26,'[1]FC1 Prod'!$A$6:$BP$36,[2]Consolidated!AZ$1)</f>
        <v>1418.1581822154249</v>
      </c>
      <c r="BA26" s="47">
        <f>VLOOKUP($B26&amp;$C26,'[1]FC1 Prod'!$A$6:$BP$36,[2]Consolidated!BA$1)</f>
        <v>27658.728424732359</v>
      </c>
      <c r="BB26" s="47">
        <f>VLOOKUP($B26&amp;$C26,'[1]FC1 Prod'!$A$6:$BP$36,[2]Consolidated!BB$1)</f>
        <v>665.23819095477393</v>
      </c>
      <c r="BC26" s="47">
        <f>VLOOKUP($B26&amp;$C26,'[1]FC1 Prod'!$A$6:$BP$36,[2]Consolidated!BC$1)</f>
        <v>8983.176753331878</v>
      </c>
      <c r="BD26" s="49">
        <f>VLOOKUP($B26&amp;$C26,'[1]FC1 Prod'!$A$6:$BP$36,[2]Consolidated!BD$1)</f>
        <v>76172.234039764036</v>
      </c>
      <c r="BE26" s="47">
        <f>VLOOKUP($B26&amp;$C26,'[1]FC1 Prod'!$A$6:$BP$36,[2]Consolidated!BE$1)</f>
        <v>18268.775617216517</v>
      </c>
      <c r="BF26" s="47">
        <f>VLOOKUP($B26&amp;$C26,'[1]FC1 Prod'!$A$6:$BP$36,[2]Consolidated!BF$1)</f>
        <v>14588.420362682979</v>
      </c>
      <c r="BG26" s="50">
        <f>VLOOKUP($B26&amp;$C26,'[1]FC1 Prod'!$A$6:$BP$36,[2]Consolidated!BG$1)</f>
        <v>2069.0233777583567</v>
      </c>
      <c r="BH26" s="50">
        <f>VLOOKUP($B26&amp;$C26,'[1]FC1 Prod'!$A$6:$BP$36,[2]Consolidated!BH$1)</f>
        <v>640.03105964605641</v>
      </c>
      <c r="BI26" s="50">
        <f>VLOOKUP($B26&amp;$C26,'[1]FC1 Prod'!$A$6:$BP$36,[2]Consolidated!BI$1)</f>
        <v>73626.313777583564</v>
      </c>
      <c r="BJ26" s="37" t="e">
        <f>VLOOKUP($B26&amp;$C26,'[1]FC1 Prod'!$A$6:$BP$36,[2]Consolidated!BJ$1)</f>
        <v>#REF!</v>
      </c>
      <c r="BK26" s="37" t="e">
        <f>VLOOKUP($B26&amp;$C26,'[1]FC1 Prod'!$A$6:$BP$36,[2]Consolidated!BK$1)</f>
        <v>#REF!</v>
      </c>
      <c r="BL26" s="37">
        <f>VLOOKUP($B26&amp;$C26,'[1]FC1 Prod'!$A$6:$BP$36,[2]Consolidated!BL$1)</f>
        <v>15</v>
      </c>
      <c r="BM26" s="37" t="e">
        <f>VLOOKUP($B26&amp;$C26,'[1]FC1 Prod'!$A$6:$BP$36,[2]Consolidated!BM$1)</f>
        <v>#REF!</v>
      </c>
      <c r="BN26" s="37" t="e">
        <f>VLOOKUP($B26&amp;$C26,'[1]FC1 Prod'!$A$6:$BP$36,[2]Consolidated!BN$1)</f>
        <v>#REF!</v>
      </c>
      <c r="BO26" s="37">
        <f>VLOOKUP($B26&amp;$C26,'[1]FC1 Prod'!$A$6:$BP$36,[2]Consolidated!BO$1)</f>
        <v>15</v>
      </c>
      <c r="BP26" s="37" t="str">
        <f>VLOOKUP($B26&amp;$C26,'[1]FC1 Prod'!$A$6:$BP$36,[2]Consolidated!BP$1)</f>
        <v>Electrode Lengths Measurment and over current trip.</v>
      </c>
      <c r="BQ26" s="51" t="e">
        <f>VLOOKUP($B26&amp;$C26,'[1]FC1 Prod'!$A$6:$BP$36,[2]Consolidated!BQ$1)</f>
        <v>#REF!</v>
      </c>
      <c r="BR26" s="51">
        <f>VLOOKUP($B26&amp;$C26,'[1]FC1 Prod'!$A$6:$BQ$36,[2]Consolidated!BR$1)</f>
        <v>60759</v>
      </c>
      <c r="BS26" s="52">
        <f t="shared" ref="BS26:BS28" si="29">BE26+BF26+BG26+BA26</f>
        <v>62584.947782390213</v>
      </c>
      <c r="BT26" s="32">
        <f>BR26-BS26</f>
        <v>-1825.9477823902125</v>
      </c>
      <c r="BU26" s="37">
        <f>E26*BT26</f>
        <v>-41786.815000000017</v>
      </c>
      <c r="BV26" s="53" t="s">
        <v>130</v>
      </c>
      <c r="BW26" s="54" cm="1">
        <f t="array" ref="BW26">IFERROR(VLOOKUP($A26,TRANSPOSE('[1]Fur 1 PLC'!$AR$1:$BV$38),8,0),0)</f>
        <v>0</v>
      </c>
      <c r="BX26" s="54" cm="1">
        <f t="array" ref="BX26">IFERROR(VLOOKUP($A26,TRANSPOSE('[1]Fur 1 PLC'!$AR$1:$BV$38),30,0),0)</f>
        <v>111.8636661568713</v>
      </c>
      <c r="BY26" s="54" cm="1">
        <f t="array" ref="BY26">IFERROR(VLOOKUP($A26,TRANSPOSE('[1]Fur 1 PLC'!$AR$1:$BV$38),14,0),0)</f>
        <v>0</v>
      </c>
      <c r="BZ26" s="54" cm="1">
        <f t="array" ref="BZ26">IFERROR(VLOOKUP($A26,TRANSPOSE('[1]Fur 1 PLC'!$AR$1:$BV$38),16,0),0)</f>
        <v>0</v>
      </c>
      <c r="CA26" s="54" cm="1">
        <f t="array" ref="CA26">IFERROR(VLOOKUP($A26,TRANSPOSE('[1]Fur 1 PLC'!$AR$1:$BV$38),9,0),0)</f>
        <v>320.29713786322918</v>
      </c>
      <c r="CB26" s="54" cm="1">
        <f t="array" ref="CB26">IFERROR(VLOOKUP($A26,TRANSPOSE('[1]Fur 1 PLC'!$AR$1:$BV$38),17,0),0)</f>
        <v>0</v>
      </c>
      <c r="CC26" s="54" cm="1">
        <f t="array" ref="CC26">IFERROR(VLOOKUP($A26,TRANSPOSE('[1]Fur 1 PLC'!$AR$1:$BV$38),20,0),0)</f>
        <v>851.38737164081283</v>
      </c>
      <c r="CD26" s="54" cm="1">
        <f t="array" ref="CD26">IFERROR(VLOOKUP($A26,TRANSPOSE('[1]Fur 1 PLC'!$AR$1:$BV$38),28,0),0)</f>
        <v>0</v>
      </c>
      <c r="CE26" s="54" cm="1">
        <f t="array" ref="CE26">IFERROR(VLOOKUP($A26,TRANSPOSE('[1]Fur 1 PLC'!$AR$1:$BV$38),13,0),0)</f>
        <v>0</v>
      </c>
      <c r="CF26" s="54" cm="1">
        <f t="array" ref="CF26">IFERROR(VLOOKUP($A26,TRANSPOSE('[1]Fur 1 PLC'!$AR$1:$BV$38),37,0),0)</f>
        <v>597.77146602578102</v>
      </c>
      <c r="CG26" s="54" cm="1">
        <f t="array" ref="CG26">IFERROR(VLOOKUP($A26,TRANSPOSE('[1]Fur 1 PLC'!$AR$1:$BV$38),6,0),0)</f>
        <v>0</v>
      </c>
      <c r="CH26" s="54" cm="1">
        <f t="array" ref="CH26">IFERROR(VLOOKUP($A26,TRANSPOSE('[1]Fur 1 PLC'!$AR$1:$BV$38),21,0),0)</f>
        <v>0</v>
      </c>
      <c r="CI26" s="54" cm="1">
        <f t="array" ref="CI26">IFERROR(VLOOKUP($A26,TRANSPOSE('[1]Fur 1 PLC'!$AR$1:$BV$38),12,0),0)</f>
        <v>0</v>
      </c>
      <c r="CJ26" s="54" cm="1">
        <f t="array" ref="CJ26">IFERROR(VLOOKUP($A26,TRANSPOSE('[1]Fur 1 PLC'!$AR$1:$BV$38),25,0),0)</f>
        <v>0</v>
      </c>
      <c r="CK26" s="54" cm="1">
        <f t="array" ref="CK26">IFERROR(VLOOKUP($A26,TRANSPOSE('[1]Fur 1 PLC'!$AR$1:$BV$38),26,0),0)</f>
        <v>0</v>
      </c>
      <c r="CL26" s="54" cm="1">
        <f t="array" ref="CL26">IFERROR(VLOOKUP($A26,TRANSPOSE('[1]Fur 1 PLC'!$AR$1:$BV$38),27,0),0)</f>
        <v>516.49552108367925</v>
      </c>
      <c r="CM26" s="54" cm="1">
        <f t="array" ref="CM26">IFERROR(VLOOKUP($A26,TRANSPOSE('[1]Fur 1 PLC'!$AR$1:$BV$38),22,0),0)</f>
        <v>0</v>
      </c>
      <c r="CN26" s="54"/>
      <c r="CO26" s="54" cm="1">
        <f t="array" ref="CO26">IFERROR(VLOOKUP($A26,TRANSPOSE('[1]Fur 1 PLC'!$AR$1:$BV$38),29,0),0)</f>
        <v>0</v>
      </c>
      <c r="CP26" s="54" cm="1">
        <f t="array" ref="CP26">IFERROR(VLOOKUP($A26,TRANSPOSE('[1]Fur 1 PLC'!$AR$1:$BV$38),10,0),0)</f>
        <v>0</v>
      </c>
      <c r="CQ26" s="54" cm="1">
        <f t="array" ref="CQ26">IFERROR(VLOOKUP($A26,TRANSPOSE('[1]Fur 1 PLC'!$AR$1:$BV$38),7,0),0)</f>
        <v>262.48634476731479</v>
      </c>
      <c r="CR26" s="54" cm="1">
        <f t="array" ref="CR26">IFERROR(VLOOKUP($A26,TRANSPOSE('[1]Fur 1 PLC'!$AR$1:$BV$38),35,0),0)</f>
        <v>189.60017478697839</v>
      </c>
      <c r="CS26" s="54" cm="1">
        <f t="array" ref="CS26">IFERROR(VLOOKUP($A26,TRANSPOSE('[1]Fur 1 PLC'!$AR$1:$BV$38),11,0),0)</f>
        <v>0</v>
      </c>
      <c r="CT26" s="54" cm="1">
        <f t="array" ref="CT26">IFERROR(VLOOKUP($A26,TRANSPOSE('[1]Fur 1 PLC'!$AR$1:$BV$38),19,0),0)</f>
        <v>0</v>
      </c>
      <c r="CU26" s="54" cm="1">
        <f t="array" ref="CU26">IFERROR(VLOOKUP($A26,TRANSPOSE('[1]Fur 1 PLC'!$AR$1:$BV$38),18,0),0)</f>
        <v>532.05156215861916</v>
      </c>
      <c r="CV26" s="54" cm="1">
        <f t="array" ref="CV26">IFERROR(VLOOKUP($A26,TRANSPOSE('[1]Fur 1 PLC'!$AR$1:$BV$38),15,0),0)</f>
        <v>160.58553637753985</v>
      </c>
      <c r="CW26" s="54" cm="1">
        <f t="array" ref="CW26">IFERROR(VLOOKUP($A26,TRANSPOSE('[1]Fur 1 PLC'!$CL$1:$DP$38),8,0),0)</f>
        <v>0</v>
      </c>
      <c r="CX26" s="54" cm="1">
        <f t="array" ref="CX26">IFERROR(VLOOKUP($A26,TRANSPOSE('[1]Fur 1 PLC'!$CL$1:$DP$38),30,0),0)</f>
        <v>47.407407407407405</v>
      </c>
      <c r="CY26" s="54" cm="1">
        <f t="array" ref="CY26">IFERROR(VLOOKUP($A26,TRANSPOSE('[1]Fur 1 PLC'!$CL$1:$DP$38),14,0),0)</f>
        <v>0</v>
      </c>
      <c r="CZ26" s="54" cm="1">
        <f t="array" ref="CZ26">IFERROR(VLOOKUP($A26,TRANSPOSE('[1]Fur 1 PLC'!$CL$1:$DP$38),16,0),0)</f>
        <v>0</v>
      </c>
      <c r="DA26" s="54" cm="1">
        <f t="array" ref="DA26">IFERROR(VLOOKUP($A26,TRANSPOSE('[1]Fur 1 PLC'!$CL$1:$DP$38),9,0),0)</f>
        <v>135.74074074074073</v>
      </c>
      <c r="DB26" s="55" cm="1">
        <f t="array" ref="DB26">IFERROR(VLOOKUP($A26,TRANSPOSE('[1]Fur 1 PLC'!$CL$1:$DP$38),17,0),0)</f>
        <v>0</v>
      </c>
      <c r="DC26" s="55" cm="1">
        <f t="array" ref="DC26">IFERROR(VLOOKUP($A26,TRANSPOSE('[1]Fur 1 PLC'!$CL$1:$DP$38),20,0),0)</f>
        <v>360.81481481481484</v>
      </c>
      <c r="DD26" s="54" cm="1">
        <f t="array" ref="DD26">IFERROR(VLOOKUP($A26,TRANSPOSE('[1]Fur 1 PLC'!$CL$1:$DP$38),28,0),0)</f>
        <v>0</v>
      </c>
      <c r="DE26" s="54" cm="1">
        <f t="array" ref="DE26">IFERROR(VLOOKUP($A26,TRANSPOSE('[1]Fur 1 PLC'!$CL$1:$DP$38),13,0),0)</f>
        <v>0</v>
      </c>
      <c r="DF26" s="54" cm="1">
        <f t="array" ref="DF26">IFERROR(VLOOKUP($A26,TRANSPOSE('[1]Fur 1 PLC'!$CL$1:$DP$38),37,0),0)</f>
        <v>253.33333333333334</v>
      </c>
      <c r="DG26" s="54" cm="1">
        <f t="array" ref="DG26">IFERROR(VLOOKUP($A26,TRANSPOSE('[1]Fur 1 PLC'!$CL$1:$DP$38),6,0),0)</f>
        <v>0</v>
      </c>
      <c r="DH26" s="54" cm="1">
        <f t="array" ref="DH26">IFERROR(VLOOKUP($A26,TRANSPOSE('[1]Fur 1 PLC'!$CL$1:$DP$38),21,0),0)</f>
        <v>0</v>
      </c>
      <c r="DI26" s="54" cm="1">
        <f t="array" ref="DI26">IFERROR(VLOOKUP($A26,TRANSPOSE('[1]Fur 1 PLC'!$CL$1:$DP$38),12,0),0)</f>
        <v>0</v>
      </c>
      <c r="DJ26" s="54" cm="1">
        <f t="array" ref="DJ26">IFERROR(VLOOKUP($A26,TRANSPOSE('[1]Fur 1 PLC'!$CL$1:$DP$38),25,0),0)</f>
        <v>0</v>
      </c>
      <c r="DK26" s="54" cm="1">
        <f t="array" ref="DK26">IFERROR(VLOOKUP($A26,TRANSPOSE('[1]Fur 1 PLC'!$CL$1:$DP$38),26,0),0)</f>
        <v>0</v>
      </c>
      <c r="DL26" s="54" cm="1">
        <f t="array" ref="DL26">IFERROR(VLOOKUP($A26,TRANSPOSE('[1]Fur 1 PLC'!$CL$1:$DP$38),27,0),0)</f>
        <v>218.88888888888889</v>
      </c>
      <c r="DM26" s="54" cm="1">
        <f t="array" ref="DM26">IFERROR(VLOOKUP($A26,TRANSPOSE('[1]Fur 1 PLC'!$CL$1:$DP$38),22,0),0)</f>
        <v>0</v>
      </c>
      <c r="DN26" s="54" cm="1">
        <f t="array" ref="DN26">IFERROR(VLOOKUP($A26,TRANSPOSE('[1]Fur 1 PLC'!$CL$1:$DP$38),19,0),0)</f>
        <v>0</v>
      </c>
      <c r="DO26" s="54" cm="1">
        <f t="array" ref="DO26">IFERROR(VLOOKUP($A26,TRANSPOSE('[1]Fur 1 PLC'!$CL$1:$DP$38),29,0),0)</f>
        <v>0</v>
      </c>
      <c r="DP26" s="54" cm="1">
        <f t="array" ref="DP26">IFERROR(VLOOKUP($A26,TRANSPOSE('[1]Fur 1 PLC'!$CL$1:$DP$38),10,0),0)</f>
        <v>0</v>
      </c>
      <c r="DQ26" s="54" cm="1">
        <f t="array" ref="DQ26">IFERROR(VLOOKUP($A26,TRANSPOSE('[1]Fur 1 PLC'!$CL$1:$DP$38),7,0),0)</f>
        <v>111.24074074074073</v>
      </c>
      <c r="DR26" s="54" cm="1">
        <f t="array" ref="DR26">IFERROR(VLOOKUP($A26,TRANSPOSE('[1]Fur 1 PLC'!$CL$1:$DP$38),35,0),0)</f>
        <v>80.351851851851862</v>
      </c>
      <c r="DS26" s="54" cm="1">
        <f t="array" ref="DS26">IFERROR(VLOOKUP($A26,TRANSPOSE('[1]Fur 1 PLC'!$CL$1:$DP$38),11,0),0)</f>
        <v>0</v>
      </c>
      <c r="DT26" s="54" cm="1">
        <f t="array" ref="DT26">IFERROR(VLOOKUP($A26,TRANSPOSE('[1]Fur 1 PLC'!$CL$1:$DP$38),19,0),0)</f>
        <v>0</v>
      </c>
      <c r="DU26" s="54" cm="1">
        <f t="array" ref="DU26">IFERROR(VLOOKUP($A26,TRANSPOSE('[1]Fur 1 PLC'!$CL$1:$DP$38),18,0),0)</f>
        <v>225.48148148148147</v>
      </c>
      <c r="DV26" s="54" cm="1">
        <f t="array" ref="DV26">IFERROR(VLOOKUP($A26,TRANSPOSE('[1]Fur 1 PLC'!$CL$1:$DP$38),15,0),0)</f>
        <v>68.055555555555543</v>
      </c>
      <c r="DW26" t="str">
        <f>TEXT(C26,"Mmm-yy")</f>
        <v>Dec-25</v>
      </c>
    </row>
    <row r="27" spans="1:127" x14ac:dyDescent="0.3">
      <c r="A27" s="28" t="str">
        <f t="shared" si="1"/>
        <v>F245998</v>
      </c>
      <c r="B27" s="29" t="s">
        <v>27</v>
      </c>
      <c r="C27" s="30">
        <f>C26</f>
        <v>45998</v>
      </c>
      <c r="D27" s="29" t="str">
        <f>VLOOKUP($B27&amp;$C27,'[1]FC2 Prod'!$A$6:$BP$36,[2]Consolidated!D$1)</f>
        <v>Mr. Girish Malik</v>
      </c>
      <c r="E27" s="29">
        <f>VLOOKUP($B27&amp;$C27,'[1]FC2 Prod'!$A$6:$BP$36,[2]Consolidated!E$1)</f>
        <v>30</v>
      </c>
      <c r="F27" s="29">
        <f>VLOOKUP($B27&amp;$C27,'[1]FC2 Prod'!$A$6:$BP$36,[2]Consolidated!F$1)</f>
        <v>0</v>
      </c>
      <c r="G27" s="29">
        <f>VLOOKUP($B27&amp;$C27,'[1]FC2 Prod'!$A$6:$BP$36,[2]Consolidated!G$1)</f>
        <v>30</v>
      </c>
      <c r="H27" s="32">
        <f>VLOOKUP($B27&amp;$C27,'[1]FC2 Prod'!$A$6:$BP$36,[2]Consolidated!H$1)</f>
        <v>20.96</v>
      </c>
      <c r="I27" s="32">
        <f>VLOOKUP($B27&amp;$C27,'[1]FC2 Prod'!$A$6:$BP$36,[2]Consolidated!I$1)</f>
        <v>6.03</v>
      </c>
      <c r="J27" s="32">
        <f>VLOOKUP($B27&amp;$C27,'[1]FC2 Prod'!$A$6:$BP$36,[2]Consolidated!J$1)</f>
        <v>40.159999999999997</v>
      </c>
      <c r="K27" s="32">
        <f>VLOOKUP($B27&amp;$C27,'[1]FC2 Prod'!$A$6:$BP$36,[2]Consolidated!K$1)</f>
        <v>1.28</v>
      </c>
      <c r="L27" s="32">
        <f>VLOOKUP($B27&amp;$C27,'[1]FC2 Prod'!$A$6:$BP$36,[2]Consolidated!L$1)</f>
        <v>27.72</v>
      </c>
      <c r="M27" s="32">
        <f>VLOOKUP($B27&amp;$C27,'[1]FC2 Prod'!$A$6:$BP$36,[2]Consolidated!M$1)</f>
        <v>5.04</v>
      </c>
      <c r="N27" s="32">
        <f>VLOOKUP($B27&amp;$C27,'[1]FC2 Prod'!$A$6:$BP$36,[2]Consolidated!N$1)</f>
        <v>16.579999999999998</v>
      </c>
      <c r="O27" s="32">
        <f>VLOOKUP($B27&amp;$C27,'[1]FC2 Prod'!$A$6:$BP$36,[2]Consolidated!O$1)</f>
        <v>0.82</v>
      </c>
      <c r="P27" s="34">
        <f>VLOOKUP($B27&amp;$C27,'[1]FC2 Prod'!$A$6:$BP$36,[2]Consolidated!P$1)</f>
        <v>9</v>
      </c>
      <c r="Q27" s="29">
        <f>VLOOKUP($B27&amp;$C27,'[1]FC2 Prod'!$A$6:$BP$36,[2]Consolidated!Q$1)</f>
        <v>61.102000000000004</v>
      </c>
      <c r="R27" s="29">
        <f>VLOOKUP($B27&amp;$C27,'[1]FC2 Prod'!$A$6:$BP$36,[2]Consolidated!R$1)</f>
        <v>21.263999999999999</v>
      </c>
      <c r="S27" s="34">
        <f>VLOOKUP($B27&amp;$C27,'[1]FC2 Prod'!$A$6:$BP$36,[2]Consolidated!S$1)</f>
        <v>30</v>
      </c>
      <c r="T27" s="34">
        <f>VLOOKUP($B27&amp;$C27,'[1]FC2 Prod'!$A$6:$BP$36,[2]Consolidated!T$1)</f>
        <v>20</v>
      </c>
      <c r="U27" s="34">
        <f>VLOOKUP($B27&amp;$C27,'[1]FC2 Prod'!$A$6:$BP$36,[2]Consolidated!U$1)</f>
        <v>20</v>
      </c>
      <c r="V27" s="34">
        <f>VLOOKUP($B27&amp;$C27,'[1]FC2 Prod'!$A$6:$BP$36,[2]Consolidated!V$1)</f>
        <v>70</v>
      </c>
      <c r="W27" s="29">
        <f>VLOOKUP($B27&amp;$C27,'[1]FC2 Prod'!$A$6:$BP$36,[2]Consolidated!W$1)</f>
        <v>2.0367333333333333</v>
      </c>
      <c r="X27" s="35">
        <f>VLOOKUP($B27&amp;$C27,'[1]FC2 Prod'!$A$6:$BP$36,[2]Consolidated!X$1)</f>
        <v>30.925000000000004</v>
      </c>
      <c r="Y27" s="36">
        <f>VLOOKUP($B27&amp;$C27,'[1]FC2 Prod'!$A$6:$BP$36,[2]Consolidated!Y$1)</f>
        <v>0.97008892481810816</v>
      </c>
      <c r="Z27" s="37" t="str">
        <f>VLOOKUP($B27&amp;$C27,'[1]FC2 Prod'!$A$6:$BP$36,[2]Consolidated!Z$1)</f>
        <v>55/22</v>
      </c>
      <c r="AA27" s="31">
        <f>VLOOKUP($B27&amp;$C27,'[1]FC2 Prod'!$A$6:$BP$36,[2]Consolidated!AA$1)</f>
        <v>55.142222222222223</v>
      </c>
      <c r="AB27" s="31">
        <f>VLOOKUP($B27&amp;$C27,'[1]FC2 Prod'!$A$6:$BP$36,[2]Consolidated!AB$1)</f>
        <v>21.534444444444446</v>
      </c>
      <c r="AC27" s="31">
        <f>VLOOKUP($B27&amp;$C27,'[1]FC2 Prod'!$A$6:$BP$36,[2]Consolidated!AC$1)</f>
        <v>0.4555555555555556</v>
      </c>
      <c r="AD27" s="38">
        <f>VLOOKUP($B27&amp;$C27,'[1]FC2 Prod'!$A$6:$BP$36,[2]Consolidated!AD$1)</f>
        <v>638.84331019999991</v>
      </c>
      <c r="AE27" s="38">
        <f>VLOOKUP($B27&amp;$C27,'[1]FC2 Prod'!$A$6:$BP$36,[2]Consolidated!AE$1)</f>
        <v>646.31876604000001</v>
      </c>
      <c r="AF27" s="39">
        <f>VLOOKUP($B27&amp;$C27,'[1]FC2 Prod'!$A$6:$BP$36,[2]Consolidated!AF$1)</f>
        <v>0.86315723029108793</v>
      </c>
      <c r="AG27" s="39">
        <f>VLOOKUP($B27&amp;$C27,'[1]FC2 Prod'!$A$6:$BP$36,[2]Consolidated!AG$1)</f>
        <v>0.85317377615505485</v>
      </c>
      <c r="AH27" s="34">
        <f>VLOOKUP($B27&amp;$C27,'[1]FC2 Prod'!$A$6:$BP$36,[2]Consolidated!AH$1)</f>
        <v>474.0707920000001</v>
      </c>
      <c r="AI27" s="33">
        <f>VLOOKUP($B27&amp;$C27,'[1]FC2 Prod'!$A$6:$BP$36,[2]Consolidated!AI$1)</f>
        <v>521.66841439999996</v>
      </c>
      <c r="AJ27" s="39">
        <f>VLOOKUP($B27&amp;$C27,'[1]FC2 Prod'!$A$6:$BP$36,[2]Consolidated!AJ$1)</f>
        <v>0.45302140322420908</v>
      </c>
      <c r="AK27" s="39">
        <f>VLOOKUP($B27&amp;$C27,'[1]FC2 Prod'!$A$6:$BP$36,[2]Consolidated!AK$1)</f>
        <v>0.45965185203413367</v>
      </c>
      <c r="AL27" s="40" t="str">
        <f>VLOOKUP($B27&amp;$C27,'[1]FC2 Prod'!$A$6:$BP$36,[2]Consolidated!AL$1)</f>
        <v>10/70</v>
      </c>
      <c r="AM27" s="41">
        <f>VLOOKUP($B27&amp;$C27,'[1]FC2 Prod'!$A$6:$BP$36,[2]Consolidated!AM$1)</f>
        <v>0</v>
      </c>
      <c r="AN27" s="42">
        <f>VLOOKUP($B27&amp;$C27,'[1]FC2 Prod'!$A$6:$BP$36,[2]Consolidated!AN$1)</f>
        <v>145.1</v>
      </c>
      <c r="AO27" s="43">
        <f>VLOOKUP($B27&amp;$C27,'[1]FC2 Prod'!$A$6:$BP$36,[2]Consolidated!AO$1)</f>
        <v>6.1840000000000002</v>
      </c>
      <c r="AP27" s="44">
        <f>VLOOKUP($B27&amp;$C27,'[1]FC2 Prod'!$A$6:$BP$36,[2]Consolidated!AP$1)</f>
        <v>5.0427999999999997</v>
      </c>
      <c r="AQ27" s="44">
        <f>VLOOKUP($B27&amp;$C27,'[1]FC2 Prod'!$A$6:$BP$36,[2]Consolidated!AQ$1)</f>
        <v>28.700617219574298</v>
      </c>
      <c r="AR27" s="45">
        <f>VLOOKUP($B27&amp;$C27,'[1]FC2 Prod'!$A$6:$BP$36,[2]Consolidated!AR$1)</f>
        <v>0.99112021857923505</v>
      </c>
      <c r="AS27" s="46">
        <f>VLOOKUP($B27&amp;$C27,'[1]FC2 Prod'!$A$6:$BP$36,[2]Consolidated!AS$1)</f>
        <v>2.186666666666667</v>
      </c>
      <c r="AT27" s="29">
        <f>VLOOKUP($B27&amp;$C27,'[1]FC2 Prod'!$A$6:$BP$36,[2]Consolidated!AT$1)</f>
        <v>0.78551553551390862</v>
      </c>
      <c r="AU27" s="34">
        <f>VLOOKUP($B27&amp;$C27,'[1]FC2 Prod'!$A$6:$BP$36,[2]Consolidated!AU$1)</f>
        <v>470.5405092592593</v>
      </c>
      <c r="AV27" s="34">
        <f>VLOOKUP($B27&amp;$C27,'[1]FC2 Prod'!$A$6:$BP$36,[2]Consolidated!AV$1)</f>
        <v>291.66666666666669</v>
      </c>
      <c r="AW27" s="47">
        <f>VLOOKUP($B27&amp;$C27,'[1]FC2 Prod'!$A$6:$BP$36,[2]Consolidated!AW$1)</f>
        <v>25182.270666666667</v>
      </c>
      <c r="AX27" s="47">
        <f>VLOOKUP($B27&amp;$C27,'[1]FC2 Prod'!$A$6:$BP$36,[2]Consolidated!AX$1)</f>
        <v>14618.8</v>
      </c>
      <c r="AY27" s="48">
        <f>VLOOKUP($B27&amp;$C27,'[1]FC2 Prod'!$A$6:$BP$36,[2]Consolidated!AY$1)</f>
        <v>1854.9</v>
      </c>
      <c r="AZ27" s="47">
        <f>VLOOKUP($B27&amp;$C27,'[1]FC2 Prod'!$A$6:$BP$36,[2]Consolidated!AZ$1)</f>
        <v>2669.6516666666666</v>
      </c>
      <c r="BA27" s="47">
        <f>VLOOKUP($B27&amp;$C27,'[1]FC2 Prod'!$A$6:$BP$36,[2]Consolidated!BA$1)</f>
        <v>29500.379999999997</v>
      </c>
      <c r="BB27" s="47">
        <f>VLOOKUP($B27&amp;$C27,'[1]FC2 Prod'!$A$6:$BP$36,[2]Consolidated!BB$1)</f>
        <v>738.26002333333338</v>
      </c>
      <c r="BC27" s="47">
        <f>VLOOKUP($B27&amp;$C27,'[1]FC2 Prod'!$A$6:$BP$36,[2]Consolidated!BC$1)</f>
        <v>9581.32</v>
      </c>
      <c r="BD27" s="49">
        <f>VLOOKUP($B27&amp;$C27,'[1]FC2 Prod'!$A$6:$BP$36,[2]Consolidated!BD$1)</f>
        <v>84145.58235666668</v>
      </c>
      <c r="BE27" s="47">
        <f>VLOOKUP($B27&amp;$C27,'[1]FC2 Prod'!$A$6:$BP$36,[2]Consolidated!BE$1)</f>
        <v>25502.536733333331</v>
      </c>
      <c r="BF27" s="47">
        <f>VLOOKUP($B27&amp;$C27,'[1]FC2 Prod'!$A$6:$BP$36,[2]Consolidated!BF$1)</f>
        <v>15988.026666666667</v>
      </c>
      <c r="BG27" s="50">
        <f>VLOOKUP($B27&amp;$C27,'[1]FC2 Prod'!$A$6:$BP$36,[2]Consolidated!BG$1)</f>
        <v>1866.51</v>
      </c>
      <c r="BH27" s="50">
        <f>VLOOKUP($B27&amp;$C27,'[1]FC2 Prod'!$A$6:$BP$36,[2]Consolidated!BH$1)</f>
        <v>755.27105066666672</v>
      </c>
      <c r="BI27" s="50">
        <f>VLOOKUP($B27&amp;$C27,'[1]FC2 Prod'!$A$6:$BP$36,[2]Consolidated!BI$1)</f>
        <v>85863.69611733334</v>
      </c>
      <c r="BJ27" s="37" t="e">
        <f>VLOOKUP($B27&amp;$C27,'[1]FC2 Prod'!$A$6:$BP$36,[2]Consolidated!BJ$1)</f>
        <v>#REF!</v>
      </c>
      <c r="BK27" s="37" t="e">
        <f>VLOOKUP($B27&amp;$C27,'[1]FC2 Prod'!$A$6:$BP$36,[2]Consolidated!BK$1)</f>
        <v>#REF!</v>
      </c>
      <c r="BL27" s="37">
        <f>VLOOKUP($B27&amp;$C27,'[1]FC2 Prod'!$A$6:$BP$36,[2]Consolidated!BL$1)</f>
        <v>5</v>
      </c>
      <c r="BM27" s="37" t="e">
        <f>VLOOKUP($B27&amp;$C27,'[1]FC2 Prod'!$A$6:$BP$36,[2]Consolidated!BM$1)</f>
        <v>#REF!</v>
      </c>
      <c r="BN27" s="37" t="e">
        <f>VLOOKUP($B27&amp;$C27,'[1]FC2 Prod'!$A$6:$BP$36,[2]Consolidated!BN$1)</f>
        <v>#REF!</v>
      </c>
      <c r="BO27" s="37">
        <f>VLOOKUP($B27&amp;$C27,'[1]FC2 Prod'!$A$6:$BP$36,[2]Consolidated!BO$1)</f>
        <v>5</v>
      </c>
      <c r="BP27" s="37" t="str">
        <f>VLOOKUP($B27&amp;$C27,'[1]FC2 Prod'!$A$6:$BP$36,[2]Consolidated!BP$1)</f>
        <v>Over current trip.</v>
      </c>
      <c r="BQ27" s="29" t="e">
        <f>VLOOKUP($B27&amp;$C27,'[1]FC2 Prod'!$A$6:$BP$36,[2]Consolidated!BQ$1)</f>
        <v>#REF!</v>
      </c>
      <c r="BR27" s="51">
        <f>VLOOKUP($B27&amp;$C27,'[1]FC2 Prod'!$A$6:$BQ$36,[2]Consolidated!BR$1)</f>
        <v>69902</v>
      </c>
      <c r="BS27" s="52">
        <f t="shared" si="29"/>
        <v>72857.453399999999</v>
      </c>
      <c r="BT27" s="32">
        <f>BR27-BS27</f>
        <v>-2955.4533999999985</v>
      </c>
      <c r="BU27" s="37">
        <f>E27*BT27</f>
        <v>-88663.601999999955</v>
      </c>
      <c r="BV27" s="53" t="s">
        <v>130</v>
      </c>
      <c r="BW27" s="54" cm="1">
        <f t="array" ref="BW27">IFERROR(VLOOKUP($A27,TRANSPOSE('[1]Fur 2 PLC'!$AR$1:$BV$38),8,0),0)</f>
        <v>0</v>
      </c>
      <c r="BX27" s="54" cm="1">
        <f t="array" ref="BX27">IFERROR(VLOOKUP($A27,TRANSPOSE('[1]Fur 2 PLC'!$AR$1:$BV$38),30,0),0)</f>
        <v>0</v>
      </c>
      <c r="BY27" s="54" cm="1">
        <f t="array" ref="BY27">IFERROR(VLOOKUP($A27,TRANSPOSE('[1]Fur 2 PLC'!$AR$1:$BV$38),14,0),0)</f>
        <v>0</v>
      </c>
      <c r="BZ27" s="54" cm="1">
        <f t="array" ref="BZ27">IFERROR(VLOOKUP($A27,TRANSPOSE('[1]Fur 2 PLC'!$AR$1:$BV$38),16,0),0)</f>
        <v>0</v>
      </c>
      <c r="CA27" s="54" cm="1">
        <f t="array" ref="CA27">IFERROR(VLOOKUP($A27,TRANSPOSE('[1]Fur 2 PLC'!$AR$1:$BV$38),9,0),0)</f>
        <v>527.33333333333337</v>
      </c>
      <c r="CB27" s="54" cm="1">
        <f t="array" ref="CB27">IFERROR(VLOOKUP($A27,TRANSPOSE('[1]Fur 2 PLC'!$AR$1:$BV$38),17,0),0)</f>
        <v>385.13333333333333</v>
      </c>
      <c r="CC27" s="54" cm="1">
        <f t="array" ref="CC27">IFERROR(VLOOKUP($A27,TRANSPOSE('[1]Fur 2 PLC'!$AR$1:$BV$38),20,0),0)</f>
        <v>0</v>
      </c>
      <c r="CD27" s="54" cm="1">
        <f t="array" ref="CD27">IFERROR(VLOOKUP($A27,TRANSPOSE('[1]Fur 2 PLC'!$AR$1:$BV$38),28,0),0)</f>
        <v>150.46666666666667</v>
      </c>
      <c r="CE27" s="54" cm="1">
        <f t="array" ref="CE27">IFERROR(VLOOKUP($A27,TRANSPOSE('[1]Fur 2 PLC'!$AR$1:$BV$38),13,0),0)</f>
        <v>0</v>
      </c>
      <c r="CF27" s="54" cm="1">
        <f t="array" ref="CF27">IFERROR(VLOOKUP($A27,TRANSPOSE('[1]Fur 2 PLC'!$AR$1:$BV$38),37,0),0)</f>
        <v>691.30000000000007</v>
      </c>
      <c r="CG27" s="54" cm="1">
        <f t="array" ref="CG27">IFERROR(VLOOKUP($A27,TRANSPOSE('[1]Fur 2 PLC'!$AR$1:$BV$38),6,0),0)</f>
        <v>0</v>
      </c>
      <c r="CH27" s="54" cm="1">
        <f t="array" ref="CH27">IFERROR(VLOOKUP($A27,TRANSPOSE('[1]Fur 2 PLC'!$AR$1:$BV$38),21,0),0)</f>
        <v>0</v>
      </c>
      <c r="CI27" s="54" cm="1">
        <f t="array" ref="CI27">IFERROR(VLOOKUP($A27,TRANSPOSE('[1]Fur 2 PLC'!$AR$1:$BV$38),12,0),0)</f>
        <v>0</v>
      </c>
      <c r="CJ27" s="54" cm="1">
        <f t="array" ref="CJ27">IFERROR(VLOOKUP($A27,TRANSPOSE('[1]Fur 2 PLC'!$AR$1:$BV$38),25,0),0)</f>
        <v>0</v>
      </c>
      <c r="CK27" s="54" cm="1">
        <f t="array" ref="CK27">IFERROR(VLOOKUP($A27,TRANSPOSE('[1]Fur 2 PLC'!$AR$1:$BV$38),26,0),0)</f>
        <v>0</v>
      </c>
      <c r="CL27" s="54" cm="1">
        <f t="array" ref="CL27">IFERROR(VLOOKUP($A27,TRANSPOSE('[1]Fur 2 PLC'!$AR$1:$BV$38),27,0),0)</f>
        <v>558.33333333333337</v>
      </c>
      <c r="CM27" s="54" cm="1">
        <f t="array" ref="CM27">IFERROR(VLOOKUP($A27,TRANSPOSE('[1]Fur 2 PLC'!$AR$1:$BV$38),22,0),0)</f>
        <v>0</v>
      </c>
      <c r="CN27" s="54"/>
      <c r="CO27" s="54" cm="1">
        <f t="array" ref="CO27">IFERROR(VLOOKUP($A27,TRANSPOSE('[1]Fur 2 PLC'!$AR$1:$BV$38),29,0),0)</f>
        <v>0</v>
      </c>
      <c r="CP27" s="54" cm="1">
        <f t="array" ref="CP27">IFERROR(VLOOKUP($A27,TRANSPOSE('[1]Fur 2 PLC'!$AR$1:$BV$38),10,0),0)</f>
        <v>0</v>
      </c>
      <c r="CQ27" s="54" cm="1">
        <f t="array" ref="CQ27">IFERROR(VLOOKUP($A27,TRANSPOSE('[1]Fur 2 PLC'!$AR$1:$BV$38),7,0),0)</f>
        <v>215.2</v>
      </c>
      <c r="CR27" s="54" cm="1">
        <f t="array" ref="CR27">IFERROR(VLOOKUP($A27,TRANSPOSE('[1]Fur 2 PLC'!$AR$1:$BV$38),35,0),0)</f>
        <v>0</v>
      </c>
      <c r="CS27" s="54" cm="1">
        <f t="array" ref="CS27">IFERROR(VLOOKUP($A27,TRANSPOSE('[1]Fur 2 PLC'!$AR$1:$BV$38),11,0),0)</f>
        <v>767.5333333333333</v>
      </c>
      <c r="CT27" s="54" cm="1">
        <f t="array" ref="CT27">IFERROR(VLOOKUP($A27,TRANSPOSE('[1]Fur 2 PLC'!$AR$1:$BV$38),19,0),0)</f>
        <v>0</v>
      </c>
      <c r="CU27" s="54" cm="1">
        <f t="array" ref="CU27">IFERROR(VLOOKUP($A27,TRANSPOSE('[1]Fur 2 PLC'!$AR$1:$BV$38),18,0),0)</f>
        <v>0</v>
      </c>
      <c r="CV27" s="54" cm="1">
        <f t="array" ref="CV27">IFERROR(VLOOKUP($A27,TRANSPOSE('[1]Fur 2 PLC'!$AR$1:$BV$38),15,0),0)</f>
        <v>356.73333333333335</v>
      </c>
      <c r="CW27" s="54" cm="1">
        <f t="array" ref="CW27">IFERROR(VLOOKUP($A27,TRANSPOSE('[1]Fur 2 PLC'!$CI$1:$DM$38),8,0),0)</f>
        <v>0</v>
      </c>
      <c r="CX27" s="54" cm="1">
        <f t="array" ref="CX27">IFERROR(VLOOKUP($A27,TRANSPOSE('[1]Fur 2 PLC'!$CI$1:$DM$38),30,0),0)</f>
        <v>0</v>
      </c>
      <c r="CY27" s="54" cm="1">
        <f t="array" ref="CY27">IFERROR(VLOOKUP($A27,TRANSPOSE('[1]Fur 2 PLC'!$CI$1:$DM$38),14,0),0)</f>
        <v>0</v>
      </c>
      <c r="CZ27" s="54" cm="1">
        <f t="array" ref="CZ27">IFERROR(VLOOKUP($A27,TRANSPOSE('[1]Fur 2 PLC'!$CI$1:$DM$38),16,0),0)</f>
        <v>0</v>
      </c>
      <c r="DA27" s="54" cm="1">
        <f t="array" ref="DA27">IFERROR(VLOOKUP($A27,TRANSPOSE('[1]Fur 2 PLC'!$CI$1:$DM$38),9,0),0)</f>
        <v>226</v>
      </c>
      <c r="DB27" s="55" cm="1">
        <f t="array" ref="DB27">IFERROR(VLOOKUP($A27,TRANSPOSE('[1]Fur 2 PLC'!$CI$1:$DM$38),17,0),0)</f>
        <v>165.05714285714288</v>
      </c>
      <c r="DC27" s="55" cm="1">
        <f t="array" ref="DC27">IFERROR(VLOOKUP($A27,TRANSPOSE('[1]Fur 2 PLC'!$CI$1:$DM$38),20,0),0)</f>
        <v>0</v>
      </c>
      <c r="DD27" s="54" cm="1">
        <f t="array" ref="DD27">IFERROR(VLOOKUP($A27,TRANSPOSE('[1]Fur 2 PLC'!$CI$1:$DM$38),28,0),0)</f>
        <v>64.48571428571428</v>
      </c>
      <c r="DE27" s="54" cm="1">
        <f t="array" ref="DE27">IFERROR(VLOOKUP($A27,TRANSPOSE('[1]Fur 2 PLC'!$CI$1:$DM$38),13,0),0)</f>
        <v>0</v>
      </c>
      <c r="DF27" s="54" cm="1">
        <f t="array" ref="DF27">IFERROR(VLOOKUP($A27,TRANSPOSE('[1]Fur 2 PLC'!$CI$1:$DM$38),37,0),0)</f>
        <v>296.2714285714286</v>
      </c>
      <c r="DG27" s="54" cm="1">
        <f t="array" ref="DG27">IFERROR(VLOOKUP($A27,TRANSPOSE('[1]Fur 2 PLC'!$CI$1:$DM$38),6,0),0)</f>
        <v>0</v>
      </c>
      <c r="DH27" s="54" cm="1">
        <f t="array" ref="DH27">IFERROR(VLOOKUP($A27,TRANSPOSE('[1]Fur 2 PLC'!$CI$1:$DM$38),21,0),0)</f>
        <v>0</v>
      </c>
      <c r="DI27" s="54" cm="1">
        <f t="array" ref="DI27">IFERROR(VLOOKUP($A27,TRANSPOSE('[1]Fur 2 PLC'!$CI$1:$DM$38),12,0),0)</f>
        <v>0</v>
      </c>
      <c r="DJ27" s="54" cm="1">
        <f t="array" ref="DJ27">IFERROR(VLOOKUP($A27,TRANSPOSE('[1]Fur 2 PLC'!$CI$1:$DM$38),25,0),0)</f>
        <v>0</v>
      </c>
      <c r="DK27" s="54" cm="1">
        <f t="array" ref="DK27">IFERROR(VLOOKUP($A27,TRANSPOSE('[1]Fur 2 PLC'!$CI$1:$DM$38),26,0),0)</f>
        <v>0</v>
      </c>
      <c r="DL27" s="54" cm="1">
        <f t="array" ref="DL27">IFERROR(VLOOKUP($A27,TRANSPOSE('[1]Fur 2 PLC'!$CI$1:$DM$38),27,0),0)</f>
        <v>239.28571428571431</v>
      </c>
      <c r="DM27" s="54" cm="1">
        <f t="array" ref="DM27">IFERROR(VLOOKUP($A27,TRANSPOSE('[1]Fur 2 PLC'!$CI$1:$DM$38),22,0),0)</f>
        <v>0</v>
      </c>
      <c r="DN27" s="54" cm="1">
        <f t="array" ref="DN27">IFERROR(VLOOKUP($A27,TRANSPOSE('[1]Fur 2 PLC'!$CI$1:$DM$38),19,0),0)</f>
        <v>0</v>
      </c>
      <c r="DO27" s="54" cm="1">
        <f t="array" ref="DO27">IFERROR(VLOOKUP($A27,TRANSPOSE('[1]Fur 2 PLC'!$CI$1:$DM$38),29,0),0)</f>
        <v>0</v>
      </c>
      <c r="DP27" s="54" cm="1">
        <f t="array" ref="DP27">IFERROR(VLOOKUP($A27,TRANSPOSE('[1]Fur 2 PLC'!$CI$1:$DM$38),10,0),0)</f>
        <v>0</v>
      </c>
      <c r="DQ27" s="54" cm="1">
        <f t="array" ref="DQ27">IFERROR(VLOOKUP($A27,TRANSPOSE('[1]Fur 2 PLC'!$CI$1:$DM$38),7,0),0)</f>
        <v>92.228571428571442</v>
      </c>
      <c r="DR27" s="54" cm="1">
        <f t="array" ref="DR27">IFERROR(VLOOKUP($A27,TRANSPOSE('[1]Fur 2 PLC'!$CI$1:$DM$38),35,0),0)</f>
        <v>0</v>
      </c>
      <c r="DS27" s="54" cm="1">
        <f t="array" ref="DS27">IFERROR(VLOOKUP($A27,TRANSPOSE('[1]Fur 2 PLC'!$CI$1:$DM$38),11,0),0)</f>
        <v>328.94285714285712</v>
      </c>
      <c r="DT27" s="54" cm="1">
        <f t="array" ref="DT27">IFERROR(VLOOKUP($A27,TRANSPOSE('[1]Fur 2 PLC'!$CI$1:$DM$38),19,0),0)</f>
        <v>0</v>
      </c>
      <c r="DU27" s="54" cm="1">
        <f t="array" ref="DU27">IFERROR(VLOOKUP($A27,TRANSPOSE('[1]Fur 2 PLC'!$CI$1:$DM$38),18,0),0)</f>
        <v>0</v>
      </c>
      <c r="DV27" s="54" cm="1">
        <f t="array" ref="DV27">IFERROR(VLOOKUP($A27,TRANSPOSE('[1]Fur 2 PLC'!$CI$1:$DM$38),15,0),0)</f>
        <v>152.8857142857143</v>
      </c>
      <c r="DW27" t="str">
        <f t="shared" ref="DW27:DW29" si="30">TEXT(C27,"Mmm-yy")</f>
        <v>Dec-25</v>
      </c>
    </row>
    <row r="28" spans="1:127" x14ac:dyDescent="0.3">
      <c r="A28" s="28" t="str">
        <f t="shared" si="1"/>
        <v>F345998</v>
      </c>
      <c r="B28" s="29" t="s">
        <v>28</v>
      </c>
      <c r="C28" s="30">
        <f>C27</f>
        <v>45998</v>
      </c>
      <c r="D28" s="29" t="str">
        <f>VLOOKUP($B28&amp;$C28,'[1]FC3 Prod'!$A$6:$BP$36,[2]Consolidated!D$1)</f>
        <v>Mr. Ajay Singh</v>
      </c>
      <c r="E28" s="29">
        <f>VLOOKUP($B28&amp;$C28,'[1]FC3 Prod'!$A$6:$BP$36,[2]Consolidated!E$1)</f>
        <v>36.97</v>
      </c>
      <c r="F28" s="31">
        <f>VLOOKUP($B28&amp;$C28,'[1]FC3 Prod'!$A$6:$BP$36,[2]Consolidated!F$1)</f>
        <v>0.28000000000000114</v>
      </c>
      <c r="G28" s="32">
        <f>VLOOKUP($B28&amp;$C28,'[1]FC3 Prod'!$A$6:$BP$36,[2]Consolidated!G$1)</f>
        <v>37.25</v>
      </c>
      <c r="H28" s="32">
        <f>VLOOKUP($B28&amp;$C28,'[1]FC3 Prod'!$A$6:$BP$36,[2]Consolidated!H$1)</f>
        <v>26.359000000000002</v>
      </c>
      <c r="I28" s="32">
        <f>VLOOKUP($B28&amp;$C28,'[1]FC3 Prod'!$A$6:$BP$36,[2]Consolidated!I$1)</f>
        <v>11.08</v>
      </c>
      <c r="J28" s="32">
        <f>VLOOKUP($B28&amp;$C28,'[1]FC3 Prod'!$A$6:$BP$36,[2]Consolidated!J$1)</f>
        <v>38.619999999999997</v>
      </c>
      <c r="K28" s="32">
        <f>VLOOKUP($B28&amp;$C28,'[1]FC3 Prod'!$A$6:$BP$36,[2]Consolidated!K$1)</f>
        <v>1.42</v>
      </c>
      <c r="L28" s="32">
        <f>VLOOKUP($B28&amp;$C28,'[1]FC3 Prod'!$A$6:$BP$36,[2]Consolidated!L$1)</f>
        <v>26.02</v>
      </c>
      <c r="M28" s="32">
        <f>VLOOKUP($B28&amp;$C28,'[1]FC3 Prod'!$A$6:$BP$36,[2]Consolidated!M$1)</f>
        <v>4.6500000000000004</v>
      </c>
      <c r="N28" s="32">
        <f>VLOOKUP($B28&amp;$C28,'[1]FC3 Prod'!$A$6:$BP$36,[2]Consolidated!N$1)</f>
        <v>15.12</v>
      </c>
      <c r="O28" s="32">
        <f>VLOOKUP($B28&amp;$C28,'[1]FC3 Prod'!$A$6:$BP$36,[2]Consolidated!O$1)</f>
        <v>0.79</v>
      </c>
      <c r="P28" s="33">
        <f>VLOOKUP($B28&amp;$C28,'[1]FC3 Prod'!$A$6:$BP$36,[2]Consolidated!P$1)</f>
        <v>8</v>
      </c>
      <c r="Q28" s="29">
        <f>VLOOKUP($B28&amp;$C28,'[1]FC3 Prod'!$A$6:$BP$36,[2]Consolidated!Q$1)</f>
        <v>79.045999999999992</v>
      </c>
      <c r="R28" s="29">
        <f>VLOOKUP($B28&amp;$C28,'[1]FC3 Prod'!$A$6:$BP$36,[2]Consolidated!R$1)</f>
        <v>25.38</v>
      </c>
      <c r="S28" s="34">
        <f>VLOOKUP($B28&amp;$C28,'[1]FC3 Prod'!$A$6:$BP$36,[2]Consolidated!S$1)</f>
        <v>30</v>
      </c>
      <c r="T28" s="34">
        <f>VLOOKUP($B28&amp;$C28,'[1]FC3 Prod'!$A$6:$BP$36,[2]Consolidated!T$1)</f>
        <v>24</v>
      </c>
      <c r="U28" s="34">
        <f>VLOOKUP($B28&amp;$C28,'[1]FC3 Prod'!$A$6:$BP$36,[2]Consolidated!U$1)</f>
        <v>20</v>
      </c>
      <c r="V28" s="34">
        <f>VLOOKUP($B28&amp;$C28,'[1]FC3 Prod'!$A$6:$BP$36,[2]Consolidated!V$1)</f>
        <v>74</v>
      </c>
      <c r="W28" s="35">
        <f>VLOOKUP($B28&amp;$C28,'[1]FC3 Prod'!$A$6:$BP$36,[2]Consolidated!W$1)</f>
        <v>2.1381119826886663</v>
      </c>
      <c r="X28" s="35">
        <f>VLOOKUP($B28&amp;$C28,'[1]FC3 Prod'!$A$6:$BP$36,[2]Consolidated!X$1)</f>
        <v>38.394999999999996</v>
      </c>
      <c r="Y28" s="36">
        <f>VLOOKUP($B28&amp;$C28,'[1]FC3 Prod'!$A$6:$BP$36,[2]Consolidated!Y$1)</f>
        <v>0.96288579242088823</v>
      </c>
      <c r="Z28" s="37" t="str">
        <f>VLOOKUP($B28&amp;$C28,'[1]FC3 Prod'!$A$6:$BP$36,[2]Consolidated!Z$1)</f>
        <v>60/15</v>
      </c>
      <c r="AA28" s="31">
        <f>VLOOKUP($B28&amp;$C28,'[1]FC3 Prod'!$A$6:$BP$36,[2]Consolidated!AA$1)</f>
        <v>59.364999999999995</v>
      </c>
      <c r="AB28" s="31">
        <f>VLOOKUP($B28&amp;$C28,'[1]FC3 Prod'!$A$6:$BP$36,[2]Consolidated!AB$1)</f>
        <v>14.628749999999998</v>
      </c>
      <c r="AC28" s="31" t="e">
        <f>VLOOKUP($B28&amp;$C28,'[1]FC3 Prod'!$A$6:$BP$36,[2]Consolidated!AC$1)</f>
        <v>#REF!</v>
      </c>
      <c r="AD28" s="38">
        <f>VLOOKUP($B28&amp;$C28,'[1]FC3 Prod'!$A$6:$BP$36,[2]Consolidated!AD$1)</f>
        <v>864.4240091966459</v>
      </c>
      <c r="AE28" s="38">
        <f>VLOOKUP($B28&amp;$C28,'[1]FC3 Prod'!$A$6:$BP$36,[2]Consolidated!AE$1)</f>
        <v>693.70735985934562</v>
      </c>
      <c r="AF28" s="39">
        <f>VLOOKUP($B28&amp;$C28,'[1]FC3 Prod'!$A$6:$BP$36,[2]Consolidated!AF$1)</f>
        <v>0.68675788002661997</v>
      </c>
      <c r="AG28" s="39">
        <f>VLOOKUP($B28&amp;$C28,'[1]FC3 Prod'!$A$6:$BP$36,[2]Consolidated!AG$1)</f>
        <v>0.85576430978095286</v>
      </c>
      <c r="AH28" s="34">
        <f>VLOOKUP($B28&amp;$C28,'[1]FC3 Prod'!$A$6:$BP$36,[2]Consolidated!AH$1)</f>
        <v>402.86130646470116</v>
      </c>
      <c r="AI28" s="33">
        <f>VLOOKUP($B28&amp;$C28,'[1]FC3 Prod'!$A$6:$BP$36,[2]Consolidated!AI$1)</f>
        <v>406.51574249391399</v>
      </c>
      <c r="AJ28" s="39">
        <f>VLOOKUP($B28&amp;$C28,'[1]FC3 Prod'!$A$6:$BP$36,[2]Consolidated!AJ$1)</f>
        <v>0.49277797246913896</v>
      </c>
      <c r="AK28" s="39">
        <f>VLOOKUP($B28&amp;$C28,'[1]FC3 Prod'!$A$6:$BP$36,[2]Consolidated!AK$1)</f>
        <v>0.43565361051139906</v>
      </c>
      <c r="AL28" s="40" t="str">
        <f>VLOOKUP($B28&amp;$C28,'[1]FC3 Prod'!$A$6:$BP$36,[2]Consolidated!AL$1)</f>
        <v>25/50</v>
      </c>
      <c r="AM28" s="41">
        <f>VLOOKUP($B28&amp;$C28,'[1]FC3 Prod'!$A$6:$BP$36,[2]Consolidated!AM$1)</f>
        <v>3.6516094130375987E-2</v>
      </c>
      <c r="AN28" s="42">
        <f>VLOOKUP($B28&amp;$C28,'[1]FC3 Prod'!$A$6:$BP$36,[2]Consolidated!AN$1)</f>
        <v>145.4</v>
      </c>
      <c r="AO28" s="43">
        <f>VLOOKUP($B28&amp;$C28,'[1]FC3 Prod'!$A$6:$BP$36,[2]Consolidated!AO$1)</f>
        <v>6.1840000000000002</v>
      </c>
      <c r="AP28" s="44">
        <f>VLOOKUP($B28&amp;$C28,'[1]FC3 Prod'!$A$6:$BP$36,[2]Consolidated!AP$1)</f>
        <v>4.1001893427103058</v>
      </c>
      <c r="AQ28" s="44">
        <f>VLOOKUP($B28&amp;$C28,'[1]FC3 Prod'!$A$6:$BP$36,[2]Consolidated!AQ$1)</f>
        <v>29.167788158358654</v>
      </c>
      <c r="AR28" s="45">
        <f>VLOOKUP($B28&amp;$C28,'[1]FC3 Prod'!$A$6:$BP$36,[2]Consolidated!AR$1)</f>
        <v>0.99316939890710398</v>
      </c>
      <c r="AS28" s="46">
        <f>VLOOKUP($B28&amp;$C28,'[1]FC3 Prod'!$A$6:$BP$36,[2]Consolidated!AS$1)</f>
        <v>2.3073333333333328</v>
      </c>
      <c r="AT28" s="29">
        <f>VLOOKUP($B28&amp;$C28,'[1]FC3 Prod'!$A$6:$BP$36,[2]Consolidated!AT$1)</f>
        <v>0.79633811625879325</v>
      </c>
      <c r="AU28" s="34">
        <f>VLOOKUP($B28&amp;$C28,'[1]FC3 Prod'!$A$6:$BP$36,[2]Consolidated!AU$1)</f>
        <v>448.7581018518519</v>
      </c>
      <c r="AV28" s="34">
        <f>VLOOKUP($B28&amp;$C28,'[1]FC3 Prod'!$A$6:$BP$36,[2]Consolidated!AV$1)</f>
        <v>300</v>
      </c>
      <c r="AW28" s="47">
        <f>VLOOKUP($B28&amp;$C28,'[1]FC3 Prod'!$A$6:$BP$36,[2]Consolidated!AW$1)</f>
        <v>33819.143900459836</v>
      </c>
      <c r="AX28" s="47">
        <f>VLOOKUP($B28&amp;$C28,'[1]FC3 Prod'!$A$6:$BP$36,[2]Consolidated!AX$1)</f>
        <v>9498.6875845279956</v>
      </c>
      <c r="AY28" s="48">
        <f>VLOOKUP($B28&amp;$C28,'[1]FC3 Prod'!$A$6:$BP$36,[2]Consolidated!AY$1)</f>
        <v>878.57722477684615</v>
      </c>
      <c r="AZ28" s="47">
        <f>VLOOKUP($B28&amp;$C28,'[1]FC3 Prod'!$A$6:$BP$36,[2]Consolidated!AZ$1)</f>
        <v>2013.6854206113064</v>
      </c>
      <c r="BA28" s="47">
        <f>VLOOKUP($B28&amp;$C28,'[1]FC3 Prod'!$A$6:$BP$36,[2]Consolidated!BA$1)</f>
        <v>23986.107654855288</v>
      </c>
      <c r="BB28" s="47">
        <f>VLOOKUP($B28&amp;$C28,'[1]FC3 Prod'!$A$6:$BP$36,[2]Consolidated!BB$1)</f>
        <v>701.96201785231267</v>
      </c>
      <c r="BC28" s="47">
        <f>VLOOKUP($B28&amp;$C28,'[1]FC3 Prod'!$A$6:$BP$36,[2]Consolidated!BC$1)</f>
        <v>7790.3597511495809</v>
      </c>
      <c r="BD28" s="49">
        <f>VLOOKUP($B28&amp;$C28,'[1]FC3 Prod'!$A$6:$BP$36,[2]Consolidated!BD$1)</f>
        <v>78688.523554233165</v>
      </c>
      <c r="BE28" s="47">
        <f>VLOOKUP($B28&amp;$C28,'[1]FC3 Prod'!$A$6:$BP$36,[2]Consolidated!BE$1)</f>
        <v>26950.627265350282</v>
      </c>
      <c r="BF28" s="47">
        <f>VLOOKUP($B28&amp;$C28,'[1]FC3 Prod'!$A$6:$BP$36,[2]Consolidated!BF$1)</f>
        <v>9392.5634298079531</v>
      </c>
      <c r="BG28" s="50">
        <f>VLOOKUP($B28&amp;$C28,'[1]FC3 Prod'!$A$6:$BP$36,[2]Consolidated!BG$1)</f>
        <v>1082.7589937787395</v>
      </c>
      <c r="BH28" s="50">
        <f>VLOOKUP($B28&amp;$C28,'[1]FC3 Prod'!$A$6:$BP$36,[2]Consolidated!BH$1)</f>
        <v>634.25742764403572</v>
      </c>
      <c r="BI28" s="50">
        <f>VLOOKUP($B28&amp;$C28,'[1]FC3 Prod'!$A$6:$BP$36,[2]Consolidated!BI$1)</f>
        <v>71850.359943197182</v>
      </c>
      <c r="BJ28" s="37" t="e">
        <f>VLOOKUP($B28&amp;$C28,'[1]FC3 Prod'!$A$6:$BP$36,[2]Consolidated!BJ$1)</f>
        <v>#REF!</v>
      </c>
      <c r="BK28" s="37" t="e">
        <f>VLOOKUP($B28&amp;$C28,'[1]FC3 Prod'!$A$6:$BP$36,[2]Consolidated!BK$1)</f>
        <v>#REF!</v>
      </c>
      <c r="BL28" s="37" t="e">
        <f>VLOOKUP($B28&amp;$C28,'[1]FC3 Prod'!$A$6:$BP$36,[2]Consolidated!BL$1)</f>
        <v>#REF!</v>
      </c>
      <c r="BM28" s="37" t="e">
        <f>VLOOKUP($B28&amp;$C28,'[1]FC3 Prod'!$A$6:$BP$36,[2]Consolidated!BM$1)</f>
        <v>#REF!</v>
      </c>
      <c r="BN28" s="37" t="e">
        <f>VLOOKUP($B28&amp;$C28,'[1]FC3 Prod'!$A$6:$BP$36,[2]Consolidated!BN$1)</f>
        <v>#REF!</v>
      </c>
      <c r="BO28" s="37" t="e">
        <f>VLOOKUP($B28&amp;$C28,'[1]FC3 Prod'!$A$6:$BP$36,[2]Consolidated!BO$1)</f>
        <v>#REF!</v>
      </c>
      <c r="BP28" s="37" t="str">
        <f>VLOOKUP($B28&amp;$C28,'[1]FC3 Prod'!$A$6:$BP$36,[2]Consolidated!BP$1)</f>
        <v>NIL</v>
      </c>
      <c r="BQ28" s="51" t="e">
        <f>VLOOKUP($B28&amp;$C28,'[1]FC3 Prod'!$A$6:$BP$36,[2]Consolidated!BQ$1)</f>
        <v>#REF!</v>
      </c>
      <c r="BR28" s="51">
        <f>VLOOKUP($B28&amp;$C28,'[1]FC3 Prod'!$A$6:$BQ$36,[2]Consolidated!BR$1)</f>
        <v>60369</v>
      </c>
      <c r="BS28" s="52">
        <f t="shared" si="29"/>
        <v>61412.057343792265</v>
      </c>
      <c r="BT28" s="32">
        <f t="shared" ref="BT28:BT29" si="31">BR28-BS28</f>
        <v>-1043.0573437922649</v>
      </c>
      <c r="BU28" s="37">
        <f t="shared" ref="BU28:BU29" si="32">E28*BT28</f>
        <v>-38561.830000000031</v>
      </c>
      <c r="BV28" s="53" t="s">
        <v>130</v>
      </c>
      <c r="BW28" s="54" cm="1">
        <f t="array" ref="BW28">IFERROR(VLOOKUP($A28,TRANSPOSE('[1]Fur 3 PLC'!$AS$1:$BX$38),8,0),0)</f>
        <v>904.38193129564524</v>
      </c>
      <c r="BX28" s="54" cm="1">
        <f t="array" ref="BX28">IFERROR(VLOOKUP($A28,TRANSPOSE('[1]Fur 3 PLC'!$AS$1:$BX$38),30,0),0)</f>
        <v>0</v>
      </c>
      <c r="BY28" s="54" cm="1">
        <f t="array" ref="BY28">IFERROR(VLOOKUP($A28,TRANSPOSE('[1]Fur 3 PLC'!$AS$1:$BX$38),14,0),0)</f>
        <v>0</v>
      </c>
      <c r="BZ28" s="54" cm="1">
        <f t="array" ref="BZ28">IFERROR(VLOOKUP($A28,TRANSPOSE('[1]Fur 3 PLC'!$AS$1:$BX$38),16,0),0)</f>
        <v>0</v>
      </c>
      <c r="CA28" s="54" cm="1">
        <f t="array" ref="CA28">IFERROR(VLOOKUP($A28,TRANSPOSE('[1]Fur 3 PLC'!$AS$1:$BX$38),9,0),0)</f>
        <v>418.17690018934275</v>
      </c>
      <c r="CB28" s="54" cm="1">
        <f t="array" ref="CB28">IFERROR(VLOOKUP($A28,TRANSPOSE('[1]Fur 3 PLC'!$AS$1:$BX$38),17,0),0)</f>
        <v>0</v>
      </c>
      <c r="CC28" s="54" cm="1">
        <f t="array" ref="CC28">IFERROR(VLOOKUP($A28,TRANSPOSE('[1]Fur 3 PLC'!$AS$1:$BX$38),20,0),0)</f>
        <v>56.478225588314857</v>
      </c>
      <c r="CD28" s="54" cm="1">
        <f t="array" ref="CD28">IFERROR(VLOOKUP($A28,TRANSPOSE('[1]Fur 3 PLC'!$AS$1:$BX$38),28,0),0)</f>
        <v>0</v>
      </c>
      <c r="CE28" s="54" cm="1">
        <f t="array" ref="CE28">IFERROR(VLOOKUP($A28,TRANSPOSE('[1]Fur 3 PLC'!$AS$1:$BX$38),13,0),0)</f>
        <v>0</v>
      </c>
      <c r="CF28" s="54" cm="1">
        <f t="array" ref="CF28">IFERROR(VLOOKUP($A28,TRANSPOSE('[1]Fur 3 PLC'!$AS$1:$BX$38),37,0),0)</f>
        <v>399.45902082769817</v>
      </c>
      <c r="CG28" s="54" cm="1">
        <f t="array" ref="CG28">IFERROR(VLOOKUP($A28,TRANSPOSE('[1]Fur 3 PLC'!$AS$1:$BX$38),6,0),0)</f>
        <v>0</v>
      </c>
      <c r="CH28" s="54" cm="1">
        <f t="array" ref="CH28">IFERROR(VLOOKUP($A28,TRANSPOSE('[1]Fur 3 PLC'!$AS$1:$BX$38),21,0),0)</f>
        <v>0</v>
      </c>
      <c r="CI28" s="54" cm="1">
        <f t="array" ref="CI28">IFERROR(VLOOKUP($A28,TRANSPOSE('[1]Fur 3 PLC'!$AS$1:$BX$38),12,0),0)</f>
        <v>0</v>
      </c>
      <c r="CJ28" s="54" cm="1">
        <f t="array" ref="CJ28">IFERROR(VLOOKUP($A28,TRANSPOSE('[1]Fur 3 PLC'!$AS$1:$BX$38),25,0),0)</f>
        <v>0</v>
      </c>
      <c r="CK28" s="54" cm="1">
        <f t="array" ref="CK28">IFERROR(VLOOKUP($A28,TRANSPOSE('[1]Fur 3 PLC'!$AS$1:$BX$38),26,0),0)</f>
        <v>406.1401136056262</v>
      </c>
      <c r="CL28" s="54" cm="1">
        <f t="array" ref="CL28">IFERROR(VLOOKUP($A28,TRANSPOSE('[1]Fur 3 PLC'!$AS$1:$BX$38),27,0),0)</f>
        <v>154.26021098187721</v>
      </c>
      <c r="CM28" s="54" cm="1">
        <f t="array" ref="CM28">IFERROR(VLOOKUP($A28,TRANSPOSE('[1]Fur 3 PLC'!$AS$1:$BX$38),22,0),0)</f>
        <v>0</v>
      </c>
      <c r="CN28" s="54"/>
      <c r="CO28" s="54" cm="1">
        <f t="array" ref="CO28">IFERROR(VLOOKUP($A28,TRANSPOSE('[1]Fur 3 PLC'!$AS$1:$BX$38),29,0),0)</f>
        <v>126.10224506356505</v>
      </c>
      <c r="CP28" s="54" cm="1">
        <f t="array" ref="CP28">IFERROR(VLOOKUP($A28,TRANSPOSE('[1]Fur 3 PLC'!$AS$1:$BX$38),10,0),0)</f>
        <v>0</v>
      </c>
      <c r="CQ28" s="54" cm="1">
        <f t="array" ref="CQ28">IFERROR(VLOOKUP($A28,TRANSPOSE('[1]Fur 3 PLC'!$AS$1:$BX$38),7,0),0)</f>
        <v>240.22180146064377</v>
      </c>
      <c r="CR28" s="54" cm="1">
        <f t="array" ref="CR28">IFERROR(VLOOKUP($A28,TRANSPOSE('[1]Fur 3 PLC'!$AS$1:$BX$38),35,0),0)</f>
        <v>1.7581823099810658</v>
      </c>
      <c r="CS28" s="54" cm="1">
        <f t="array" ref="CS28">IFERROR(VLOOKUP($A28,TRANSPOSE('[1]Fur 3 PLC'!$AS$1:$BX$38),11,0),0)</f>
        <v>0</v>
      </c>
      <c r="CT28" s="54" cm="1">
        <f t="array" ref="CT28">IFERROR(VLOOKUP($A28,TRANSPOSE('[1]Fur 3 PLC'!$AS$1:$BX$38),19,0),0)</f>
        <v>0</v>
      </c>
      <c r="CU28" s="54" cm="1">
        <f t="array" ref="CU28">IFERROR(VLOOKUP($A28,TRANSPOSE('[1]Fur 3 PLC'!$AS$1:$BX$38),18,0),0)</f>
        <v>391.47957803624558</v>
      </c>
      <c r="CV28" s="54" cm="1">
        <f t="array" ref="CV28">IFERROR(VLOOKUP($A28,TRANSPOSE('[1]Fur 3 PLC'!$AR$1:$BV$38),15,0),0)</f>
        <v>367.5953475791182</v>
      </c>
      <c r="CW28" s="54" cm="1">
        <f t="array" ref="CW28">IFERROR(VLOOKUP($A28,TRANSPOSE('[1]Fur 3 PLC'!$CK$1:$DO$38),8,0),0)</f>
        <v>451.82432432432432</v>
      </c>
      <c r="CX28" s="54" cm="1">
        <f t="array" ref="CX28">IFERROR(VLOOKUP($A28,TRANSPOSE('[1]Fur 3 PLC'!$CK$1:$DO$38),30,0),0)</f>
        <v>0</v>
      </c>
      <c r="CY28" s="54" cm="1">
        <f t="array" ref="CY28">IFERROR(VLOOKUP($A28,TRANSPOSE('[1]Fur 3 PLC'!$CK$1:$DO$38),14,0),0)</f>
        <v>0</v>
      </c>
      <c r="CZ28" s="54" cm="1">
        <f t="array" ref="CZ28">IFERROR(VLOOKUP($A28,TRANSPOSE('[1]Fur 3 PLC'!$CK$1:$DO$38),16,0),0)</f>
        <v>0</v>
      </c>
      <c r="DA28" s="54" cm="1">
        <f t="array" ref="DA28">IFERROR(VLOOKUP($A28,TRANSPOSE('[1]Fur 3 PLC'!$CK$1:$DO$38),9,0),0)</f>
        <v>208.91891891891893</v>
      </c>
      <c r="DB28" s="55" cm="1">
        <f t="array" ref="DB28">IFERROR(VLOOKUP($A28,TRANSPOSE('[1]Fur 3 PLC'!$CK$1:$DO$38),17,0),0)</f>
        <v>0</v>
      </c>
      <c r="DC28" s="55" cm="1">
        <f t="array" ref="DC28">IFERROR(VLOOKUP($A28,TRANSPOSE('[1]Fur 3 PLC'!$CK$1:$DO$38),20,0),0)</f>
        <v>28.216216216216218</v>
      </c>
      <c r="DD28" s="54" cm="1">
        <f t="array" ref="DD28">IFERROR(VLOOKUP($A28,TRANSPOSE('[1]Fur 3 PLC'!$CK$1:$DO$38),28,0),0)</f>
        <v>0</v>
      </c>
      <c r="DE28" s="54" cm="1">
        <f t="array" ref="DE28">IFERROR(VLOOKUP($A28,TRANSPOSE('[1]Fur 3 PLC'!$CK$1:$DO$38),13,0),0)</f>
        <v>0</v>
      </c>
      <c r="DF28" s="54" cm="1">
        <f t="array" ref="DF28">IFERROR(VLOOKUP($A28,TRANSPOSE('[1]Fur 3 PLC'!$CK$1:$DO$38),37,0),0)</f>
        <v>199.56756756756758</v>
      </c>
      <c r="DG28" s="54" cm="1">
        <f t="array" ref="DG28">IFERROR(VLOOKUP($A28,TRANSPOSE('[1]Fur 3 PLC'!$CK$1:$DO$38),6,0),0)</f>
        <v>0</v>
      </c>
      <c r="DH28" s="54" cm="1">
        <f t="array" ref="DH28">IFERROR(VLOOKUP($A28,TRANSPOSE('[1]Fur 3 PLC'!$CK$1:$DO$38),21,0),0)</f>
        <v>0</v>
      </c>
      <c r="DI28" s="54" cm="1">
        <f t="array" ref="DI28">IFERROR(VLOOKUP($A28,TRANSPOSE('[1]Fur 3 PLC'!$CK$1:$DO$38),12,0),0)</f>
        <v>0</v>
      </c>
      <c r="DJ28" s="54" cm="1">
        <f t="array" ref="DJ28">IFERROR(VLOOKUP($A28,TRANSPOSE('[1]Fur 3 PLC'!$CK$1:$DO$38),25,0),0)</f>
        <v>0</v>
      </c>
      <c r="DK28" s="54" cm="1">
        <f t="array" ref="DK28">IFERROR(VLOOKUP($A28,TRANSPOSE('[1]Fur 3 PLC'!$CK$1:$DO$38),26,0),0)</f>
        <v>202.90540540540542</v>
      </c>
      <c r="DL28" s="54" cm="1">
        <f t="array" ref="DL28">IFERROR(VLOOKUP($A28,TRANSPOSE('[1]Fur 3 PLC'!$CK$1:$DO$38),27,0),0)</f>
        <v>77.067567567567565</v>
      </c>
      <c r="DM28" s="54" cm="1">
        <f t="array" ref="DM28">IFERROR(VLOOKUP($A28,TRANSPOSE('[1]Fur 3 PLC'!$CK$1:$DO$38),22,0),0)</f>
        <v>0</v>
      </c>
      <c r="DN28" s="54" cm="1">
        <f t="array" ref="DN28">IFERROR(VLOOKUP($A28,TRANSPOSE('[1]Fur 3 PLC'!$CK$1:$DO$38),19,0),0)</f>
        <v>0</v>
      </c>
      <c r="DO28" s="54" cm="1">
        <f t="array" ref="DO28">IFERROR(VLOOKUP($A28,TRANSPOSE('[1]Fur 3 PLC'!$CK$1:$DO$38),29,0),0)</f>
        <v>63</v>
      </c>
      <c r="DP28" s="54" cm="1">
        <f t="array" ref="DP28">IFERROR(VLOOKUP($A28,TRANSPOSE('[1]Fur 3 PLC'!$CK$1:$DO$38),10,0),0)</f>
        <v>0</v>
      </c>
      <c r="DQ28" s="54" cm="1">
        <f t="array" ref="DQ28">IFERROR(VLOOKUP($A28,TRANSPOSE('[1]Fur 3 PLC'!$CK$1:$DO$38),7,0),0)</f>
        <v>120.01351351351352</v>
      </c>
      <c r="DR28" s="54" cm="1">
        <f t="array" ref="DR28">IFERROR(VLOOKUP($A28,TRANSPOSE('[1]Fur 3 PLC'!$CK$1:$DO$38),35,0),0)</f>
        <v>0.8783783783783784</v>
      </c>
      <c r="DS28" s="54" cm="1">
        <f t="array" ref="DS28">IFERROR(VLOOKUP($A28,TRANSPOSE('[1]Fur 3 PLC'!$CK$1:$DO$38),11,0),0)</f>
        <v>0</v>
      </c>
      <c r="DT28" s="54" cm="1">
        <f t="array" ref="DT28">IFERROR(VLOOKUP($A28,TRANSPOSE('[1]Fur 3 PLC'!$CK$1:$DO$38),19,0),0)</f>
        <v>0</v>
      </c>
      <c r="DU28" s="54" cm="1">
        <f t="array" ref="DU28">IFERROR(VLOOKUP($A28,TRANSPOSE('[1]Fur 3 PLC'!$CK$1:$DO$38),18,0),0)</f>
        <v>195.58108108108109</v>
      </c>
      <c r="DV28" s="54" cm="1">
        <f t="array" ref="DV28">IFERROR(VLOOKUP($A28,TRANSPOSE('[1]Fur 3 PLC'!$CK$1:$DO$38),15,0),0)</f>
        <v>183.64864864864867</v>
      </c>
      <c r="DW28" t="str">
        <f t="shared" si="30"/>
        <v>Dec-25</v>
      </c>
    </row>
    <row r="29" spans="1:127" x14ac:dyDescent="0.3">
      <c r="A29" s="28" t="str">
        <f t="shared" si="1"/>
        <v>F445998</v>
      </c>
      <c r="B29" s="29" t="s">
        <v>29</v>
      </c>
      <c r="C29" s="30">
        <f>C28</f>
        <v>45998</v>
      </c>
      <c r="D29" s="29" t="str">
        <f>VLOOKUP($B29&amp;$C29,'[1]FC4 Prod'!$A$6:$BP$36,[2]Consolidated!D$1)</f>
        <v>Mr.Ganesh Ghosh Ji</v>
      </c>
      <c r="E29" s="29">
        <f>VLOOKUP($B29&amp;$C29,'[1]FC4 Prod'!$A$6:$BP$36,[2]Consolidated!E$1)</f>
        <v>49.319999999999993</v>
      </c>
      <c r="F29" s="31">
        <f>VLOOKUP($B29&amp;$C29,'[1]FC4 Prod'!$A$6:$BP$36,[2]Consolidated!F$1)</f>
        <v>0.38000000000000966</v>
      </c>
      <c r="G29" s="32">
        <f>VLOOKUP($B29&amp;$C29,'[1]FC4 Prod'!$A$6:$BP$36,[2]Consolidated!G$1)</f>
        <v>49.7</v>
      </c>
      <c r="H29" s="32">
        <f>VLOOKUP($B29&amp;$C29,'[1]FC4 Prod'!$A$6:$BP$36,[2]Consolidated!H$1)</f>
        <v>21.080000000000002</v>
      </c>
      <c r="I29" s="32">
        <f>VLOOKUP($B29&amp;$C29,'[1]FC4 Prod'!$A$6:$BP$36,[2]Consolidated!I$1)</f>
        <v>10.42</v>
      </c>
      <c r="J29" s="32">
        <f>VLOOKUP($B29&amp;$C29,'[1]FC4 Prod'!$A$6:$BP$36,[2]Consolidated!J$1)</f>
        <v>40.880000000000003</v>
      </c>
      <c r="K29" s="32">
        <f>VLOOKUP($B29&amp;$C29,'[1]FC4 Prod'!$A$6:$BP$36,[2]Consolidated!K$1)</f>
        <v>1.38</v>
      </c>
      <c r="L29" s="32">
        <f>VLOOKUP($B29&amp;$C29,'[1]FC4 Prod'!$A$6:$BP$36,[2]Consolidated!L$1)</f>
        <v>22.12</v>
      </c>
      <c r="M29" s="32">
        <f>VLOOKUP($B29&amp;$C29,'[1]FC4 Prod'!$A$6:$BP$36,[2]Consolidated!M$1)</f>
        <v>4.82</v>
      </c>
      <c r="N29" s="32">
        <f>VLOOKUP($B29&amp;$C29,'[1]FC4 Prod'!$A$6:$BP$36,[2]Consolidated!N$1)</f>
        <v>17.21</v>
      </c>
      <c r="O29" s="32">
        <f>VLOOKUP($B29&amp;$C29,'[1]FC4 Prod'!$A$6:$BP$36,[2]Consolidated!O$1)</f>
        <v>0.66</v>
      </c>
      <c r="P29" s="33">
        <f>VLOOKUP($B29&amp;$C29,'[1]FC4 Prod'!$A$6:$BP$36,[2]Consolidated!P$1)</f>
        <v>8</v>
      </c>
      <c r="Q29" s="29">
        <f>VLOOKUP($B29&amp;$C29,'[1]FC4 Prod'!$A$6:$BP$36,[2]Consolidated!Q$1)</f>
        <v>92.448000000000008</v>
      </c>
      <c r="R29" s="29">
        <f>VLOOKUP($B29&amp;$C29,'[1]FC4 Prod'!$A$6:$BP$36,[2]Consolidated!R$1)</f>
        <v>30.587</v>
      </c>
      <c r="S29" s="34">
        <f>VLOOKUP($B29&amp;$C29,'[1]FC4 Prod'!$A$6:$BP$36,[2]Consolidated!S$1)</f>
        <v>38</v>
      </c>
      <c r="T29" s="34">
        <f>VLOOKUP($B29&amp;$C29,'[1]FC4 Prod'!$A$6:$BP$36,[2]Consolidated!T$1)</f>
        <v>30</v>
      </c>
      <c r="U29" s="34">
        <f>VLOOKUP($B29&amp;$C29,'[1]FC4 Prod'!$A$6:$BP$36,[2]Consolidated!U$1)</f>
        <v>26</v>
      </c>
      <c r="V29" s="34">
        <f>VLOOKUP($B29&amp;$C29,'[1]FC4 Prod'!$A$6:$BP$36,[2]Consolidated!V$1)</f>
        <v>94</v>
      </c>
      <c r="W29" s="35">
        <f>VLOOKUP($B29&amp;$C29,'[1]FC4 Prod'!$A$6:$BP$36,[2]Consolidated!W$1)</f>
        <v>1.8744525547445259</v>
      </c>
      <c r="X29" s="35">
        <f>VLOOKUP($B29&amp;$C29,'[1]FC4 Prod'!$A$6:$BP$36,[2]Consolidated!X$1)</f>
        <v>51.224999999999994</v>
      </c>
      <c r="Y29" s="36">
        <f>VLOOKUP($B29&amp;$C29,'[1]FC4 Prod'!$A$6:$BP$36,[2]Consolidated!Y$1)</f>
        <v>0.96281112737920937</v>
      </c>
      <c r="Z29" s="37" t="str">
        <f>VLOOKUP($B29&amp;$C29,'[1]FC4 Prod'!$A$6:$BP$36,[2]Consolidated!Z$1)</f>
        <v>40/8</v>
      </c>
      <c r="AA29" s="31">
        <f>VLOOKUP($B29&amp;$C29,'[1]FC4 Prod'!$A$6:$BP$36,[2]Consolidated!AA$1)</f>
        <v>38.402000000000001</v>
      </c>
      <c r="AB29" s="31">
        <f>VLOOKUP($B29&amp;$C29,'[1]FC4 Prod'!$A$6:$BP$36,[2]Consolidated!AB$1)</f>
        <v>7.5919999999999987</v>
      </c>
      <c r="AC29" s="31">
        <f>VLOOKUP($B29&amp;$C29,'[1]FC4 Prod'!$A$6:$BP$36,[2]Consolidated!AC$1)</f>
        <v>0</v>
      </c>
      <c r="AD29" s="38">
        <f>VLOOKUP($B29&amp;$C29,'[1]FC4 Prod'!$A$6:$BP$36,[2]Consolidated!AD$1)</f>
        <v>321.64867751419308</v>
      </c>
      <c r="AE29" s="38">
        <f>VLOOKUP($B29&amp;$C29,'[1]FC4 Prod'!$A$6:$BP$36,[2]Consolidated!AE$1)</f>
        <v>437.89797672546638</v>
      </c>
      <c r="AF29" s="39">
        <f>VLOOKUP($B29&amp;$C29,'[1]FC4 Prod'!$A$6:$BP$36,[2]Consolidated!AF$1)</f>
        <v>1.193911328869228</v>
      </c>
      <c r="AG29" s="39">
        <f>VLOOKUP($B29&amp;$C29,'[1]FC4 Prod'!$A$6:$BP$36,[2]Consolidated!AG$1)</f>
        <v>0.8769622615560877</v>
      </c>
      <c r="AH29" s="34">
        <f>VLOOKUP($B29&amp;$C29,'[1]FC4 Prod'!$A$6:$BP$36,[2]Consolidated!AH$1)</f>
        <v>418.81980616382816</v>
      </c>
      <c r="AI29" s="33">
        <f>VLOOKUP($B29&amp;$C29,'[1]FC4 Prod'!$A$6:$BP$36,[2]Consolidated!AI$1)</f>
        <v>343.16539047039743</v>
      </c>
      <c r="AJ29" s="39">
        <f>VLOOKUP($B29&amp;$C29,'[1]FC4 Prod'!$A$6:$BP$36,[2]Consolidated!AJ$1)</f>
        <v>0.7274484048015607</v>
      </c>
      <c r="AK29" s="39">
        <f>VLOOKUP($B29&amp;$C29,'[1]FC4 Prod'!$A$6:$BP$36,[2]Consolidated!AK$1)</f>
        <v>0.6981593358938929</v>
      </c>
      <c r="AL29" s="40" t="str">
        <f>VLOOKUP($B29&amp;$C29,'[1]FC4 Prod'!$A$6:$BP$36,[2]Consolidated!AL$1)</f>
        <v>25/50</v>
      </c>
      <c r="AM29" s="41">
        <f>VLOOKUP($B29&amp;$C29,'[1]FC4 Prod'!$A$6:$BP$36,[2]Consolidated!AM$1)</f>
        <v>4.8053527980535291E-2</v>
      </c>
      <c r="AN29" s="42">
        <f>VLOOKUP($B29&amp;$C29,'[1]FC4 Prod'!$A$6:$BP$36,[2]Consolidated!AN$1)</f>
        <v>146.1</v>
      </c>
      <c r="AO29" s="43">
        <f>VLOOKUP($B29&amp;$C29,'[1]FC4 Prod'!$A$6:$BP$36,[2]Consolidated!AO$1)</f>
        <v>6.1840000000000002</v>
      </c>
      <c r="AP29" s="44">
        <f>VLOOKUP($B29&amp;$C29,'[1]FC4 Prod'!$A$6:$BP$36,[2]Consolidated!AP$1)</f>
        <v>3.0876723438767235</v>
      </c>
      <c r="AQ29" s="44">
        <f>VLOOKUP($B29&amp;$C29,'[1]FC4 Prod'!$A$6:$BP$36,[2]Consolidated!AQ$1)</f>
        <v>21.797006764127044</v>
      </c>
      <c r="AR29" s="45">
        <f>VLOOKUP($B29&amp;$C29,'[1]FC4 Prod'!$A$6:$BP$36,[2]Consolidated!AR$1)</f>
        <v>0.99795081967213128</v>
      </c>
      <c r="AS29" s="46">
        <f>VLOOKUP($B29&amp;$C29,'[1]FC4 Prod'!$A$6:$BP$36,[2]Consolidated!AS$1)</f>
        <v>2.1696666666666666</v>
      </c>
      <c r="AT29" s="29">
        <f>VLOOKUP($B29&amp;$C29,'[1]FC4 Prod'!$A$6:$BP$36,[2]Consolidated!AT$1)</f>
        <v>0.80830614392956102</v>
      </c>
      <c r="AU29" s="34">
        <f>VLOOKUP($B29&amp;$C29,'[1]FC4 Prod'!$A$6:$BP$36,[2]Consolidated!AU$1)</f>
        <v>446.01388888888891</v>
      </c>
      <c r="AV29" s="34">
        <f>VLOOKUP($B29&amp;$C29,'[1]FC4 Prod'!$A$6:$BP$36,[2]Consolidated!AV$1)</f>
        <v>241.66666666666666</v>
      </c>
      <c r="AW29" s="47">
        <f>VLOOKUP($B29&amp;$C29,'[1]FC4 Prod'!$A$6:$BP$36,[2]Consolidated!AW$1)</f>
        <v>12178.950729927008</v>
      </c>
      <c r="AX29" s="47">
        <f>VLOOKUP($B29&amp;$C29,'[1]FC4 Prod'!$A$6:$BP$36,[2]Consolidated!AX$1)</f>
        <v>8966.0397404703981</v>
      </c>
      <c r="AY29" s="48">
        <f>VLOOKUP($B29&amp;$C29,'[1]FC4 Prod'!$A$6:$BP$36,[2]Consolidated!AY$1)</f>
        <v>514.35523114355237</v>
      </c>
      <c r="AZ29" s="47">
        <f>VLOOKUP($B29&amp;$C29,'[1]FC4 Prod'!$A$6:$BP$36,[2]Consolidated!AZ$1)</f>
        <v>1554.8651662611519</v>
      </c>
      <c r="BA29" s="47">
        <f>VLOOKUP($B29&amp;$C29,'[1]FC4 Prod'!$A$6:$BP$36,[2]Consolidated!BA$1)</f>
        <v>18062.883211678833</v>
      </c>
      <c r="BB29" s="47">
        <f>VLOOKUP($B29&amp;$C29,'[1]FC4 Prod'!$A$6:$BP$36,[2]Consolidated!BB$1)</f>
        <v>412.77094079480946</v>
      </c>
      <c r="BC29" s="47">
        <f>VLOOKUP($B29&amp;$C29,'[1]FC4 Prod'!$A$6:$BP$36,[2]Consolidated!BC$1)</f>
        <v>5866.577453365775</v>
      </c>
      <c r="BD29" s="49">
        <f>VLOOKUP($B29&amp;$C29,'[1]FC4 Prod'!$A$6:$BP$36,[2]Consolidated!BD$1)</f>
        <v>47556.442473641524</v>
      </c>
      <c r="BE29" s="47">
        <f>VLOOKUP($B29&amp;$C29,'[1]FC4 Prod'!$A$6:$BP$36,[2]Consolidated!BE$1)</f>
        <v>16397.654886455803</v>
      </c>
      <c r="BF29" s="47">
        <f>VLOOKUP($B29&amp;$C29,'[1]FC4 Prod'!$A$6:$BP$36,[2]Consolidated!BF$1)</f>
        <v>7064.0777372262783</v>
      </c>
      <c r="BG29" s="50">
        <f>VLOOKUP($B29&amp;$C29,'[1]FC4 Prod'!$A$6:$BP$36,[2]Consolidated!BG$1)</f>
        <v>444.9888483373885</v>
      </c>
      <c r="BH29" s="50">
        <f>VLOOKUP($B29&amp;$C29,'[1]FC4 Prod'!$A$6:$BP$36,[2]Consolidated!BH$1)</f>
        <v>435.24469849959451</v>
      </c>
      <c r="BI29" s="50">
        <f>VLOOKUP($B29&amp;$C29,'[1]FC4 Prod'!$A$6:$BP$36,[2]Consolidated!BI$1)</f>
        <v>49826.292001824819</v>
      </c>
      <c r="BJ29" s="37" t="e">
        <f>VLOOKUP($B29&amp;$C29,'[1]FC4 Prod'!$A$6:$BP$36,[2]Consolidated!BJ$1)</f>
        <v>#REF!</v>
      </c>
      <c r="BK29" s="37" t="e">
        <f>VLOOKUP($B29&amp;$C29,'[1]FC4 Prod'!$A$6:$BP$36,[2]Consolidated!BK$1)</f>
        <v>#REF!</v>
      </c>
      <c r="BL29" s="37" t="e">
        <f>VLOOKUP($B29&amp;$C29,'[1]FC4 Prod'!$A$6:$BP$36,[2]Consolidated!BL$1)</f>
        <v>#REF!</v>
      </c>
      <c r="BM29" s="37" t="e">
        <f>VLOOKUP($B29&amp;$C29,'[1]FC4 Prod'!$A$6:$BP$36,[2]Consolidated!BM$1)</f>
        <v>#REF!</v>
      </c>
      <c r="BN29" s="37" t="e">
        <f>VLOOKUP($B29&amp;$C29,'[1]FC4 Prod'!$A$6:$BP$36,[2]Consolidated!BN$1)</f>
        <v>#REF!</v>
      </c>
      <c r="BO29" s="37" t="e">
        <f>VLOOKUP($B29&amp;$C29,'[1]FC4 Prod'!$A$6:$BP$36,[2]Consolidated!BO$1)</f>
        <v>#REF!</v>
      </c>
      <c r="BP29" s="37" t="str">
        <f>VLOOKUP($B29&amp;$C29,'[1]FC4 Prod'!$A$6:$BP$36,[2]Consolidated!BP$1)</f>
        <v>NIL</v>
      </c>
      <c r="BQ29" s="51" t="e">
        <f>VLOOKUP($B29&amp;$C29,'[1]FC4 Prod'!$A$6:$BP$36,[2]Consolidated!BQ$1)</f>
        <v>#REF!</v>
      </c>
      <c r="BR29" s="51">
        <f>VLOOKUP($B29&amp;$C29,'[1]FC4 Prod'!$A$6:$BQ$36,[2]Consolidated!BR$1)</f>
        <v>41644</v>
      </c>
      <c r="BS29" s="52">
        <f t="shared" ref="BS29" si="33">BE29+BF29*110%+BG29+BA29</f>
        <v>42676.012457420933</v>
      </c>
      <c r="BT29" s="32">
        <f t="shared" si="31"/>
        <v>-1032.0124574209331</v>
      </c>
      <c r="BU29" s="37">
        <f t="shared" si="32"/>
        <v>-50898.854400000411</v>
      </c>
      <c r="BV29" s="53" t="s">
        <v>130</v>
      </c>
      <c r="BW29" s="54" cm="1">
        <f t="array" ref="BW29">IFERROR(VLOOKUP($A29,TRANSPOSE('[1]Fur 4 PLC'!$AR$1:$BV$39),8,0),0)</f>
        <v>0</v>
      </c>
      <c r="BX29" s="54" cm="1">
        <f t="array" ref="BX29">IFERROR(VLOOKUP($A29,TRANSPOSE('[1]Fur 4 PLC'!$AR$1:$BV$39),30,0),0)</f>
        <v>0</v>
      </c>
      <c r="BY29" s="54" cm="1">
        <f t="array" ref="BY29">IFERROR(VLOOKUP($A29,TRANSPOSE('[1]Fur 4 PLC'!$AR$1:$BV$39),14,0),0)</f>
        <v>0</v>
      </c>
      <c r="BZ29" s="54" cm="1">
        <f t="array" ref="BZ29">IFERROR(VLOOKUP($A29,TRANSPOSE('[1]Fur 4 PLC'!$AR$1:$BV$39),16,0),0)</f>
        <v>0</v>
      </c>
      <c r="CA29" s="54" cm="1">
        <f t="array" ref="CA29">IFERROR(VLOOKUP($A29,TRANSPOSE('[1]Fur 4 PLC'!$AR$1:$BV$39),9,0),0)</f>
        <v>0</v>
      </c>
      <c r="CB29" s="54" cm="1">
        <f t="array" ref="CB29">IFERROR(VLOOKUP($A29,TRANSPOSE('[1]Fur 4 PLC'!$AR$1:$BV$39),17,0),0)</f>
        <v>0</v>
      </c>
      <c r="CC29" s="54" cm="1">
        <f t="array" ref="CC29">IFERROR(VLOOKUP($A29,TRANSPOSE('[1]Fur 4 PLC'!$AR$1:$BV$39),20,0),0)</f>
        <v>1404.3592862935932</v>
      </c>
      <c r="CD29" s="54" cm="1">
        <f t="array" ref="CD29">IFERROR(VLOOKUP($A29,TRANSPOSE('[1]Fur 4 PLC'!$AR$1:$BV$39),28,0),0)</f>
        <v>0</v>
      </c>
      <c r="CE29" s="54" cm="1">
        <f t="array" ref="CE29">IFERROR(VLOOKUP($A29,TRANSPOSE('[1]Fur 4 PLC'!$AR$1:$BV$39),13,0),0)</f>
        <v>96.269261962692639</v>
      </c>
      <c r="CF29" s="54" cm="1">
        <f t="array" ref="CF29">IFERROR(VLOOKUP($A29,TRANSPOSE('[1]Fur 4 PLC'!$AR$1:$BV$39),37,0),0)</f>
        <v>0.22303325223033255</v>
      </c>
      <c r="CG29" s="54" cm="1">
        <f t="array" ref="CG29">IFERROR(VLOOKUP($A29,TRANSPOSE('[1]Fur 4 PLC'!$AR$1:$BV$39),6,0),0)</f>
        <v>0</v>
      </c>
      <c r="CH29" s="54" cm="1">
        <f t="array" ref="CH29">IFERROR(VLOOKUP($A29,TRANSPOSE('[1]Fur 4 PLC'!$AR$1:$BV$39),21,0),0)</f>
        <v>0</v>
      </c>
      <c r="CI29" s="54" cm="1">
        <f t="array" ref="CI29">IFERROR(VLOOKUP($A29,TRANSPOSE('[1]Fur 4 PLC'!$AR$1:$BV$39),12,0),0)</f>
        <v>0</v>
      </c>
      <c r="CJ29" s="54" cm="1">
        <f t="array" ref="CJ29">IFERROR(VLOOKUP($A29,TRANSPOSE('[1]Fur 4 PLC'!$AR$1:$BV$39),25,0),0)</f>
        <v>70.742092457420924</v>
      </c>
      <c r="CK29" s="54" cm="1">
        <f t="array" ref="CK29">IFERROR(VLOOKUP($A29,TRANSPOSE('[1]Fur 4 PLC'!$AR$1:$BV$39),26,0),0)</f>
        <v>406.7518248175183</v>
      </c>
      <c r="CL29" s="54" cm="1">
        <f t="array" ref="CL29">IFERROR(VLOOKUP($A29,TRANSPOSE('[1]Fur 4 PLC'!$AR$1:$BV$39),27,0),0)</f>
        <v>0</v>
      </c>
      <c r="CM29" s="54" cm="1">
        <f t="array" ref="CM29">IFERROR(VLOOKUP($A29,TRANSPOSE('[1]Fur 4 PLC'!$AR$1:$BV$39),22,0),0)</f>
        <v>0</v>
      </c>
      <c r="CN29" s="54"/>
      <c r="CO29" s="54" cm="1">
        <f t="array" ref="CO29">IFERROR(VLOOKUP($A29,TRANSPOSE('[1]Fur 4 PLC'!$AR$1:$BV$39),29,0),0)</f>
        <v>142.68045417680455</v>
      </c>
      <c r="CP29" s="54" cm="1">
        <f t="array" ref="CP29">IFERROR(VLOOKUP($A29,TRANSPOSE('[1]Fur 4 PLC'!$AR$1:$BV$39),10,0),0)</f>
        <v>0</v>
      </c>
      <c r="CQ29" s="54" cm="1">
        <f t="array" ref="CQ29">IFERROR(VLOOKUP($A29,TRANSPOSE('[1]Fur 4 PLC'!$AR$1:$BV$39),7,0),0)</f>
        <v>134.52960259529604</v>
      </c>
      <c r="CR29" s="54" cm="1">
        <f t="array" ref="CR29">IFERROR(VLOOKUP($A29,TRANSPOSE('[1]Fur 4 PLC'!$AR$1:$BV$39),36,0),0)</f>
        <v>185.36090835360912</v>
      </c>
      <c r="CS29" s="54" cm="1">
        <f t="array" ref="CS29">IFERROR(VLOOKUP($A29,TRANSPOSE('[1]Fur 4 PLC'!$AR$1:$BV$39),11,0),0)</f>
        <v>0</v>
      </c>
      <c r="CT29" s="54" cm="1">
        <f t="array" ref="CT29">IFERROR(VLOOKUP($A29,TRANSPOSE('[1]Fur 4 PLC'!$AR$1:$BV$39),19,0),0)</f>
        <v>63.422546634225476</v>
      </c>
      <c r="CU29" s="54" cm="1">
        <f t="array" ref="CU29">IFERROR(VLOOKUP($A29,TRANSPOSE('[1]Fur 4 PLC'!$AR$1:$BV$39),18,0),0)</f>
        <v>310.4014598540146</v>
      </c>
      <c r="CV29" s="54" cm="1">
        <f t="array" ref="CV29">IFERROR(VLOOKUP($A29,TRANSPOSE('[1]Fur 4 PLC'!$AR$1:$BV$38),15,0),0)</f>
        <v>0</v>
      </c>
      <c r="CW29" s="54" cm="1">
        <f t="array" ref="CW29">IFERROR(VLOOKUP($A29,TRANSPOSE('[1]Fur 4 PLC'!$CK$1:$DO$39),8,0),0)</f>
        <v>0</v>
      </c>
      <c r="CX29" s="54" cm="1">
        <f t="array" ref="CX29">IFERROR(VLOOKUP($A29,TRANSPOSE('[1]Fur 4 PLC'!$CK$1:$DO$39),30,0),0)</f>
        <v>0</v>
      </c>
      <c r="CY29" s="54" cm="1">
        <f t="array" ref="CY29">IFERROR(VLOOKUP($A29,TRANSPOSE('[1]Fur 4 PLC'!$CK$1:$DO$39),14,0),0)</f>
        <v>0</v>
      </c>
      <c r="CZ29" s="54" cm="1">
        <f t="array" ref="CZ29">IFERROR(VLOOKUP($A29,TRANSPOSE('[1]Fur 4 PLC'!$CK$1:$DO$39),16,0),0)</f>
        <v>0</v>
      </c>
      <c r="DA29" s="54" cm="1">
        <f t="array" ref="DA29">IFERROR(VLOOKUP($A29,TRANSPOSE('[1]Fur 4 PLC'!$CK$1:$DO$39),9,0),0)</f>
        <v>0</v>
      </c>
      <c r="DB29" s="55" cm="1">
        <f t="array" ref="DB29">IFERROR(VLOOKUP($A29,TRANSPOSE('[1]Fur 4 PLC'!$CK$1:$DO$39),17,0),0)</f>
        <v>0</v>
      </c>
      <c r="DC29" s="55" cm="1">
        <f t="array" ref="DC29">IFERROR(VLOOKUP($A29,TRANSPOSE('[1]Fur 4 PLC'!$CK$1:$DO$39),20,0),0)</f>
        <v>736.840425531915</v>
      </c>
      <c r="DD29" s="54" cm="1">
        <f t="array" ref="DD29">IFERROR(VLOOKUP($A29,TRANSPOSE('[1]Fur 4 PLC'!$CK$1:$DO$39),28,0),0)</f>
        <v>0</v>
      </c>
      <c r="DE29" s="54" cm="1">
        <f t="array" ref="DE29">IFERROR(VLOOKUP($A29,TRANSPOSE('[1]Fur 4 PLC'!$CK$1:$DO$39),13,0),0)</f>
        <v>50.51063829787234</v>
      </c>
      <c r="DF29" s="54" cm="1">
        <f t="array" ref="DF29">IFERROR(VLOOKUP($A29,TRANSPOSE('[1]Fur 4 PLC'!$CK$1:$DO$39),37,0),0)</f>
        <v>0.11702127659574467</v>
      </c>
      <c r="DG29" s="54" cm="1">
        <f t="array" ref="DG29">IFERROR(VLOOKUP($A29,TRANSPOSE('[1]Fur 4 PLC'!$CK$1:$DO$39),6,0),0)</f>
        <v>0</v>
      </c>
      <c r="DH29" s="54" cm="1">
        <f t="array" ref="DH29">IFERROR(VLOOKUP($A29,TRANSPOSE('[1]Fur 4 PLC'!$CK$1:$DO$39),21,0),0)</f>
        <v>0</v>
      </c>
      <c r="DI29" s="54" cm="1">
        <f t="array" ref="DI29">IFERROR(VLOOKUP($A29,TRANSPOSE('[1]Fur 4 PLC'!$CK$1:$DO$39),12,0),0)</f>
        <v>0</v>
      </c>
      <c r="DJ29" s="54" cm="1">
        <f t="array" ref="DJ29">IFERROR(VLOOKUP($A29,TRANSPOSE('[1]Fur 4 PLC'!$CK$1:$DO$39),25,0),0)</f>
        <v>37.117021276595743</v>
      </c>
      <c r="DK29" s="54" cm="1">
        <f t="array" ref="DK29">IFERROR(VLOOKUP($A29,TRANSPOSE('[1]Fur 4 PLC'!$CK$1:$DO$39),26,0),0)</f>
        <v>213.41489361702128</v>
      </c>
      <c r="DL29" s="54" cm="1">
        <f t="array" ref="DL29">IFERROR(VLOOKUP($A29,TRANSPOSE('[1]Fur 4 PLC'!$CK$1:$DO$39),27,0),0)</f>
        <v>0</v>
      </c>
      <c r="DM29" s="54" cm="1">
        <f t="array" ref="DM29">IFERROR(VLOOKUP($A29,TRANSPOSE('[1]Fur 4 PLC'!$CK$1:$DO$39),22,0),0)</f>
        <v>0</v>
      </c>
      <c r="DN29" s="54" cm="1">
        <f t="array" ref="DN29">IFERROR(VLOOKUP($A29,TRANSPOSE('[1]Fur 4 PLC'!$CK$1:$DO$39),19,0),0)</f>
        <v>33.276595744680854</v>
      </c>
      <c r="DO29" s="54" cm="1">
        <f t="array" ref="DO29">IFERROR(VLOOKUP($A29,TRANSPOSE('[1]Fur 4 PLC'!$CK$1:$DO$39),29,0),0)</f>
        <v>74.861702127659584</v>
      </c>
      <c r="DP29" s="54" cm="1">
        <f t="array" ref="DP29">IFERROR(VLOOKUP($A29,TRANSPOSE('[1]Fur 4 PLC'!$CK$1:$DO$39),10,0),0)</f>
        <v>0</v>
      </c>
      <c r="DQ29" s="54" cm="1">
        <f t="array" ref="DQ29">IFERROR(VLOOKUP($A29,TRANSPOSE('[1]Fur 4 PLC'!$CK$1:$DO$39),7,0),0)</f>
        <v>70.585106382978722</v>
      </c>
      <c r="DR29" s="54" cm="1">
        <f t="array" ref="DR29">IFERROR(VLOOKUP($A29,TRANSPOSE('[1]Fur 4 PLC'!$CK$1:$DO$39),36,0),0)</f>
        <v>97.255319148936167</v>
      </c>
      <c r="DS29" s="54" cm="1">
        <f t="array" ref="DS29">IFERROR(VLOOKUP($A29,TRANSPOSE('[1]Fur 4 PLC'!$CK$1:$DO$39),11,0),0)</f>
        <v>0</v>
      </c>
      <c r="DT29" s="54" cm="1">
        <f t="array" ref="DT29">IFERROR(VLOOKUP($A29,TRANSPOSE('[1]Fur 4 PLC'!$CK$1:$DO$39),19,0),0)</f>
        <v>33.276595744680854</v>
      </c>
      <c r="DU29" s="54" cm="1">
        <f t="array" ref="DU29">IFERROR(VLOOKUP($A29,TRANSPOSE('[1]Fur 4 PLC'!$CK$1:$DO$39),18,0),0)</f>
        <v>162.86170212765958</v>
      </c>
      <c r="DV29" s="54" cm="1">
        <f t="array" ref="DV29">IFERROR(VLOOKUP($A29,TRANSPOSE('[1]Fur 4 PLC'!$CK$1:$DO$39),15,0),0)</f>
        <v>0</v>
      </c>
      <c r="DW29" t="str">
        <f t="shared" si="30"/>
        <v>Dec-25</v>
      </c>
    </row>
    <row r="30" spans="1:127" x14ac:dyDescent="0.3">
      <c r="A30" s="28" t="str">
        <f t="shared" si="1"/>
        <v>F145999</v>
      </c>
      <c r="B30" s="29" t="s">
        <v>26</v>
      </c>
      <c r="C30" s="30">
        <f>C26+1</f>
        <v>45999</v>
      </c>
      <c r="D30" s="29" t="str">
        <f>VLOOKUP($B30&amp;$C30,'[1]FC1 Prod'!$A$6:$BP$36,[2]Consolidated!D$1)</f>
        <v>Raju Singh</v>
      </c>
      <c r="E30" s="29">
        <f>VLOOKUP($B30&amp;$C30,'[1]FC1 Prod'!$A$6:$BP$36,[2]Consolidated!E$1)</f>
        <v>23.36</v>
      </c>
      <c r="F30" s="31">
        <f>VLOOKUP($B30&amp;$C30,'[1]FC1 Prod'!$A$6:$BP$36,[2]Consolidated!F$1)</f>
        <v>0</v>
      </c>
      <c r="G30" s="32">
        <f>VLOOKUP($B30&amp;$C30,'[1]FC1 Prod'!$A$6:$BP$36,[2]Consolidated!G$1)</f>
        <v>23.36</v>
      </c>
      <c r="H30" s="32">
        <f>VLOOKUP($B30&amp;$C30,'[1]FC1 Prod'!$A$6:$BP$36,[2]Consolidated!H$1)</f>
        <v>16.71</v>
      </c>
      <c r="I30" s="32">
        <f>VLOOKUP($B30&amp;$C30,'[1]FC1 Prod'!$A$6:$BP$36,[2]Consolidated!I$1)</f>
        <v>5.92</v>
      </c>
      <c r="J30" s="32">
        <f>VLOOKUP($B30&amp;$C30,'[1]FC1 Prod'!$A$6:$BP$36,[2]Consolidated!J$1)</f>
        <v>39.21</v>
      </c>
      <c r="K30" s="32">
        <f>VLOOKUP($B30&amp;$C30,'[1]FC1 Prod'!$A$6:$BP$36,[2]Consolidated!K$1)</f>
        <v>1.34</v>
      </c>
      <c r="L30" s="32">
        <f>VLOOKUP($B30&amp;$C30,'[1]FC1 Prod'!$A$6:$BP$36,[2]Consolidated!L$1)</f>
        <v>27.72</v>
      </c>
      <c r="M30" s="32">
        <f>VLOOKUP($B30&amp;$C30,'[1]FC1 Prod'!$A$6:$BP$36,[2]Consolidated!M$1)</f>
        <v>4.6500000000000004</v>
      </c>
      <c r="N30" s="32">
        <f>VLOOKUP($B30&amp;$C30,'[1]FC1 Prod'!$A$6:$BP$36,[2]Consolidated!N$1)</f>
        <v>17.579999999999998</v>
      </c>
      <c r="O30" s="32">
        <f>VLOOKUP($B30&amp;$C30,'[1]FC1 Prod'!$A$6:$BP$36,[2]Consolidated!O$1)</f>
        <v>0.83</v>
      </c>
      <c r="P30" s="33">
        <f>VLOOKUP($B30&amp;$C30,'[1]FC1 Prod'!$A$6:$BP$36,[2]Consolidated!P$1)</f>
        <v>8</v>
      </c>
      <c r="Q30" s="29">
        <f>VLOOKUP($B30&amp;$C30,'[1]FC1 Prod'!$A$6:$BP$36,[2]Consolidated!Q$1)</f>
        <v>42.581000000000003</v>
      </c>
      <c r="R30" s="29">
        <f>VLOOKUP($B30&amp;$C30,'[1]FC1 Prod'!$A$6:$BP$36,[2]Consolidated!R$1)</f>
        <v>13.692</v>
      </c>
      <c r="S30" s="34">
        <f>VLOOKUP($B30&amp;$C30,'[1]FC1 Prod'!$A$6:$BP$36,[2]Consolidated!S$1)</f>
        <v>21</v>
      </c>
      <c r="T30" s="34">
        <f>VLOOKUP($B30&amp;$C30,'[1]FC1 Prod'!$A$6:$BP$36,[2]Consolidated!T$1)</f>
        <v>16</v>
      </c>
      <c r="U30" s="34">
        <f>VLOOKUP($B30&amp;$C30,'[1]FC1 Prod'!$A$6:$BP$36,[2]Consolidated!U$1)</f>
        <v>17</v>
      </c>
      <c r="V30" s="34">
        <f>VLOOKUP($B30&amp;$C30,'[1]FC1 Prod'!$A$6:$BP$36,[2]Consolidated!V$1)</f>
        <v>54</v>
      </c>
      <c r="W30" s="35">
        <f>VLOOKUP($B30&amp;$C30,'[1]FC1 Prod'!$A$6:$BP$36,[2]Consolidated!W$1)</f>
        <v>1.822816780821918</v>
      </c>
      <c r="X30" s="35">
        <f>VLOOKUP($B30&amp;$C30,'[1]FC1 Prod'!$A$6:$BP$36,[2]Consolidated!X$1)</f>
        <v>24.085000000000001</v>
      </c>
      <c r="Y30" s="36">
        <f>VLOOKUP($B30&amp;$C30,'[1]FC1 Prod'!$A$6:$BP$36,[2]Consolidated!Y$1)</f>
        <v>0.96989827693585218</v>
      </c>
      <c r="Z30" s="37" t="str">
        <f>VLOOKUP($B30&amp;$C30,'[1]FC1 Prod'!$A$6:$BP$36,[2]Consolidated!Z$1)</f>
        <v>40/22</v>
      </c>
      <c r="AA30" s="31">
        <f>VLOOKUP($B30&amp;$C30,'[1]FC1 Prod'!$A$6:$BP$36,[2]Consolidated!AA$1)</f>
        <v>40.157500000000006</v>
      </c>
      <c r="AB30" s="31">
        <f>VLOOKUP($B30&amp;$C30,'[1]FC1 Prod'!$A$6:$BP$36,[2]Consolidated!AB$1)</f>
        <v>21.291249999999998</v>
      </c>
      <c r="AC30" s="31">
        <f>VLOOKUP($B30&amp;$C30,'[1]FC1 Prod'!$A$6:$BP$36,[2]Consolidated!AC$1)</f>
        <v>0.44374999999999998</v>
      </c>
      <c r="AD30" s="38">
        <f>VLOOKUP($B30&amp;$C30,'[1]FC1 Prod'!$A$6:$BP$36,[2]Consolidated!AD$1)</f>
        <v>634.28292975171235</v>
      </c>
      <c r="AE30" s="38">
        <f>VLOOKUP($B30&amp;$C30,'[1]FC1 Prod'!$A$6:$BP$36,[2]Consolidated!AE$1)</f>
        <v>472.92878110873289</v>
      </c>
      <c r="AF30" s="39">
        <f>VLOOKUP($B30&amp;$C30,'[1]FC1 Prod'!$A$6:$BP$36,[2]Consolidated!AF$1)</f>
        <v>0.63311651813993342</v>
      </c>
      <c r="AG30" s="39">
        <f>VLOOKUP($B30&amp;$C30,'[1]FC1 Prod'!$A$6:$BP$36,[2]Consolidated!AG$1)</f>
        <v>0.84912362292383392</v>
      </c>
      <c r="AH30" s="34">
        <f>VLOOKUP($B30&amp;$C30,'[1]FC1 Prod'!$A$6:$BP$36,[2]Consolidated!AH$1)</f>
        <v>288.57876712328761</v>
      </c>
      <c r="AI30" s="33">
        <f>VLOOKUP($B30&amp;$C30,'[1]FC1 Prod'!$A$6:$BP$36,[2]Consolidated!AI$1)</f>
        <v>444.15154109589037</v>
      </c>
      <c r="AJ30" s="39">
        <f>VLOOKUP($B30&amp;$C30,'[1]FC1 Prod'!$A$6:$BP$36,[2]Consolidated!AJ$1)</f>
        <v>1.6274989262240758</v>
      </c>
      <c r="AK30" s="39">
        <f>VLOOKUP($B30&amp;$C30,'[1]FC1 Prod'!$A$6:$BP$36,[2]Consolidated!AK$1)</f>
        <v>0.58095430265684966</v>
      </c>
      <c r="AL30" s="40" t="str">
        <f>VLOOKUP($B30&amp;$C30,'[1]FC1 Prod'!$A$6:$BP$36,[2]Consolidated!AL$1)</f>
        <v>10/70</v>
      </c>
      <c r="AM30" s="41">
        <f>VLOOKUP($B30&amp;$C30,'[1]FC1 Prod'!$A$6:$BP$36,[2]Consolidated!AM$1)</f>
        <v>0</v>
      </c>
      <c r="AN30" s="42">
        <f>VLOOKUP($B30&amp;$C30,'[1]FC1 Prod'!$A$6:$BP$36,[2]Consolidated!AN$1)</f>
        <v>105.2</v>
      </c>
      <c r="AO30" s="43">
        <f>VLOOKUP($B30&amp;$C30,'[1]FC1 Prod'!$A$6:$BP$36,[2]Consolidated!AO$1)</f>
        <v>3.9119999999999999</v>
      </c>
      <c r="AP30" s="44">
        <f>VLOOKUP($B30&amp;$C30,'[1]FC1 Prod'!$A$6:$BP$36,[2]Consolidated!AP$1)</f>
        <v>4.6708904109589042</v>
      </c>
      <c r="AQ30" s="44">
        <f>VLOOKUP($B30&amp;$C30,'[1]FC1 Prod'!$A$6:$BP$36,[2]Consolidated!AQ$1)</f>
        <v>22.755600170343364</v>
      </c>
      <c r="AR30" s="45">
        <f>VLOOKUP($B30&amp;$C30,'[1]FC1 Prod'!$A$6:$BP$36,[2]Consolidated!AR$1)</f>
        <v>0.9962121212121211</v>
      </c>
      <c r="AS30" s="46">
        <f>VLOOKUP($B30&amp;$C30,'[1]FC1 Prod'!$A$6:$BP$36,[2]Consolidated!AS$1)</f>
        <v>2.0833333333333335</v>
      </c>
      <c r="AT30" s="29">
        <f>VLOOKUP($B30&amp;$C30,'[1]FC1 Prod'!$A$6:$BP$36,[2]Consolidated!AT$1)</f>
        <v>0.79141344678858749</v>
      </c>
      <c r="AU30" s="34">
        <f>VLOOKUP($B30&amp;$C30,'[1]FC1 Prod'!$A$6:$BP$36,[2]Consolidated!AU$1)</f>
        <v>422.5219907407407</v>
      </c>
      <c r="AV30" s="34">
        <f>VLOOKUP($B30&amp;$C30,'[1]FC1 Prod'!$A$6:$BP$36,[2]Consolidated!AV$1)</f>
        <v>191.66666666666666</v>
      </c>
      <c r="AW30" s="47">
        <f>VLOOKUP($B30&amp;$C30,'[1]FC1 Prod'!$A$6:$BP$36,[2]Consolidated!AW$1)</f>
        <v>23940.233304794521</v>
      </c>
      <c r="AX30" s="47">
        <f>VLOOKUP($B30&amp;$C30,'[1]FC1 Prod'!$A$6:$BP$36,[2]Consolidated!AX$1)</f>
        <v>9113.0136986301368</v>
      </c>
      <c r="AY30" s="48">
        <f>VLOOKUP($B30&amp;$C30,'[1]FC1 Prod'!$A$6:$BP$36,[2]Consolidated!AY$1)</f>
        <v>2108.0907534246576</v>
      </c>
      <c r="AZ30" s="47">
        <f>VLOOKUP($B30&amp;$C30,'[1]FC1 Prod'!$A$6:$BP$36,[2]Consolidated!AZ$1)</f>
        <v>3419.0806934931511</v>
      </c>
      <c r="BA30" s="47">
        <f>VLOOKUP($B30&amp;$C30,'[1]FC1 Prod'!$A$6:$BP$36,[2]Consolidated!BA$1)</f>
        <v>27324.70890410959</v>
      </c>
      <c r="BB30" s="47">
        <f>VLOOKUP($B30&amp;$C30,'[1]FC1 Prod'!$A$6:$BP$36,[2]Consolidated!BB$1)</f>
        <v>659.05127354452065</v>
      </c>
      <c r="BC30" s="47">
        <f>VLOOKUP($B30&amp;$C30,'[1]FC1 Prod'!$A$6:$BP$36,[2]Consolidated!BC$1)</f>
        <v>8874.6917808219187</v>
      </c>
      <c r="BD30" s="49">
        <f>VLOOKUP($B30&amp;$C30,'[1]FC1 Prod'!$A$6:$BP$36,[2]Consolidated!BD$1)</f>
        <v>75438.870408818504</v>
      </c>
      <c r="BE30" s="47">
        <f>VLOOKUP($B30&amp;$C30,'[1]FC1 Prod'!$A$6:$BP$36,[2]Consolidated!BE$1)</f>
        <v>17865.361087328765</v>
      </c>
      <c r="BF30" s="47">
        <f>VLOOKUP($B30&amp;$C30,'[1]FC1 Prod'!$A$6:$BP$36,[2]Consolidated!BF$1)</f>
        <v>13587.756849315068</v>
      </c>
      <c r="BG30" s="50">
        <f>VLOOKUP($B30&amp;$C30,'[1]FC1 Prod'!$A$6:$BP$36,[2]Consolidated!BG$1)</f>
        <v>2007.7140410958903</v>
      </c>
      <c r="BH30" s="50">
        <f>VLOOKUP($B30&amp;$C30,'[1]FC1 Prod'!$A$6:$BP$36,[2]Consolidated!BH$1)</f>
        <v>642.04621575342469</v>
      </c>
      <c r="BI30" s="50">
        <f>VLOOKUP($B30&amp;$C30,'[1]FC1 Prod'!$A$6:$BP$36,[2]Consolidated!BI$1)</f>
        <v>73721.359571917812</v>
      </c>
      <c r="BJ30" s="37" t="e">
        <f>VLOOKUP($B30&amp;$C30,'[1]FC1 Prod'!$A$6:$BP$36,[2]Consolidated!BJ$1)</f>
        <v>#REF!</v>
      </c>
      <c r="BK30" s="37" t="e">
        <f>VLOOKUP($B30&amp;$C30,'[1]FC1 Prod'!$A$6:$BP$36,[2]Consolidated!BK$1)</f>
        <v>#REF!</v>
      </c>
      <c r="BL30" s="37">
        <f>VLOOKUP($B30&amp;$C30,'[1]FC1 Prod'!$A$6:$BP$36,[2]Consolidated!BL$1)</f>
        <v>5</v>
      </c>
      <c r="BM30" s="37" t="e">
        <f>VLOOKUP($B30&amp;$C30,'[1]FC1 Prod'!$A$6:$BP$36,[2]Consolidated!BM$1)</f>
        <v>#REF!</v>
      </c>
      <c r="BN30" s="37" t="e">
        <f>VLOOKUP($B30&amp;$C30,'[1]FC1 Prod'!$A$6:$BP$36,[2]Consolidated!BN$1)</f>
        <v>#REF!</v>
      </c>
      <c r="BO30" s="37">
        <f>VLOOKUP($B30&amp;$C30,'[1]FC1 Prod'!$A$6:$BP$36,[2]Consolidated!BO$1)</f>
        <v>5</v>
      </c>
      <c r="BP30" s="37" t="str">
        <f>VLOOKUP($B30&amp;$C30,'[1]FC1 Prod'!$A$6:$BP$36,[2]Consolidated!BP$1)</f>
        <v>Over current trip.</v>
      </c>
      <c r="BQ30" s="51" t="e">
        <f>VLOOKUP($B30&amp;$C30,'[1]FC1 Prod'!$A$6:$BP$36,[2]Consolidated!BQ$1)</f>
        <v>#REF!</v>
      </c>
      <c r="BR30" s="51">
        <f>VLOOKUP($B30&amp;$C30,'[1]FC1 Prod'!$A$6:$BQ$36,[2]Consolidated!BR$1)</f>
        <v>60759</v>
      </c>
      <c r="BS30" s="52">
        <f t="shared" ref="BS30:BS32" si="34">BE30+BF30+BG30+BA30</f>
        <v>60785.540881849316</v>
      </c>
      <c r="BT30" s="32">
        <f>BR30-BS30</f>
        <v>-26.540881849316065</v>
      </c>
      <c r="BU30" s="37">
        <f>E30*BT30</f>
        <v>-619.99500000002331</v>
      </c>
      <c r="BV30" s="53" t="s">
        <v>131</v>
      </c>
      <c r="BW30" s="54" cm="1">
        <f t="array" ref="BW30">IFERROR(VLOOKUP($A30,TRANSPOSE('[1]Fur 1 PLC'!$AR$1:$BV$38),8,0),0)</f>
        <v>0</v>
      </c>
      <c r="BX30" s="54" cm="1">
        <f t="array" ref="BX30">IFERROR(VLOOKUP($A30,TRANSPOSE('[1]Fur 1 PLC'!$AR$1:$BV$38),30,0),0)</f>
        <v>108.94691780821918</v>
      </c>
      <c r="BY30" s="54" cm="1">
        <f t="array" ref="BY30">IFERROR(VLOOKUP($A30,TRANSPOSE('[1]Fur 1 PLC'!$AR$1:$BV$38),14,0),0)</f>
        <v>0</v>
      </c>
      <c r="BZ30" s="54" cm="1">
        <f t="array" ref="BZ30">IFERROR(VLOOKUP($A30,TRANSPOSE('[1]Fur 1 PLC'!$AR$1:$BV$38),16,0),0)</f>
        <v>0</v>
      </c>
      <c r="CA30" s="54" cm="1">
        <f t="array" ref="CA30">IFERROR(VLOOKUP($A30,TRANSPOSE('[1]Fur 1 PLC'!$AR$1:$BV$38),9,0),0)</f>
        <v>312.5</v>
      </c>
      <c r="CB30" s="54" cm="1">
        <f t="array" ref="CB30">IFERROR(VLOOKUP($A30,TRANSPOSE('[1]Fur 1 PLC'!$AR$1:$BV$38),17,0),0)</f>
        <v>0</v>
      </c>
      <c r="CC30" s="54" cm="1">
        <f t="array" ref="CC30">IFERROR(VLOOKUP($A30,TRANSPOSE('[1]Fur 1 PLC'!$AR$1:$BV$38),20,0),0)</f>
        <v>832.7482876712329</v>
      </c>
      <c r="CD30" s="54" cm="1">
        <f t="array" ref="CD30">IFERROR(VLOOKUP($A30,TRANSPOSE('[1]Fur 1 PLC'!$AR$1:$BV$38),28,0),0)</f>
        <v>0</v>
      </c>
      <c r="CE30" s="54" cm="1">
        <f t="array" ref="CE30">IFERROR(VLOOKUP($A30,TRANSPOSE('[1]Fur 1 PLC'!$AR$1:$BV$38),13,0),0)</f>
        <v>0</v>
      </c>
      <c r="CF30" s="54" cm="1">
        <f t="array" ref="CF30">IFERROR(VLOOKUP($A30,TRANSPOSE('[1]Fur 1 PLC'!$AR$1:$BV$38),37,0),0)</f>
        <v>566.69520547945206</v>
      </c>
      <c r="CG30" s="54" cm="1">
        <f t="array" ref="CG30">IFERROR(VLOOKUP($A30,TRANSPOSE('[1]Fur 1 PLC'!$AR$1:$BV$38),6,0),0)</f>
        <v>0</v>
      </c>
      <c r="CH30" s="54" cm="1">
        <f t="array" ref="CH30">IFERROR(VLOOKUP($A30,TRANSPOSE('[1]Fur 1 PLC'!$AR$1:$BV$38),21,0),0)</f>
        <v>0</v>
      </c>
      <c r="CI30" s="54" cm="1">
        <f t="array" ref="CI30">IFERROR(VLOOKUP($A30,TRANSPOSE('[1]Fur 1 PLC'!$AR$1:$BV$38),12,0),0)</f>
        <v>0</v>
      </c>
      <c r="CJ30" s="54" cm="1">
        <f t="array" ref="CJ30">IFERROR(VLOOKUP($A30,TRANSPOSE('[1]Fur 1 PLC'!$AR$1:$BV$38),25,0),0)</f>
        <v>0</v>
      </c>
      <c r="CK30" s="54" cm="1">
        <f t="array" ref="CK30">IFERROR(VLOOKUP($A30,TRANSPOSE('[1]Fur 1 PLC'!$AR$1:$BV$38),26,0),0)</f>
        <v>0</v>
      </c>
      <c r="CL30" s="54" cm="1">
        <f t="array" ref="CL30">IFERROR(VLOOKUP($A30,TRANSPOSE('[1]Fur 1 PLC'!$AR$1:$BV$38),27,0),0)</f>
        <v>477.1832191780822</v>
      </c>
      <c r="CM30" s="54" cm="1">
        <f t="array" ref="CM30">IFERROR(VLOOKUP($A30,TRANSPOSE('[1]Fur 1 PLC'!$AR$1:$BV$38),22,0),0)</f>
        <v>0</v>
      </c>
      <c r="CN30" s="54"/>
      <c r="CO30" s="54" cm="1">
        <f t="array" ref="CO30">IFERROR(VLOOKUP($A30,TRANSPOSE('[1]Fur 1 PLC'!$AR$1:$BV$38),29,0),0)</f>
        <v>0</v>
      </c>
      <c r="CP30" s="54" cm="1">
        <f t="array" ref="CP30">IFERROR(VLOOKUP($A30,TRANSPOSE('[1]Fur 1 PLC'!$AR$1:$BV$38),10,0),0)</f>
        <v>0</v>
      </c>
      <c r="CQ30" s="54" cm="1">
        <f t="array" ref="CQ30">IFERROR(VLOOKUP($A30,TRANSPOSE('[1]Fur 1 PLC'!$AR$1:$BV$38),7,0),0)</f>
        <v>255.47945205479451</v>
      </c>
      <c r="CR30" s="54" cm="1">
        <f t="array" ref="CR30">IFERROR(VLOOKUP($A30,TRANSPOSE('[1]Fur 1 PLC'!$AR$1:$BV$38),35,0),0)</f>
        <v>199.01541095890411</v>
      </c>
      <c r="CS30" s="54" cm="1">
        <f t="array" ref="CS30">IFERROR(VLOOKUP($A30,TRANSPOSE('[1]Fur 1 PLC'!$AR$1:$BV$38),11,0),0)</f>
        <v>0</v>
      </c>
      <c r="CT30" s="54" cm="1">
        <f t="array" ref="CT30">IFERROR(VLOOKUP($A30,TRANSPOSE('[1]Fur 1 PLC'!$AR$1:$BV$38),19,0),0)</f>
        <v>0</v>
      </c>
      <c r="CU30" s="54" cm="1">
        <f t="array" ref="CU30">IFERROR(VLOOKUP($A30,TRANSPOSE('[1]Fur 1 PLC'!$AR$1:$BV$38),18,0),0)</f>
        <v>520.50513698630141</v>
      </c>
      <c r="CV30" s="54" cm="1">
        <f t="array" ref="CV30">IFERROR(VLOOKUP($A30,TRANSPOSE('[1]Fur 1 PLC'!$AR$1:$BV$38),15,0),0)</f>
        <v>157.06335616438358</v>
      </c>
      <c r="CW30" s="54" cm="1">
        <f t="array" ref="CW30">IFERROR(VLOOKUP($A30,TRANSPOSE('[1]Fur 1 PLC'!$CL$1:$DP$38),8,0),0)</f>
        <v>0</v>
      </c>
      <c r="CX30" s="54" cm="1">
        <f t="array" ref="CX30">IFERROR(VLOOKUP($A30,TRANSPOSE('[1]Fur 1 PLC'!$CL$1:$DP$38),30,0),0)</f>
        <v>47.129629629629626</v>
      </c>
      <c r="CY30" s="54" cm="1">
        <f t="array" ref="CY30">IFERROR(VLOOKUP($A30,TRANSPOSE('[1]Fur 1 PLC'!$CL$1:$DP$38),14,0),0)</f>
        <v>0</v>
      </c>
      <c r="CZ30" s="54" cm="1">
        <f t="array" ref="CZ30">IFERROR(VLOOKUP($A30,TRANSPOSE('[1]Fur 1 PLC'!$CL$1:$DP$38),16,0),0)</f>
        <v>0</v>
      </c>
      <c r="DA30" s="54" cm="1">
        <f t="array" ref="DA30">IFERROR(VLOOKUP($A30,TRANSPOSE('[1]Fur 1 PLC'!$CL$1:$DP$38),9,0),0)</f>
        <v>135.18518518518519</v>
      </c>
      <c r="DB30" s="55" cm="1">
        <f t="array" ref="DB30">IFERROR(VLOOKUP($A30,TRANSPOSE('[1]Fur 1 PLC'!$CL$1:$DP$38),17,0),0)</f>
        <v>0</v>
      </c>
      <c r="DC30" s="55" cm="1">
        <f t="array" ref="DC30">IFERROR(VLOOKUP($A30,TRANSPOSE('[1]Fur 1 PLC'!$CL$1:$DP$38),20,0),0)</f>
        <v>360.24074074074076</v>
      </c>
      <c r="DD30" s="54" cm="1">
        <f t="array" ref="DD30">IFERROR(VLOOKUP($A30,TRANSPOSE('[1]Fur 1 PLC'!$CL$1:$DP$38),28,0),0)</f>
        <v>0</v>
      </c>
      <c r="DE30" s="54" cm="1">
        <f t="array" ref="DE30">IFERROR(VLOOKUP($A30,TRANSPOSE('[1]Fur 1 PLC'!$CL$1:$DP$38),13,0),0)</f>
        <v>0</v>
      </c>
      <c r="DF30" s="54" cm="1">
        <f t="array" ref="DF30">IFERROR(VLOOKUP($A30,TRANSPOSE('[1]Fur 1 PLC'!$CL$1:$DP$38),37,0),0)</f>
        <v>245.14814814814815</v>
      </c>
      <c r="DG30" s="54" cm="1">
        <f t="array" ref="DG30">IFERROR(VLOOKUP($A30,TRANSPOSE('[1]Fur 1 PLC'!$CL$1:$DP$38),6,0),0)</f>
        <v>0</v>
      </c>
      <c r="DH30" s="54" cm="1">
        <f t="array" ref="DH30">IFERROR(VLOOKUP($A30,TRANSPOSE('[1]Fur 1 PLC'!$CL$1:$DP$38),21,0),0)</f>
        <v>0</v>
      </c>
      <c r="DI30" s="54" cm="1">
        <f t="array" ref="DI30">IFERROR(VLOOKUP($A30,TRANSPOSE('[1]Fur 1 PLC'!$CL$1:$DP$38),12,0),0)</f>
        <v>0</v>
      </c>
      <c r="DJ30" s="54" cm="1">
        <f t="array" ref="DJ30">IFERROR(VLOOKUP($A30,TRANSPOSE('[1]Fur 1 PLC'!$CL$1:$DP$38),25,0),0)</f>
        <v>0</v>
      </c>
      <c r="DK30" s="54" cm="1">
        <f t="array" ref="DK30">IFERROR(VLOOKUP($A30,TRANSPOSE('[1]Fur 1 PLC'!$CL$1:$DP$38),26,0),0)</f>
        <v>0</v>
      </c>
      <c r="DL30" s="54" cm="1">
        <f t="array" ref="DL30">IFERROR(VLOOKUP($A30,TRANSPOSE('[1]Fur 1 PLC'!$CL$1:$DP$38),27,0),0)</f>
        <v>206.42592592592592</v>
      </c>
      <c r="DM30" s="54" cm="1">
        <f t="array" ref="DM30">IFERROR(VLOOKUP($A30,TRANSPOSE('[1]Fur 1 PLC'!$CL$1:$DP$38),22,0),0)</f>
        <v>0</v>
      </c>
      <c r="DN30" s="54" cm="1">
        <f t="array" ref="DN30">IFERROR(VLOOKUP($A30,TRANSPOSE('[1]Fur 1 PLC'!$CL$1:$DP$38),19,0),0)</f>
        <v>0</v>
      </c>
      <c r="DO30" s="54" cm="1">
        <f t="array" ref="DO30">IFERROR(VLOOKUP($A30,TRANSPOSE('[1]Fur 1 PLC'!$CL$1:$DP$38),29,0),0)</f>
        <v>0</v>
      </c>
      <c r="DP30" s="54" cm="1">
        <f t="array" ref="DP30">IFERROR(VLOOKUP($A30,TRANSPOSE('[1]Fur 1 PLC'!$CL$1:$DP$38),10,0),0)</f>
        <v>0</v>
      </c>
      <c r="DQ30" s="54" cm="1">
        <f t="array" ref="DQ30">IFERROR(VLOOKUP($A30,TRANSPOSE('[1]Fur 1 PLC'!$CL$1:$DP$38),7,0),0)</f>
        <v>110.51851851851852</v>
      </c>
      <c r="DR30" s="54" cm="1">
        <f t="array" ref="DR30">IFERROR(VLOOKUP($A30,TRANSPOSE('[1]Fur 1 PLC'!$CL$1:$DP$38),35,0),0)</f>
        <v>86.092592592592595</v>
      </c>
      <c r="DS30" s="54" cm="1">
        <f t="array" ref="DS30">IFERROR(VLOOKUP($A30,TRANSPOSE('[1]Fur 1 PLC'!$CL$1:$DP$38),11,0),0)</f>
        <v>0</v>
      </c>
      <c r="DT30" s="54" cm="1">
        <f t="array" ref="DT30">IFERROR(VLOOKUP($A30,TRANSPOSE('[1]Fur 1 PLC'!$CL$1:$DP$38),19,0),0)</f>
        <v>0</v>
      </c>
      <c r="DU30" s="54" cm="1">
        <f t="array" ref="DU30">IFERROR(VLOOKUP($A30,TRANSPOSE('[1]Fur 1 PLC'!$CL$1:$DP$38),18,0),0)</f>
        <v>225.16666666666669</v>
      </c>
      <c r="DV30" s="54" cm="1">
        <f t="array" ref="DV30">IFERROR(VLOOKUP($A30,TRANSPOSE('[1]Fur 1 PLC'!$CL$1:$DP$38),15,0),0)</f>
        <v>67.944444444444443</v>
      </c>
      <c r="DW30" t="str">
        <f>TEXT(C30,"Mmm-yy")</f>
        <v>Dec-25</v>
      </c>
    </row>
    <row r="31" spans="1:127" x14ac:dyDescent="0.3">
      <c r="A31" s="28" t="str">
        <f t="shared" si="1"/>
        <v>F245999</v>
      </c>
      <c r="B31" s="29" t="s">
        <v>27</v>
      </c>
      <c r="C31" s="30">
        <f>C30</f>
        <v>45999</v>
      </c>
      <c r="D31" s="29" t="str">
        <f>VLOOKUP($B31&amp;$C31,'[1]FC2 Prod'!$A$6:$BP$36,[2]Consolidated!D$1)</f>
        <v>Mr. Girish Malik</v>
      </c>
      <c r="E31" s="29">
        <f>VLOOKUP($B31&amp;$C31,'[1]FC2 Prod'!$A$6:$BP$36,[2]Consolidated!E$1)</f>
        <v>30.19</v>
      </c>
      <c r="F31" s="29">
        <f>VLOOKUP($B31&amp;$C31,'[1]FC2 Prod'!$A$6:$BP$36,[2]Consolidated!F$1)</f>
        <v>0.27999999999999758</v>
      </c>
      <c r="G31" s="29">
        <f>VLOOKUP($B31&amp;$C31,'[1]FC2 Prod'!$A$6:$BP$36,[2]Consolidated!G$1)</f>
        <v>30.47</v>
      </c>
      <c r="H31" s="32">
        <f>VLOOKUP($B31&amp;$C31,'[1]FC2 Prod'!$A$6:$BP$36,[2]Consolidated!H$1)</f>
        <v>21.634999999999998</v>
      </c>
      <c r="I31" s="32">
        <f>VLOOKUP($B31&amp;$C31,'[1]FC2 Prod'!$A$6:$BP$36,[2]Consolidated!I$1)</f>
        <v>6.26</v>
      </c>
      <c r="J31" s="32">
        <f>VLOOKUP($B31&amp;$C31,'[1]FC2 Prod'!$A$6:$BP$36,[2]Consolidated!J$1)</f>
        <v>40.42</v>
      </c>
      <c r="K31" s="32">
        <f>VLOOKUP($B31&amp;$C31,'[1]FC2 Prod'!$A$6:$BP$36,[2]Consolidated!K$1)</f>
        <v>1.32</v>
      </c>
      <c r="L31" s="32">
        <f>VLOOKUP($B31&amp;$C31,'[1]FC2 Prod'!$A$6:$BP$36,[2]Consolidated!L$1)</f>
        <v>27.42</v>
      </c>
      <c r="M31" s="32">
        <f>VLOOKUP($B31&amp;$C31,'[1]FC2 Prod'!$A$6:$BP$36,[2]Consolidated!M$1)</f>
        <v>5.0199999999999996</v>
      </c>
      <c r="N31" s="32">
        <f>VLOOKUP($B31&amp;$C31,'[1]FC2 Prod'!$A$6:$BP$36,[2]Consolidated!N$1)</f>
        <v>16.32</v>
      </c>
      <c r="O31" s="32">
        <f>VLOOKUP($B31&amp;$C31,'[1]FC2 Prod'!$A$6:$BP$36,[2]Consolidated!O$1)</f>
        <v>0.8</v>
      </c>
      <c r="P31" s="34">
        <f>VLOOKUP($B31&amp;$C31,'[1]FC2 Prod'!$A$6:$BP$36,[2]Consolidated!P$1)</f>
        <v>9</v>
      </c>
      <c r="Q31" s="29">
        <f>VLOOKUP($B31&amp;$C31,'[1]FC2 Prod'!$A$6:$BP$36,[2]Consolidated!Q$1)</f>
        <v>60.738999999999997</v>
      </c>
      <c r="R31" s="29">
        <f>VLOOKUP($B31&amp;$C31,'[1]FC2 Prod'!$A$6:$BP$36,[2]Consolidated!R$1)</f>
        <v>20.622</v>
      </c>
      <c r="S31" s="34">
        <f>VLOOKUP($B31&amp;$C31,'[1]FC2 Prod'!$A$6:$BP$36,[2]Consolidated!S$1)</f>
        <v>29</v>
      </c>
      <c r="T31" s="34">
        <f>VLOOKUP($B31&amp;$C31,'[1]FC2 Prod'!$A$6:$BP$36,[2]Consolidated!T$1)</f>
        <v>21</v>
      </c>
      <c r="U31" s="34">
        <f>VLOOKUP($B31&amp;$C31,'[1]FC2 Prod'!$A$6:$BP$36,[2]Consolidated!U$1)</f>
        <v>20</v>
      </c>
      <c r="V31" s="34">
        <f>VLOOKUP($B31&amp;$C31,'[1]FC2 Prod'!$A$6:$BP$36,[2]Consolidated!V$1)</f>
        <v>70</v>
      </c>
      <c r="W31" s="29">
        <f>VLOOKUP($B31&amp;$C31,'[1]FC2 Prod'!$A$6:$BP$36,[2]Consolidated!W$1)</f>
        <v>2.0118913547532293</v>
      </c>
      <c r="X31" s="35">
        <f>VLOOKUP($B31&amp;$C31,'[1]FC2 Prod'!$A$6:$BP$36,[2]Consolidated!X$1)</f>
        <v>31.410000000000004</v>
      </c>
      <c r="Y31" s="36">
        <f>VLOOKUP($B31&amp;$C31,'[1]FC2 Prod'!$A$6:$BP$36,[2]Consolidated!Y$1)</f>
        <v>0.96115886660299266</v>
      </c>
      <c r="Z31" s="37" t="str">
        <f>VLOOKUP($B31&amp;$C31,'[1]FC2 Prod'!$A$6:$BP$36,[2]Consolidated!Z$1)</f>
        <v>55/22</v>
      </c>
      <c r="AA31" s="31">
        <f>VLOOKUP($B31&amp;$C31,'[1]FC2 Prod'!$A$6:$BP$36,[2]Consolidated!AA$1)</f>
        <v>54.822222222222223</v>
      </c>
      <c r="AB31" s="31">
        <f>VLOOKUP($B31&amp;$C31,'[1]FC2 Prod'!$A$6:$BP$36,[2]Consolidated!AB$1)</f>
        <v>21.499999999999996</v>
      </c>
      <c r="AC31" s="31">
        <f>VLOOKUP($B31&amp;$C31,'[1]FC2 Prod'!$A$6:$BP$36,[2]Consolidated!AC$1)</f>
        <v>0.45555555555555549</v>
      </c>
      <c r="AD31" s="38">
        <f>VLOOKUP($B31&amp;$C31,'[1]FC2 Prod'!$A$6:$BP$36,[2]Consolidated!AD$1)</f>
        <v>663.41427598542566</v>
      </c>
      <c r="AE31" s="38">
        <f>VLOOKUP($B31&amp;$C31,'[1]FC2 Prod'!$A$6:$BP$36,[2]Consolidated!AE$1)</f>
        <v>638.06567124875778</v>
      </c>
      <c r="AF31" s="39">
        <f>VLOOKUP($B31&amp;$C31,'[1]FC2 Prod'!$A$6:$BP$36,[2]Consolidated!AF$1)</f>
        <v>0.82636482521860288</v>
      </c>
      <c r="AG31" s="39">
        <f>VLOOKUP($B31&amp;$C31,'[1]FC2 Prod'!$A$6:$BP$36,[2]Consolidated!AG$1)</f>
        <v>0.85919404055901805</v>
      </c>
      <c r="AH31" s="34">
        <f>VLOOKUP($B31&amp;$C31,'[1]FC2 Prod'!$A$6:$BP$36,[2]Consolidated!AH$1)</f>
        <v>555.5640887711163</v>
      </c>
      <c r="AI31" s="33">
        <f>VLOOKUP($B31&amp;$C31,'[1]FC2 Prod'!$A$6:$BP$36,[2]Consolidated!AI$1)</f>
        <v>502.32857131500498</v>
      </c>
      <c r="AJ31" s="39">
        <f>VLOOKUP($B31&amp;$C31,'[1]FC2 Prod'!$A$6:$BP$36,[2]Consolidated!AJ$1)</f>
        <v>0.46922749026944188</v>
      </c>
      <c r="AK31" s="39">
        <f>VLOOKUP($B31&amp;$C31,'[1]FC2 Prod'!$A$6:$BP$36,[2]Consolidated!AK$1)</f>
        <v>0.46776159201979706</v>
      </c>
      <c r="AL31" s="40" t="str">
        <f>VLOOKUP($B31&amp;$C31,'[1]FC2 Prod'!$A$6:$BP$36,[2]Consolidated!AL$1)</f>
        <v>10/70</v>
      </c>
      <c r="AM31" s="41">
        <f>VLOOKUP($B31&amp;$C31,'[1]FC2 Prod'!$A$6:$BP$36,[2]Consolidated!AM$1)</f>
        <v>2.2192779065915866E-2</v>
      </c>
      <c r="AN31" s="42">
        <f>VLOOKUP($B31&amp;$C31,'[1]FC2 Prod'!$A$6:$BP$36,[2]Consolidated!AN$1)</f>
        <v>146.30000000000001</v>
      </c>
      <c r="AO31" s="43">
        <f>VLOOKUP($B31&amp;$C31,'[1]FC2 Prod'!$A$6:$BP$36,[2]Consolidated!AO$1)</f>
        <v>6.3659999999999997</v>
      </c>
      <c r="AP31" s="44">
        <f>VLOOKUP($B31&amp;$C31,'[1]FC2 Prod'!$A$6:$BP$36,[2]Consolidated!AP$1)</f>
        <v>5.0568400132494205</v>
      </c>
      <c r="AQ31" s="44">
        <f>VLOOKUP($B31&amp;$C31,'[1]FC2 Prod'!$A$6:$BP$36,[2]Consolidated!AQ$1)</f>
        <v>29.065125558271472</v>
      </c>
      <c r="AR31" s="45">
        <f>VLOOKUP($B31&amp;$C31,'[1]FC2 Prod'!$A$6:$BP$36,[2]Consolidated!AR$1)</f>
        <v>0.99931693989071058</v>
      </c>
      <c r="AS31" s="46">
        <f>VLOOKUP($B31&amp;$C31,'[1]FC2 Prod'!$A$6:$BP$36,[2]Consolidated!AS$1)</f>
        <v>2.1433333333333331</v>
      </c>
      <c r="AT31" s="29">
        <f>VLOOKUP($B31&amp;$C31,'[1]FC2 Prod'!$A$6:$BP$36,[2]Consolidated!AT$1)</f>
        <v>0.78374242934789518</v>
      </c>
      <c r="AU31" s="34">
        <f>VLOOKUP($B31&amp;$C31,'[1]FC2 Prod'!$A$6:$BP$36,[2]Consolidated!AU$1)</f>
        <v>477.82523148148147</v>
      </c>
      <c r="AV31" s="34">
        <f>VLOOKUP($B31&amp;$C31,'[1]FC2 Prod'!$A$6:$BP$36,[2]Consolidated!AV$1)</f>
        <v>191.66666666666666</v>
      </c>
      <c r="AW31" s="47">
        <f>VLOOKUP($B31&amp;$C31,'[1]FC2 Prod'!$A$6:$BP$36,[2]Consolidated!AW$1)</f>
        <v>26088.495197085129</v>
      </c>
      <c r="AX31" s="47">
        <f>VLOOKUP($B31&amp;$C31,'[1]FC2 Prod'!$A$6:$BP$36,[2]Consolidated!AX$1)</f>
        <v>16990.261676051672</v>
      </c>
      <c r="AY31" s="48">
        <f>VLOOKUP($B31&amp;$C31,'[1]FC2 Prod'!$A$6:$BP$36,[2]Consolidated!AY$1)</f>
        <v>1709.9701888042398</v>
      </c>
      <c r="AZ31" s="47">
        <f>VLOOKUP($B31&amp;$C31,'[1]FC2 Prod'!$A$6:$BP$36,[2]Consolidated!AZ$1)</f>
        <v>2521.0574693607155</v>
      </c>
      <c r="BA31" s="47">
        <f>VLOOKUP($B31&amp;$C31,'[1]FC2 Prod'!$A$6:$BP$36,[2]Consolidated!BA$1)</f>
        <v>29582.514077509109</v>
      </c>
      <c r="BB31" s="47">
        <f>VLOOKUP($B31&amp;$C31,'[1]FC2 Prod'!$A$6:$BP$36,[2]Consolidated!BB$1)</f>
        <v>768.92298608810859</v>
      </c>
      <c r="BC31" s="47">
        <f>VLOOKUP($B31&amp;$C31,'[1]FC2 Prod'!$A$6:$BP$36,[2]Consolidated!BC$1)</f>
        <v>9607.9960251738994</v>
      </c>
      <c r="BD31" s="49">
        <f>VLOOKUP($B31&amp;$C31,'[1]FC2 Prod'!$A$6:$BP$36,[2]Consolidated!BD$1)</f>
        <v>87269.217620072857</v>
      </c>
      <c r="BE31" s="47">
        <f>VLOOKUP($B31&amp;$C31,'[1]FC2 Prod'!$A$6:$BP$36,[2]Consolidated!BE$1)</f>
        <v>25171.164590924149</v>
      </c>
      <c r="BF31" s="47">
        <f>VLOOKUP($B31&amp;$C31,'[1]FC2 Prod'!$A$6:$BP$36,[2]Consolidated!BF$1)</f>
        <v>15383.345478635309</v>
      </c>
      <c r="BG31" s="50">
        <f>VLOOKUP($B31&amp;$C31,'[1]FC2 Prod'!$A$6:$BP$36,[2]Consolidated!BG$1)</f>
        <v>1833.3885392514076</v>
      </c>
      <c r="BH31" s="50">
        <f>VLOOKUP($B31&amp;$C31,'[1]FC2 Prod'!$A$6:$BP$36,[2]Consolidated!BH$1)</f>
        <v>744.91470155680679</v>
      </c>
      <c r="BI31" s="50">
        <f>VLOOKUP($B31&amp;$C31,'[1]FC2 Prod'!$A$6:$BP$36,[2]Consolidated!BI$1)</f>
        <v>84844.380882411395</v>
      </c>
      <c r="BJ31" s="37" t="e">
        <f>VLOOKUP($B31&amp;$C31,'[1]FC2 Prod'!$A$6:$BP$36,[2]Consolidated!BJ$1)</f>
        <v>#REF!</v>
      </c>
      <c r="BK31" s="37" t="e">
        <f>VLOOKUP($B31&amp;$C31,'[1]FC2 Prod'!$A$6:$BP$36,[2]Consolidated!BK$1)</f>
        <v>#REF!</v>
      </c>
      <c r="BL31" s="37" t="e">
        <f>VLOOKUP($B31&amp;$C31,'[1]FC2 Prod'!$A$6:$BP$36,[2]Consolidated!BL$1)</f>
        <v>#REF!</v>
      </c>
      <c r="BM31" s="37" t="e">
        <f>VLOOKUP($B31&amp;$C31,'[1]FC2 Prod'!$A$6:$BP$36,[2]Consolidated!BM$1)</f>
        <v>#REF!</v>
      </c>
      <c r="BN31" s="37" t="e">
        <f>VLOOKUP($B31&amp;$C31,'[1]FC2 Prod'!$A$6:$BP$36,[2]Consolidated!BN$1)</f>
        <v>#REF!</v>
      </c>
      <c r="BO31" s="37" t="e">
        <f>VLOOKUP($B31&amp;$C31,'[1]FC2 Prod'!$A$6:$BP$36,[2]Consolidated!BO$1)</f>
        <v>#REF!</v>
      </c>
      <c r="BP31" s="37" t="str">
        <f>VLOOKUP($B31&amp;$C31,'[1]FC2 Prod'!$A$6:$BP$36,[2]Consolidated!BP$1)</f>
        <v>NIL</v>
      </c>
      <c r="BQ31" s="29" t="e">
        <f>VLOOKUP($B31&amp;$C31,'[1]FC2 Prod'!$A$6:$BP$36,[2]Consolidated!BQ$1)</f>
        <v>#REF!</v>
      </c>
      <c r="BR31" s="51">
        <f>VLOOKUP($B31&amp;$C31,'[1]FC2 Prod'!$A$6:$BQ$36,[2]Consolidated!BR$1)</f>
        <v>69902</v>
      </c>
      <c r="BS31" s="52">
        <f t="shared" si="34"/>
        <v>71970.412686319978</v>
      </c>
      <c r="BT31" s="32">
        <f>BR31-BS31</f>
        <v>-2068.4126863199781</v>
      </c>
      <c r="BU31" s="37">
        <f>E31*BT31</f>
        <v>-62445.379000000139</v>
      </c>
      <c r="BV31" s="53" t="s">
        <v>131</v>
      </c>
      <c r="BW31" s="54" cm="1">
        <f t="array" ref="BW31">IFERROR(VLOOKUP($A31,TRANSPOSE('[1]Fur 2 PLC'!$AR$1:$BV$38),8,0),0)</f>
        <v>0</v>
      </c>
      <c r="BX31" s="54" cm="1">
        <f t="array" ref="BX31">IFERROR(VLOOKUP($A31,TRANSPOSE('[1]Fur 2 PLC'!$AR$1:$BV$38),30,0),0)</f>
        <v>0</v>
      </c>
      <c r="BY31" s="54" cm="1">
        <f t="array" ref="BY31">IFERROR(VLOOKUP($A31,TRANSPOSE('[1]Fur 2 PLC'!$AR$1:$BV$38),14,0),0)</f>
        <v>0</v>
      </c>
      <c r="BZ31" s="54" cm="1">
        <f t="array" ref="BZ31">IFERROR(VLOOKUP($A31,TRANSPOSE('[1]Fur 2 PLC'!$AR$1:$BV$38),16,0),0)</f>
        <v>0</v>
      </c>
      <c r="CA31" s="54" cm="1">
        <f t="array" ref="CA31">IFERROR(VLOOKUP($A31,TRANSPOSE('[1]Fur 2 PLC'!$AR$1:$BV$38),9,0),0)</f>
        <v>516.59489897316985</v>
      </c>
      <c r="CB31" s="54" cm="1">
        <f t="array" ref="CB31">IFERROR(VLOOKUP($A31,TRANSPOSE('[1]Fur 2 PLC'!$AR$1:$BV$38),17,0),0)</f>
        <v>394.26962570387548</v>
      </c>
      <c r="CC31" s="54" cm="1">
        <f t="array" ref="CC31">IFERROR(VLOOKUP($A31,TRANSPOSE('[1]Fur 2 PLC'!$AR$1:$BV$38),20,0),0)</f>
        <v>0</v>
      </c>
      <c r="CD31" s="54" cm="1">
        <f t="array" ref="CD31">IFERROR(VLOOKUP($A31,TRANSPOSE('[1]Fur 2 PLC'!$AR$1:$BV$38),28,0),0)</f>
        <v>148.59224908910235</v>
      </c>
      <c r="CE31" s="54" cm="1">
        <f t="array" ref="CE31">IFERROR(VLOOKUP($A31,TRANSPOSE('[1]Fur 2 PLC'!$AR$1:$BV$38),13,0),0)</f>
        <v>0</v>
      </c>
      <c r="CF31" s="54" cm="1">
        <f t="array" ref="CF31">IFERROR(VLOOKUP($A31,TRANSPOSE('[1]Fur 2 PLC'!$AR$1:$BV$38),37,0),0)</f>
        <v>679.03279231533622</v>
      </c>
      <c r="CG31" s="54" cm="1">
        <f t="array" ref="CG31">IFERROR(VLOOKUP($A31,TRANSPOSE('[1]Fur 2 PLC'!$AR$1:$BV$38),6,0),0)</f>
        <v>0</v>
      </c>
      <c r="CH31" s="54" cm="1">
        <f t="array" ref="CH31">IFERROR(VLOOKUP($A31,TRANSPOSE('[1]Fur 2 PLC'!$AR$1:$BV$38),21,0),0)</f>
        <v>0</v>
      </c>
      <c r="CI31" s="54" cm="1">
        <f t="array" ref="CI31">IFERROR(VLOOKUP($A31,TRANSPOSE('[1]Fur 2 PLC'!$AR$1:$BV$38),12,0),0)</f>
        <v>0</v>
      </c>
      <c r="CJ31" s="54" cm="1">
        <f t="array" ref="CJ31">IFERROR(VLOOKUP($A31,TRANSPOSE('[1]Fur 2 PLC'!$AR$1:$BV$38),25,0),0)</f>
        <v>0</v>
      </c>
      <c r="CK31" s="54" cm="1">
        <f t="array" ref="CK31">IFERROR(VLOOKUP($A31,TRANSPOSE('[1]Fur 2 PLC'!$AR$1:$BV$38),26,0),0)</f>
        <v>0</v>
      </c>
      <c r="CL31" s="54" cm="1">
        <f t="array" ref="CL31">IFERROR(VLOOKUP($A31,TRANSPOSE('[1]Fur 2 PLC'!$AR$1:$BV$38),27,0),0)</f>
        <v>534.48161642928119</v>
      </c>
      <c r="CM31" s="54" cm="1">
        <f t="array" ref="CM31">IFERROR(VLOOKUP($A31,TRANSPOSE('[1]Fur 2 PLC'!$AR$1:$BV$38),22,0),0)</f>
        <v>0</v>
      </c>
      <c r="CN31" s="54"/>
      <c r="CO31" s="54" cm="1">
        <f t="array" ref="CO31">IFERROR(VLOOKUP($A31,TRANSPOSE('[1]Fur 2 PLC'!$AR$1:$BV$38),29,0),0)</f>
        <v>0</v>
      </c>
      <c r="CP31" s="54" cm="1">
        <f t="array" ref="CP31">IFERROR(VLOOKUP($A31,TRANSPOSE('[1]Fur 2 PLC'!$AR$1:$BV$38),10,0),0)</f>
        <v>0</v>
      </c>
      <c r="CQ31" s="54" cm="1">
        <f t="array" ref="CQ31">IFERROR(VLOOKUP($A31,TRANSPOSE('[1]Fur 2 PLC'!$AR$1:$BV$38),7,0),0)</f>
        <v>183.40510102683004</v>
      </c>
      <c r="CR31" s="54" cm="1">
        <f t="array" ref="CR31">IFERROR(VLOOKUP($A31,TRANSPOSE('[1]Fur 2 PLC'!$AR$1:$BV$38),35,0),0)</f>
        <v>0</v>
      </c>
      <c r="CS31" s="54" cm="1">
        <f t="array" ref="CS31">IFERROR(VLOOKUP($A31,TRANSPOSE('[1]Fur 2 PLC'!$AR$1:$BV$38),11,0),0)</f>
        <v>751.8052335210333</v>
      </c>
      <c r="CT31" s="54" cm="1">
        <f t="array" ref="CT31">IFERROR(VLOOKUP($A31,TRANSPOSE('[1]Fur 2 PLC'!$AR$1:$BV$38),19,0),0)</f>
        <v>0</v>
      </c>
      <c r="CU31" s="54" cm="1">
        <f t="array" ref="CU31">IFERROR(VLOOKUP($A31,TRANSPOSE('[1]Fur 2 PLC'!$AR$1:$BV$38),18,0),0)</f>
        <v>0</v>
      </c>
      <c r="CV31" s="54" cm="1">
        <f t="array" ref="CV31">IFERROR(VLOOKUP($A31,TRANSPOSE('[1]Fur 2 PLC'!$AR$1:$BV$38),15,0),0)</f>
        <v>349.22159655515065</v>
      </c>
      <c r="CW31" s="54" cm="1">
        <f t="array" ref="CW31">IFERROR(VLOOKUP($A31,TRANSPOSE('[1]Fur 2 PLC'!$CI$1:$DM$38),8,0),0)</f>
        <v>0</v>
      </c>
      <c r="CX31" s="54" cm="1">
        <f t="array" ref="CX31">IFERROR(VLOOKUP($A31,TRANSPOSE('[1]Fur 2 PLC'!$CI$1:$DM$38),30,0),0)</f>
        <v>0</v>
      </c>
      <c r="CY31" s="54" cm="1">
        <f t="array" ref="CY31">IFERROR(VLOOKUP($A31,TRANSPOSE('[1]Fur 2 PLC'!$CI$1:$DM$38),14,0),0)</f>
        <v>0</v>
      </c>
      <c r="CZ31" s="54" cm="1">
        <f t="array" ref="CZ31">IFERROR(VLOOKUP($A31,TRANSPOSE('[1]Fur 2 PLC'!$CI$1:$DM$38),16,0),0)</f>
        <v>0</v>
      </c>
      <c r="DA31" s="54" cm="1">
        <f t="array" ref="DA31">IFERROR(VLOOKUP($A31,TRANSPOSE('[1]Fur 2 PLC'!$CI$1:$DM$38),9,0),0)</f>
        <v>222.8</v>
      </c>
      <c r="DB31" s="55" cm="1">
        <f t="array" ref="DB31">IFERROR(VLOOKUP($A31,TRANSPOSE('[1]Fur 2 PLC'!$CI$1:$DM$38),17,0),0)</f>
        <v>170.04285714285717</v>
      </c>
      <c r="DC31" s="55" cm="1">
        <f t="array" ref="DC31">IFERROR(VLOOKUP($A31,TRANSPOSE('[1]Fur 2 PLC'!$CI$1:$DM$38),20,0),0)</f>
        <v>0</v>
      </c>
      <c r="DD31" s="54" cm="1">
        <f t="array" ref="DD31">IFERROR(VLOOKUP($A31,TRANSPOSE('[1]Fur 2 PLC'!$CI$1:$DM$38),28,0),0)</f>
        <v>64.085714285714289</v>
      </c>
      <c r="DE31" s="54" cm="1">
        <f t="array" ref="DE31">IFERROR(VLOOKUP($A31,TRANSPOSE('[1]Fur 2 PLC'!$CI$1:$DM$38),13,0),0)</f>
        <v>0</v>
      </c>
      <c r="DF31" s="54" cm="1">
        <f t="array" ref="DF31">IFERROR(VLOOKUP($A31,TRANSPOSE('[1]Fur 2 PLC'!$CI$1:$DM$38),37,0),0)</f>
        <v>292.85714285714289</v>
      </c>
      <c r="DG31" s="54" cm="1">
        <f t="array" ref="DG31">IFERROR(VLOOKUP($A31,TRANSPOSE('[1]Fur 2 PLC'!$CI$1:$DM$38),6,0),0)</f>
        <v>0</v>
      </c>
      <c r="DH31" s="54" cm="1">
        <f t="array" ref="DH31">IFERROR(VLOOKUP($A31,TRANSPOSE('[1]Fur 2 PLC'!$CI$1:$DM$38),21,0),0)</f>
        <v>0</v>
      </c>
      <c r="DI31" s="54" cm="1">
        <f t="array" ref="DI31">IFERROR(VLOOKUP($A31,TRANSPOSE('[1]Fur 2 PLC'!$CI$1:$DM$38),12,0),0)</f>
        <v>0</v>
      </c>
      <c r="DJ31" s="54" cm="1">
        <f t="array" ref="DJ31">IFERROR(VLOOKUP($A31,TRANSPOSE('[1]Fur 2 PLC'!$CI$1:$DM$38),25,0),0)</f>
        <v>0</v>
      </c>
      <c r="DK31" s="54" cm="1">
        <f t="array" ref="DK31">IFERROR(VLOOKUP($A31,TRANSPOSE('[1]Fur 2 PLC'!$CI$1:$DM$38),26,0),0)</f>
        <v>0</v>
      </c>
      <c r="DL31" s="54" cm="1">
        <f t="array" ref="DL31">IFERROR(VLOOKUP($A31,TRANSPOSE('[1]Fur 2 PLC'!$CI$1:$DM$38),27,0),0)</f>
        <v>230.51428571428571</v>
      </c>
      <c r="DM31" s="54" cm="1">
        <f t="array" ref="DM31">IFERROR(VLOOKUP($A31,TRANSPOSE('[1]Fur 2 PLC'!$CI$1:$DM$38),22,0),0)</f>
        <v>0</v>
      </c>
      <c r="DN31" s="54" cm="1">
        <f t="array" ref="DN31">IFERROR(VLOOKUP($A31,TRANSPOSE('[1]Fur 2 PLC'!$CI$1:$DM$38),19,0),0)</f>
        <v>0</v>
      </c>
      <c r="DO31" s="54" cm="1">
        <f t="array" ref="DO31">IFERROR(VLOOKUP($A31,TRANSPOSE('[1]Fur 2 PLC'!$CI$1:$DM$38),29,0),0)</f>
        <v>0</v>
      </c>
      <c r="DP31" s="54" cm="1">
        <f t="array" ref="DP31">IFERROR(VLOOKUP($A31,TRANSPOSE('[1]Fur 2 PLC'!$CI$1:$DM$38),10,0),0)</f>
        <v>0</v>
      </c>
      <c r="DQ31" s="54" cm="1">
        <f t="array" ref="DQ31">IFERROR(VLOOKUP($A31,TRANSPOSE('[1]Fur 2 PLC'!$CI$1:$DM$38),7,0),0)</f>
        <v>79.100000000000009</v>
      </c>
      <c r="DR31" s="54" cm="1">
        <f t="array" ref="DR31">IFERROR(VLOOKUP($A31,TRANSPOSE('[1]Fur 2 PLC'!$CI$1:$DM$38),35,0),0)</f>
        <v>0</v>
      </c>
      <c r="DS31" s="54" cm="1">
        <f t="array" ref="DS31">IFERROR(VLOOKUP($A31,TRANSPOSE('[1]Fur 2 PLC'!$CI$1:$DM$38),11,0),0)</f>
        <v>324.24285714285713</v>
      </c>
      <c r="DT31" s="54" cm="1">
        <f t="array" ref="DT31">IFERROR(VLOOKUP($A31,TRANSPOSE('[1]Fur 2 PLC'!$CI$1:$DM$38),19,0),0)</f>
        <v>0</v>
      </c>
      <c r="DU31" s="54" cm="1">
        <f t="array" ref="DU31">IFERROR(VLOOKUP($A31,TRANSPOSE('[1]Fur 2 PLC'!$CI$1:$DM$38),18,0),0)</f>
        <v>0</v>
      </c>
      <c r="DV31" s="54" cm="1">
        <f t="array" ref="DV31">IFERROR(VLOOKUP($A31,TRANSPOSE('[1]Fur 2 PLC'!$CI$1:$DM$38),15,0),0)</f>
        <v>150.6142857142857</v>
      </c>
      <c r="DW31" t="str">
        <f t="shared" ref="DW31:DW33" si="35">TEXT(C31,"Mmm-yy")</f>
        <v>Dec-25</v>
      </c>
    </row>
    <row r="32" spans="1:127" x14ac:dyDescent="0.3">
      <c r="A32" s="28" t="str">
        <f t="shared" si="1"/>
        <v>F345999</v>
      </c>
      <c r="B32" s="29" t="s">
        <v>28</v>
      </c>
      <c r="C32" s="30">
        <f>C31</f>
        <v>45999</v>
      </c>
      <c r="D32" s="29" t="str">
        <f>VLOOKUP($B32&amp;$C32,'[1]FC3 Prod'!$A$6:$BP$36,[2]Consolidated!D$1)</f>
        <v>Mr. Ajay Singh</v>
      </c>
      <c r="E32" s="29">
        <f>VLOOKUP($B32&amp;$C32,'[1]FC3 Prod'!$A$6:$BP$36,[2]Consolidated!E$1)</f>
        <v>37.139999999999993</v>
      </c>
      <c r="F32" s="31">
        <f>VLOOKUP($B32&amp;$C32,'[1]FC3 Prod'!$A$6:$BP$36,[2]Consolidated!F$1)</f>
        <v>0.30500000000000682</v>
      </c>
      <c r="G32" s="32">
        <f>VLOOKUP($B32&amp;$C32,'[1]FC3 Prod'!$A$6:$BP$36,[2]Consolidated!G$1)</f>
        <v>37.445</v>
      </c>
      <c r="H32" s="32">
        <f>VLOOKUP($B32&amp;$C32,'[1]FC3 Prod'!$A$6:$BP$36,[2]Consolidated!H$1)</f>
        <v>28.472999999999999</v>
      </c>
      <c r="I32" s="32">
        <f>VLOOKUP($B32&amp;$C32,'[1]FC3 Prod'!$A$6:$BP$36,[2]Consolidated!I$1)</f>
        <v>10.74</v>
      </c>
      <c r="J32" s="32">
        <f>VLOOKUP($B32&amp;$C32,'[1]FC3 Prod'!$A$6:$BP$36,[2]Consolidated!J$1)</f>
        <v>38.78</v>
      </c>
      <c r="K32" s="32">
        <f>VLOOKUP($B32&amp;$C32,'[1]FC3 Prod'!$A$6:$BP$36,[2]Consolidated!K$1)</f>
        <v>1.3</v>
      </c>
      <c r="L32" s="32">
        <f>VLOOKUP($B32&amp;$C32,'[1]FC3 Prod'!$A$6:$BP$36,[2]Consolidated!L$1)</f>
        <v>25.88</v>
      </c>
      <c r="M32" s="32">
        <f>VLOOKUP($B32&amp;$C32,'[1]FC3 Prod'!$A$6:$BP$36,[2]Consolidated!M$1)</f>
        <v>4.8499999999999996</v>
      </c>
      <c r="N32" s="32">
        <f>VLOOKUP($B32&amp;$C32,'[1]FC3 Prod'!$A$6:$BP$36,[2]Consolidated!N$1)</f>
        <v>15.28</v>
      </c>
      <c r="O32" s="32">
        <f>VLOOKUP($B32&amp;$C32,'[1]FC3 Prod'!$A$6:$BP$36,[2]Consolidated!O$1)</f>
        <v>0.79</v>
      </c>
      <c r="P32" s="33">
        <f>VLOOKUP($B32&amp;$C32,'[1]FC3 Prod'!$A$6:$BP$36,[2]Consolidated!P$1)</f>
        <v>8</v>
      </c>
      <c r="Q32" s="29">
        <f>VLOOKUP($B32&amp;$C32,'[1]FC3 Prod'!$A$6:$BP$36,[2]Consolidated!Q$1)</f>
        <v>79.573000000000008</v>
      </c>
      <c r="R32" s="29">
        <f>VLOOKUP($B32&amp;$C32,'[1]FC3 Prod'!$A$6:$BP$36,[2]Consolidated!R$1)</f>
        <v>25.592999999999996</v>
      </c>
      <c r="S32" s="34">
        <f>VLOOKUP($B32&amp;$C32,'[1]FC3 Prod'!$A$6:$BP$36,[2]Consolidated!S$1)</f>
        <v>37</v>
      </c>
      <c r="T32" s="34">
        <f>VLOOKUP($B32&amp;$C32,'[1]FC3 Prod'!$A$6:$BP$36,[2]Consolidated!T$1)</f>
        <v>20</v>
      </c>
      <c r="U32" s="34">
        <f>VLOOKUP($B32&amp;$C32,'[1]FC3 Prod'!$A$6:$BP$36,[2]Consolidated!U$1)</f>
        <v>17</v>
      </c>
      <c r="V32" s="34">
        <f>VLOOKUP($B32&amp;$C32,'[1]FC3 Prod'!$A$6:$BP$36,[2]Consolidated!V$1)</f>
        <v>74</v>
      </c>
      <c r="W32" s="35">
        <f>VLOOKUP($B32&amp;$C32,'[1]FC3 Prod'!$A$6:$BP$36,[2]Consolidated!W$1)</f>
        <v>2.1425148088314492</v>
      </c>
      <c r="X32" s="35">
        <f>VLOOKUP($B32&amp;$C32,'[1]FC3 Prod'!$A$6:$BP$36,[2]Consolidated!X$1)</f>
        <v>38.605000000000004</v>
      </c>
      <c r="Y32" s="36">
        <f>VLOOKUP($B32&amp;$C32,'[1]FC3 Prod'!$A$6:$BP$36,[2]Consolidated!Y$1)</f>
        <v>0.9620515477269781</v>
      </c>
      <c r="Z32" s="37" t="str">
        <f>VLOOKUP($B32&amp;$C32,'[1]FC3 Prod'!$A$6:$BP$36,[2]Consolidated!Z$1)</f>
        <v>60/15</v>
      </c>
      <c r="AA32" s="31">
        <f>VLOOKUP($B32&amp;$C32,'[1]FC3 Prod'!$A$6:$BP$36,[2]Consolidated!AA$1)</f>
        <v>59.569999999999993</v>
      </c>
      <c r="AB32" s="31">
        <f>VLOOKUP($B32&amp;$C32,'[1]FC3 Prod'!$A$6:$BP$36,[2]Consolidated!AB$1)</f>
        <v>14.531249999999998</v>
      </c>
      <c r="AC32" s="31" t="e">
        <f>VLOOKUP($B32&amp;$C32,'[1]FC3 Prod'!$A$6:$BP$36,[2]Consolidated!AC$1)</f>
        <v>#REF!</v>
      </c>
      <c r="AD32" s="38">
        <f>VLOOKUP($B32&amp;$C32,'[1]FC3 Prod'!$A$6:$BP$36,[2]Consolidated!AD$1)</f>
        <v>713.07352773290279</v>
      </c>
      <c r="AE32" s="38">
        <f>VLOOKUP($B32&amp;$C32,'[1]FC3 Prod'!$A$6:$BP$36,[2]Consolidated!AE$1)</f>
        <v>696.89930685245031</v>
      </c>
      <c r="AF32" s="39">
        <f>VLOOKUP($B32&amp;$C32,'[1]FC3 Prod'!$A$6:$BP$36,[2]Consolidated!AF$1)</f>
        <v>0.8353977210371667</v>
      </c>
      <c r="AG32" s="39">
        <f>VLOOKUP($B32&amp;$C32,'[1]FC3 Prod'!$A$6:$BP$36,[2]Consolidated!AG$1)</f>
        <v>0.85478632873159599</v>
      </c>
      <c r="AH32" s="34">
        <f>VLOOKUP($B32&amp;$C32,'[1]FC3 Prod'!$A$6:$BP$36,[2]Consolidated!AH$1)</f>
        <v>382.56132202477119</v>
      </c>
      <c r="AI32" s="33">
        <f>VLOOKUP($B32&amp;$C32,'[1]FC3 Prod'!$A$6:$BP$36,[2]Consolidated!AI$1)</f>
        <v>408.37169493807221</v>
      </c>
      <c r="AJ32" s="39">
        <f>VLOOKUP($B32&amp;$C32,'[1]FC3 Prod'!$A$6:$BP$36,[2]Consolidated!AJ$1)</f>
        <v>0.496511910445745</v>
      </c>
      <c r="AK32" s="39">
        <f>VLOOKUP($B32&amp;$C32,'[1]FC3 Prod'!$A$6:$BP$36,[2]Consolidated!AK$1)</f>
        <v>0.43341872246806623</v>
      </c>
      <c r="AL32" s="40" t="str">
        <f>VLOOKUP($B32&amp;$C32,'[1]FC3 Prod'!$A$6:$BP$36,[2]Consolidated!AL$1)</f>
        <v>25/50</v>
      </c>
      <c r="AM32" s="41">
        <f>VLOOKUP($B32&amp;$C32,'[1]FC3 Prod'!$A$6:$BP$36,[2]Consolidated!AM$1)</f>
        <v>3.7964458804523427E-2</v>
      </c>
      <c r="AN32" s="42">
        <f>VLOOKUP($B32&amp;$C32,'[1]FC3 Prod'!$A$6:$BP$36,[2]Consolidated!AN$1)</f>
        <v>143.6</v>
      </c>
      <c r="AO32" s="43">
        <f>VLOOKUP($B32&amp;$C32,'[1]FC3 Prod'!$A$6:$BP$36,[2]Consolidated!AO$1)</f>
        <v>6.3659999999999997</v>
      </c>
      <c r="AP32" s="44">
        <f>VLOOKUP($B32&amp;$C32,'[1]FC3 Prod'!$A$6:$BP$36,[2]Consolidated!AP$1)</f>
        <v>4.0378567582121709</v>
      </c>
      <c r="AQ32" s="44">
        <f>VLOOKUP($B32&amp;$C32,'[1]FC3 Prod'!$A$6:$BP$36,[2]Consolidated!AQ$1)</f>
        <v>29.257387308683562</v>
      </c>
      <c r="AR32" s="45">
        <f>VLOOKUP($B32&amp;$C32,'[1]FC3 Prod'!$A$6:$BP$36,[2]Consolidated!AR$1)</f>
        <v>0.9808743169398908</v>
      </c>
      <c r="AS32" s="46">
        <f>VLOOKUP($B32&amp;$C32,'[1]FC3 Prod'!$A$6:$BP$36,[2]Consolidated!AS$1)</f>
        <v>2.1500000000000004</v>
      </c>
      <c r="AT32" s="29">
        <f>VLOOKUP($B32&amp;$C32,'[1]FC3 Prod'!$A$6:$BP$36,[2]Consolidated!AT$1)</f>
        <v>0.79010012910652616</v>
      </c>
      <c r="AU32" s="34">
        <f>VLOOKUP($B32&amp;$C32,'[1]FC3 Prod'!$A$6:$BP$36,[2]Consolidated!AU$1)</f>
        <v>536.34259259259261</v>
      </c>
      <c r="AV32" s="34">
        <f>VLOOKUP($B32&amp;$C32,'[1]FC3 Prod'!$A$6:$BP$36,[2]Consolidated!AV$1)</f>
        <v>283.33333333333331</v>
      </c>
      <c r="AW32" s="47">
        <f>VLOOKUP($B32&amp;$C32,'[1]FC3 Prod'!$A$6:$BP$36,[2]Consolidated!AW$1)</f>
        <v>27911.744749596128</v>
      </c>
      <c r="AX32" s="47">
        <f>VLOOKUP($B32&amp;$C32,'[1]FC3 Prod'!$A$6:$BP$36,[2]Consolidated!AX$1)</f>
        <v>8945.730210016156</v>
      </c>
      <c r="AY32" s="48">
        <f>VLOOKUP($B32&amp;$C32,'[1]FC3 Prod'!$A$6:$BP$36,[2]Consolidated!AY$1)</f>
        <v>926.17124394184179</v>
      </c>
      <c r="AZ32" s="47">
        <f>VLOOKUP($B32&amp;$C32,'[1]FC3 Prod'!$A$6:$BP$36,[2]Consolidated!AZ$1)</f>
        <v>2292.7174205708134</v>
      </c>
      <c r="BA32" s="47">
        <f>VLOOKUP($B32&amp;$C32,'[1]FC3 Prod'!$A$6:$BP$36,[2]Consolidated!BA$1)</f>
        <v>23621.462035541201</v>
      </c>
      <c r="BB32" s="47">
        <f>VLOOKUP($B32&amp;$C32,'[1]FC3 Prod'!$A$6:$BP$36,[2]Consolidated!BB$1)</f>
        <v>636.97825659666137</v>
      </c>
      <c r="BC32" s="47">
        <f>VLOOKUP($B32&amp;$C32,'[1]FC3 Prod'!$A$6:$BP$36,[2]Consolidated!BC$1)</f>
        <v>7671.9278406031244</v>
      </c>
      <c r="BD32" s="49">
        <f>VLOOKUP($B32&amp;$C32,'[1]FC3 Prod'!$A$6:$BP$36,[2]Consolidated!BD$1)</f>
        <v>72006.73175686592</v>
      </c>
      <c r="BE32" s="47">
        <f>VLOOKUP($B32&amp;$C32,'[1]FC3 Prod'!$A$6:$BP$36,[2]Consolidated!BE$1)</f>
        <v>27078.708131394731</v>
      </c>
      <c r="BF32" s="47">
        <f>VLOOKUP($B32&amp;$C32,'[1]FC3 Prod'!$A$6:$BP$36,[2]Consolidated!BF$1)</f>
        <v>9433.6354334948846</v>
      </c>
      <c r="BG32" s="50">
        <f>VLOOKUP($B32&amp;$C32,'[1]FC3 Prod'!$A$6:$BP$36,[2]Consolidated!BG$1)</f>
        <v>1074.329563812601</v>
      </c>
      <c r="BH32" s="50">
        <f>VLOOKUP($B32&amp;$C32,'[1]FC3 Prod'!$A$6:$BP$36,[2]Consolidated!BH$1)</f>
        <v>635.00852584814231</v>
      </c>
      <c r="BI32" s="50">
        <f>VLOOKUP($B32&amp;$C32,'[1]FC3 Prod'!$A$6:$BP$36,[2]Consolidated!BI$1)</f>
        <v>71807.788951265495</v>
      </c>
      <c r="BJ32" s="37">
        <f>VLOOKUP($B32&amp;$C32,'[1]FC3 Prod'!$A$6:$BP$36,[2]Consolidated!BJ$1)</f>
        <v>20</v>
      </c>
      <c r="BK32" s="37" t="e">
        <f>VLOOKUP($B32&amp;$C32,'[1]FC3 Prod'!$A$6:$BP$36,[2]Consolidated!BK$1)</f>
        <v>#REF!</v>
      </c>
      <c r="BL32" s="37" t="e">
        <f>VLOOKUP($B32&amp;$C32,'[1]FC3 Prod'!$A$6:$BP$36,[2]Consolidated!BL$1)</f>
        <v>#REF!</v>
      </c>
      <c r="BM32" s="37" t="e">
        <f>VLOOKUP($B32&amp;$C32,'[1]FC3 Prod'!$A$6:$BP$36,[2]Consolidated!BM$1)</f>
        <v>#REF!</v>
      </c>
      <c r="BN32" s="37" t="e">
        <f>VLOOKUP($B32&amp;$C32,'[1]FC3 Prod'!$A$6:$BP$36,[2]Consolidated!BN$1)</f>
        <v>#REF!</v>
      </c>
      <c r="BO32" s="37">
        <f>VLOOKUP($B32&amp;$C32,'[1]FC3 Prod'!$A$6:$BP$36,[2]Consolidated!BO$1)</f>
        <v>20</v>
      </c>
      <c r="BP32" s="37" t="str">
        <f>VLOOKUP($B32&amp;$C32,'[1]FC3 Prod'!$A$6:$BP$36,[2]Consolidated!BP$1)</f>
        <v>Seal Box Maintance</v>
      </c>
      <c r="BQ32" s="51" t="e">
        <f>VLOOKUP($B32&amp;$C32,'[1]FC3 Prod'!$A$6:$BP$36,[2]Consolidated!BQ$1)</f>
        <v>#REF!</v>
      </c>
      <c r="BR32" s="51">
        <f>VLOOKUP($B32&amp;$C32,'[1]FC3 Prod'!$A$6:$BQ$36,[2]Consolidated!BR$1)</f>
        <v>60369</v>
      </c>
      <c r="BS32" s="52">
        <f t="shared" si="34"/>
        <v>61208.135164243417</v>
      </c>
      <c r="BT32" s="32">
        <f t="shared" ref="BT32:BT33" si="36">BR32-BS32</f>
        <v>-839.13516424341651</v>
      </c>
      <c r="BU32" s="37">
        <f t="shared" ref="BU32:BU33" si="37">E32*BT32</f>
        <v>-31165.480000000483</v>
      </c>
      <c r="BV32" s="53" t="s">
        <v>131</v>
      </c>
      <c r="BW32" s="54" cm="1">
        <f t="array" ref="BW32">IFERROR(VLOOKUP($A32,TRANSPOSE('[1]Fur 3 PLC'!$AS$1:$BX$38),8,0),0)</f>
        <v>907.02746365105008</v>
      </c>
      <c r="BX32" s="54" cm="1">
        <f t="array" ref="BX32">IFERROR(VLOOKUP($A32,TRANSPOSE('[1]Fur 3 PLC'!$AS$1:$BX$38),30,0),0)</f>
        <v>0</v>
      </c>
      <c r="BY32" s="54" cm="1">
        <f t="array" ref="BY32">IFERROR(VLOOKUP($A32,TRANSPOSE('[1]Fur 3 PLC'!$AS$1:$BX$38),14,0),0)</f>
        <v>0</v>
      </c>
      <c r="BZ32" s="54" cm="1">
        <f t="array" ref="BZ32">IFERROR(VLOOKUP($A32,TRANSPOSE('[1]Fur 3 PLC'!$AS$1:$BX$38),16,0),0)</f>
        <v>0</v>
      </c>
      <c r="CA32" s="54" cm="1">
        <f t="array" ref="CA32">IFERROR(VLOOKUP($A32,TRANSPOSE('[1]Fur 3 PLC'!$AS$1:$BX$38),9,0),0)</f>
        <v>418.55142703284878</v>
      </c>
      <c r="CB32" s="54" cm="1">
        <f t="array" ref="CB32">IFERROR(VLOOKUP($A32,TRANSPOSE('[1]Fur 3 PLC'!$AS$1:$BX$38),17,0),0)</f>
        <v>0</v>
      </c>
      <c r="CC32" s="54" cm="1">
        <f t="array" ref="CC32">IFERROR(VLOOKUP($A32,TRANSPOSE('[1]Fur 3 PLC'!$AS$1:$BX$38),20,0),0)</f>
        <v>49.703823371028548</v>
      </c>
      <c r="CD32" s="54" cm="1">
        <f t="array" ref="CD32">IFERROR(VLOOKUP($A32,TRANSPOSE('[1]Fur 3 PLC'!$AS$1:$BX$38),28,0),0)</f>
        <v>0</v>
      </c>
      <c r="CE32" s="54" cm="1">
        <f t="array" ref="CE32">IFERROR(VLOOKUP($A32,TRANSPOSE('[1]Fur 3 PLC'!$AS$1:$BX$38),13,0),0)</f>
        <v>0</v>
      </c>
      <c r="CF32" s="54" cm="1">
        <f t="array" ref="CF32">IFERROR(VLOOKUP($A32,TRANSPOSE('[1]Fur 3 PLC'!$AS$1:$BX$38),37,0),0)</f>
        <v>397.89983844911154</v>
      </c>
      <c r="CG32" s="54" cm="1">
        <f t="array" ref="CG32">IFERROR(VLOOKUP($A32,TRANSPOSE('[1]Fur 3 PLC'!$AS$1:$BX$38),6,0),0)</f>
        <v>0</v>
      </c>
      <c r="CH32" s="54" cm="1">
        <f t="array" ref="CH32">IFERROR(VLOOKUP($A32,TRANSPOSE('[1]Fur 3 PLC'!$AS$1:$BX$38),21,0),0)</f>
        <v>0</v>
      </c>
      <c r="CI32" s="54" cm="1">
        <f t="array" ref="CI32">IFERROR(VLOOKUP($A32,TRANSPOSE('[1]Fur 3 PLC'!$AS$1:$BX$38),12,0),0)</f>
        <v>0</v>
      </c>
      <c r="CJ32" s="54" cm="1">
        <f t="array" ref="CJ32">IFERROR(VLOOKUP($A32,TRANSPOSE('[1]Fur 3 PLC'!$AS$1:$BX$38),25,0),0)</f>
        <v>0</v>
      </c>
      <c r="CK32" s="54" cm="1">
        <f t="array" ref="CK32">IFERROR(VLOOKUP($A32,TRANSPOSE('[1]Fur 3 PLC'!$AS$1:$BX$38),26,0),0)</f>
        <v>406.83898761443191</v>
      </c>
      <c r="CL32" s="54" cm="1">
        <f t="array" ref="CL32">IFERROR(VLOOKUP($A32,TRANSPOSE('[1]Fur 3 PLC'!$AS$1:$BX$38),27,0),0)</f>
        <v>153.52719439956923</v>
      </c>
      <c r="CM32" s="54" cm="1">
        <f t="array" ref="CM32">IFERROR(VLOOKUP($A32,TRANSPOSE('[1]Fur 3 PLC'!$AS$1:$BX$38),22,0),0)</f>
        <v>0</v>
      </c>
      <c r="CN32" s="54"/>
      <c r="CO32" s="54" cm="1">
        <f t="array" ref="CO32">IFERROR(VLOOKUP($A32,TRANSPOSE('[1]Fur 3 PLC'!$AS$1:$BX$38),29,0),0)</f>
        <v>128.72913301023155</v>
      </c>
      <c r="CP32" s="54" cm="1">
        <f t="array" ref="CP32">IFERROR(VLOOKUP($A32,TRANSPOSE('[1]Fur 3 PLC'!$AS$1:$BX$38),10,0),0)</f>
        <v>0</v>
      </c>
      <c r="CQ32" s="54" cm="1">
        <f t="array" ref="CQ32">IFERROR(VLOOKUP($A32,TRANSPOSE('[1]Fur 3 PLC'!$AS$1:$BX$38),7,0),0)</f>
        <v>239.44534194938078</v>
      </c>
      <c r="CR32" s="54" cm="1">
        <f t="array" ref="CR32">IFERROR(VLOOKUP($A32,TRANSPOSE('[1]Fur 3 PLC'!$AS$1:$BX$38),35,0),0)</f>
        <v>0</v>
      </c>
      <c r="CS32" s="54" cm="1">
        <f t="array" ref="CS32">IFERROR(VLOOKUP($A32,TRANSPOSE('[1]Fur 3 PLC'!$AS$1:$BX$38),11,0),0)</f>
        <v>0</v>
      </c>
      <c r="CT32" s="54" cm="1">
        <f t="array" ref="CT32">IFERROR(VLOOKUP($A32,TRANSPOSE('[1]Fur 3 PLC'!$AS$1:$BX$38),19,0),0)</f>
        <v>0</v>
      </c>
      <c r="CU32" s="54" cm="1">
        <f t="array" ref="CU32">IFERROR(VLOOKUP($A32,TRANSPOSE('[1]Fur 3 PLC'!$AS$1:$BX$38),18,0),0)</f>
        <v>389.09531502423272</v>
      </c>
      <c r="CV32" s="54" cm="1">
        <f t="array" ref="CV32">IFERROR(VLOOKUP($A32,TRANSPOSE('[1]Fur 3 PLC'!$AR$1:$BV$38),15,0),0)</f>
        <v>378.1367797522887</v>
      </c>
      <c r="CW32" s="54" cm="1">
        <f t="array" ref="CW32">IFERROR(VLOOKUP($A32,TRANSPOSE('[1]Fur 3 PLC'!$CK$1:$DO$38),8,0),0)</f>
        <v>455.22972972972968</v>
      </c>
      <c r="CX32" s="54" cm="1">
        <f t="array" ref="CX32">IFERROR(VLOOKUP($A32,TRANSPOSE('[1]Fur 3 PLC'!$CK$1:$DO$38),30,0),0)</f>
        <v>0</v>
      </c>
      <c r="CY32" s="54" cm="1">
        <f t="array" ref="CY32">IFERROR(VLOOKUP($A32,TRANSPOSE('[1]Fur 3 PLC'!$CK$1:$DO$38),14,0),0)</f>
        <v>0</v>
      </c>
      <c r="CZ32" s="54" cm="1">
        <f t="array" ref="CZ32">IFERROR(VLOOKUP($A32,TRANSPOSE('[1]Fur 3 PLC'!$CK$1:$DO$38),16,0),0)</f>
        <v>0</v>
      </c>
      <c r="DA32" s="54" cm="1">
        <f t="array" ref="DA32">IFERROR(VLOOKUP($A32,TRANSPOSE('[1]Fur 3 PLC'!$CK$1:$DO$38),9,0),0)</f>
        <v>210.06756756756755</v>
      </c>
      <c r="DB32" s="55" cm="1">
        <f t="array" ref="DB32">IFERROR(VLOOKUP($A32,TRANSPOSE('[1]Fur 3 PLC'!$CK$1:$DO$38),17,0),0)</f>
        <v>0</v>
      </c>
      <c r="DC32" s="55" cm="1">
        <f t="array" ref="DC32">IFERROR(VLOOKUP($A32,TRANSPOSE('[1]Fur 3 PLC'!$CK$1:$DO$38),20,0),0)</f>
        <v>24.945945945945947</v>
      </c>
      <c r="DD32" s="54" cm="1">
        <f t="array" ref="DD32">IFERROR(VLOOKUP($A32,TRANSPOSE('[1]Fur 3 PLC'!$CK$1:$DO$38),28,0),0)</f>
        <v>0</v>
      </c>
      <c r="DE32" s="54" cm="1">
        <f t="array" ref="DE32">IFERROR(VLOOKUP($A32,TRANSPOSE('[1]Fur 3 PLC'!$CK$1:$DO$38),13,0),0)</f>
        <v>0</v>
      </c>
      <c r="DF32" s="54" cm="1">
        <f t="array" ref="DF32">IFERROR(VLOOKUP($A32,TRANSPOSE('[1]Fur 3 PLC'!$CK$1:$DO$38),37,0),0)</f>
        <v>199.70270270270271</v>
      </c>
      <c r="DG32" s="54" cm="1">
        <f t="array" ref="DG32">IFERROR(VLOOKUP($A32,TRANSPOSE('[1]Fur 3 PLC'!$CK$1:$DO$38),6,0),0)</f>
        <v>0</v>
      </c>
      <c r="DH32" s="54" cm="1">
        <f t="array" ref="DH32">IFERROR(VLOOKUP($A32,TRANSPOSE('[1]Fur 3 PLC'!$CK$1:$DO$38),21,0),0)</f>
        <v>0</v>
      </c>
      <c r="DI32" s="54" cm="1">
        <f t="array" ref="DI32">IFERROR(VLOOKUP($A32,TRANSPOSE('[1]Fur 3 PLC'!$CK$1:$DO$38),12,0),0)</f>
        <v>0</v>
      </c>
      <c r="DJ32" s="54" cm="1">
        <f t="array" ref="DJ32">IFERROR(VLOOKUP($A32,TRANSPOSE('[1]Fur 3 PLC'!$CK$1:$DO$38),25,0),0)</f>
        <v>0</v>
      </c>
      <c r="DK32" s="54" cm="1">
        <f t="array" ref="DK32">IFERROR(VLOOKUP($A32,TRANSPOSE('[1]Fur 3 PLC'!$CK$1:$DO$38),26,0),0)</f>
        <v>204.18918918918919</v>
      </c>
      <c r="DL32" s="54" cm="1">
        <f t="array" ref="DL32">IFERROR(VLOOKUP($A32,TRANSPOSE('[1]Fur 3 PLC'!$CK$1:$DO$38),27,0),0)</f>
        <v>77.054054054054049</v>
      </c>
      <c r="DM32" s="54" cm="1">
        <f t="array" ref="DM32">IFERROR(VLOOKUP($A32,TRANSPOSE('[1]Fur 3 PLC'!$CK$1:$DO$38),22,0),0)</f>
        <v>0</v>
      </c>
      <c r="DN32" s="54" cm="1">
        <f t="array" ref="DN32">IFERROR(VLOOKUP($A32,TRANSPOSE('[1]Fur 3 PLC'!$CK$1:$DO$38),19,0),0)</f>
        <v>0</v>
      </c>
      <c r="DO32" s="54" cm="1">
        <f t="array" ref="DO32">IFERROR(VLOOKUP($A32,TRANSPOSE('[1]Fur 3 PLC'!$CK$1:$DO$38),29,0),0)</f>
        <v>64.608108108108098</v>
      </c>
      <c r="DP32" s="54" cm="1">
        <f t="array" ref="DP32">IFERROR(VLOOKUP($A32,TRANSPOSE('[1]Fur 3 PLC'!$CK$1:$DO$38),10,0),0)</f>
        <v>0</v>
      </c>
      <c r="DQ32" s="54" cm="1">
        <f t="array" ref="DQ32">IFERROR(VLOOKUP($A32,TRANSPOSE('[1]Fur 3 PLC'!$CK$1:$DO$38),7,0),0)</f>
        <v>120.17567567567569</v>
      </c>
      <c r="DR32" s="54" cm="1">
        <f t="array" ref="DR32">IFERROR(VLOOKUP($A32,TRANSPOSE('[1]Fur 3 PLC'!$CK$1:$DO$38),35,0),0)</f>
        <v>0</v>
      </c>
      <c r="DS32" s="54" cm="1">
        <f t="array" ref="DS32">IFERROR(VLOOKUP($A32,TRANSPOSE('[1]Fur 3 PLC'!$CK$1:$DO$38),11,0),0)</f>
        <v>0</v>
      </c>
      <c r="DT32" s="54" cm="1">
        <f t="array" ref="DT32">IFERROR(VLOOKUP($A32,TRANSPOSE('[1]Fur 3 PLC'!$CK$1:$DO$38),19,0),0)</f>
        <v>0</v>
      </c>
      <c r="DU32" s="54" cm="1">
        <f t="array" ref="DU32">IFERROR(VLOOKUP($A32,TRANSPOSE('[1]Fur 3 PLC'!$CK$1:$DO$38),18,0),0)</f>
        <v>195.2837837837838</v>
      </c>
      <c r="DV32" s="54" cm="1">
        <f t="array" ref="DV32">IFERROR(VLOOKUP($A32,TRANSPOSE('[1]Fur 3 PLC'!$CK$1:$DO$38),15,0),0)</f>
        <v>189.7837837837838</v>
      </c>
      <c r="DW32" t="str">
        <f t="shared" si="35"/>
        <v>Dec-25</v>
      </c>
    </row>
    <row r="33" spans="1:127" x14ac:dyDescent="0.3">
      <c r="A33" s="28" t="str">
        <f t="shared" si="1"/>
        <v>F445999</v>
      </c>
      <c r="B33" s="29" t="s">
        <v>29</v>
      </c>
      <c r="C33" s="30">
        <f>C32</f>
        <v>45999</v>
      </c>
      <c r="D33" s="29" t="str">
        <f>VLOOKUP($B33&amp;$C33,'[1]FC4 Prod'!$A$6:$BP$36,[2]Consolidated!D$1)</f>
        <v>Mr.Ganesh Ghosh Ji</v>
      </c>
      <c r="E33" s="29">
        <f>VLOOKUP($B33&amp;$C33,'[1]FC4 Prod'!$A$6:$BP$36,[2]Consolidated!E$1)</f>
        <v>48.125</v>
      </c>
      <c r="F33" s="31">
        <f>VLOOKUP($B33&amp;$C33,'[1]FC4 Prod'!$A$6:$BP$36,[2]Consolidated!F$1)</f>
        <v>0.38000000000000256</v>
      </c>
      <c r="G33" s="32">
        <f>VLOOKUP($B33&amp;$C33,'[1]FC4 Prod'!$A$6:$BP$36,[2]Consolidated!G$1)</f>
        <v>48.505000000000003</v>
      </c>
      <c r="H33" s="32">
        <f>VLOOKUP($B33&amp;$C33,'[1]FC4 Prod'!$A$6:$BP$36,[2]Consolidated!H$1)</f>
        <v>21.215</v>
      </c>
      <c r="I33" s="32">
        <f>VLOOKUP($B33&amp;$C33,'[1]FC4 Prod'!$A$6:$BP$36,[2]Consolidated!I$1)</f>
        <v>10.16</v>
      </c>
      <c r="J33" s="32">
        <f>VLOOKUP($B33&amp;$C33,'[1]FC4 Prod'!$A$6:$BP$36,[2]Consolidated!J$1)</f>
        <v>40.28</v>
      </c>
      <c r="K33" s="32">
        <f>VLOOKUP($B33&amp;$C33,'[1]FC4 Prod'!$A$6:$BP$36,[2]Consolidated!K$1)</f>
        <v>1.42</v>
      </c>
      <c r="L33" s="32">
        <f>VLOOKUP($B33&amp;$C33,'[1]FC4 Prod'!$A$6:$BP$36,[2]Consolidated!L$1)</f>
        <v>22.32</v>
      </c>
      <c r="M33" s="32">
        <f>VLOOKUP($B33&amp;$C33,'[1]FC4 Prod'!$A$6:$BP$36,[2]Consolidated!M$1)</f>
        <v>4.62</v>
      </c>
      <c r="N33" s="32">
        <f>VLOOKUP($B33&amp;$C33,'[1]FC4 Prod'!$A$6:$BP$36,[2]Consolidated!N$1)</f>
        <v>17.82</v>
      </c>
      <c r="O33" s="32">
        <f>VLOOKUP($B33&amp;$C33,'[1]FC4 Prod'!$A$6:$BP$36,[2]Consolidated!O$1)</f>
        <v>0.67</v>
      </c>
      <c r="P33" s="33">
        <f>VLOOKUP($B33&amp;$C33,'[1]FC4 Prod'!$A$6:$BP$36,[2]Consolidated!P$1)</f>
        <v>8</v>
      </c>
      <c r="Q33" s="29">
        <f>VLOOKUP($B33&amp;$C33,'[1]FC4 Prod'!$A$6:$BP$36,[2]Consolidated!Q$1)</f>
        <v>90.912999999999997</v>
      </c>
      <c r="R33" s="29">
        <f>VLOOKUP($B33&amp;$C33,'[1]FC4 Prod'!$A$6:$BP$36,[2]Consolidated!R$1)</f>
        <v>31.511000000000003</v>
      </c>
      <c r="S33" s="34">
        <f>VLOOKUP($B33&amp;$C33,'[1]FC4 Prod'!$A$6:$BP$36,[2]Consolidated!S$1)</f>
        <v>41</v>
      </c>
      <c r="T33" s="34">
        <f>VLOOKUP($B33&amp;$C33,'[1]FC4 Prod'!$A$6:$BP$36,[2]Consolidated!T$1)</f>
        <v>27</v>
      </c>
      <c r="U33" s="34">
        <f>VLOOKUP($B33&amp;$C33,'[1]FC4 Prod'!$A$6:$BP$36,[2]Consolidated!U$1)</f>
        <v>25</v>
      </c>
      <c r="V33" s="34">
        <f>VLOOKUP($B33&amp;$C33,'[1]FC4 Prod'!$A$6:$BP$36,[2]Consolidated!V$1)</f>
        <v>93</v>
      </c>
      <c r="W33" s="35">
        <f>VLOOKUP($B33&amp;$C33,'[1]FC4 Prod'!$A$6:$BP$36,[2]Consolidated!W$1)</f>
        <v>1.8891012987012987</v>
      </c>
      <c r="X33" s="35">
        <f>VLOOKUP($B33&amp;$C33,'[1]FC4 Prod'!$A$6:$BP$36,[2]Consolidated!X$1)</f>
        <v>50.059999999999995</v>
      </c>
      <c r="Y33" s="36">
        <f>VLOOKUP($B33&amp;$C33,'[1]FC4 Prod'!$A$6:$BP$36,[2]Consolidated!Y$1)</f>
        <v>0.96134638433879349</v>
      </c>
      <c r="Z33" s="37" t="str">
        <f>VLOOKUP($B33&amp;$C33,'[1]FC4 Prod'!$A$6:$BP$36,[2]Consolidated!Z$1)</f>
        <v>40/8</v>
      </c>
      <c r="AA33" s="31">
        <f>VLOOKUP($B33&amp;$C33,'[1]FC4 Prod'!$A$6:$BP$36,[2]Consolidated!AA$1)</f>
        <v>38.543999999999997</v>
      </c>
      <c r="AB33" s="31">
        <f>VLOOKUP($B33&amp;$C33,'[1]FC4 Prod'!$A$6:$BP$36,[2]Consolidated!AB$1)</f>
        <v>7.3140000000000001</v>
      </c>
      <c r="AC33" s="31">
        <f>VLOOKUP($B33&amp;$C33,'[1]FC4 Prod'!$A$6:$BP$36,[2]Consolidated!AC$1)</f>
        <v>0</v>
      </c>
      <c r="AD33" s="38">
        <f>VLOOKUP($B33&amp;$C33,'[1]FC4 Prod'!$A$6:$BP$36,[2]Consolidated!AD$1)</f>
        <v>518.38264764675318</v>
      </c>
      <c r="AE33" s="38">
        <f>VLOOKUP($B33&amp;$C33,'[1]FC4 Prod'!$A$6:$BP$36,[2]Consolidated!AE$1)</f>
        <v>441.15485603532466</v>
      </c>
      <c r="AF33" s="39">
        <f>VLOOKUP($B33&amp;$C33,'[1]FC4 Prod'!$A$6:$BP$36,[2]Consolidated!AF$1)</f>
        <v>0.74354340707533539</v>
      </c>
      <c r="AG33" s="39">
        <f>VLOOKUP($B33&amp;$C33,'[1]FC4 Prod'!$A$6:$BP$36,[2]Consolidated!AG$1)</f>
        <v>0.87370680550581215</v>
      </c>
      <c r="AH33" s="34">
        <f>VLOOKUP($B33&amp;$C33,'[1]FC4 Prod'!$A$6:$BP$36,[2]Consolidated!AH$1)</f>
        <v>388.04055896103898</v>
      </c>
      <c r="AI33" s="33">
        <f>VLOOKUP($B33&amp;$C33,'[1]FC4 Prod'!$A$6:$BP$36,[2]Consolidated!AI$1)</f>
        <v>362.61535015064936</v>
      </c>
      <c r="AJ33" s="39">
        <f>VLOOKUP($B33&amp;$C33,'[1]FC4 Prod'!$A$6:$BP$36,[2]Consolidated!AJ$1)</f>
        <v>0.61017204972936434</v>
      </c>
      <c r="AK33" s="39">
        <f>VLOOKUP($B33&amp;$C33,'[1]FC4 Prod'!$A$6:$BP$36,[2]Consolidated!AK$1)</f>
        <v>0.65126515944444829</v>
      </c>
      <c r="AL33" s="40" t="str">
        <f>VLOOKUP($B33&amp;$C33,'[1]FC4 Prod'!$A$6:$BP$36,[2]Consolidated!AL$1)</f>
        <v>25/50</v>
      </c>
      <c r="AM33" s="41">
        <f>VLOOKUP($B33&amp;$C33,'[1]FC4 Prod'!$A$6:$BP$36,[2]Consolidated!AM$1)</f>
        <v>4.9038961038961035E-2</v>
      </c>
      <c r="AN33" s="42">
        <f>VLOOKUP($B33&amp;$C33,'[1]FC4 Prod'!$A$6:$BP$36,[2]Consolidated!AN$1)</f>
        <v>142.4</v>
      </c>
      <c r="AO33" s="43">
        <f>VLOOKUP($B33&amp;$C33,'[1]FC4 Prod'!$A$6:$BP$36,[2]Consolidated!AO$1)</f>
        <v>6.3659999999999997</v>
      </c>
      <c r="AP33" s="44">
        <f>VLOOKUP($B33&amp;$C33,'[1]FC4 Prod'!$A$6:$BP$36,[2]Consolidated!AP$1)</f>
        <v>3.0912415584415589</v>
      </c>
      <c r="AQ33" s="44">
        <f>VLOOKUP($B33&amp;$C33,'[1]FC4 Prod'!$A$6:$BP$36,[2]Consolidated!AQ$1)</f>
        <v>21.795293501319183</v>
      </c>
      <c r="AR33" s="45">
        <f>VLOOKUP($B33&amp;$C33,'[1]FC4 Prod'!$A$6:$BP$36,[2]Consolidated!AR$1)</f>
        <v>0.97267759562841549</v>
      </c>
      <c r="AS33" s="46">
        <f>VLOOKUP($B33&amp;$C33,'[1]FC4 Prod'!$A$6:$BP$36,[2]Consolidated!AS$1)</f>
        <v>2.0233333333333334</v>
      </c>
      <c r="AT33" s="29">
        <f>VLOOKUP($B33&amp;$C33,'[1]FC4 Prod'!$A$6:$BP$36,[2]Consolidated!AT$1)</f>
        <v>0.80080913712255608</v>
      </c>
      <c r="AU33" s="34">
        <f>VLOOKUP($B33&amp;$C33,'[1]FC4 Prod'!$A$6:$BP$36,[2]Consolidated!AU$1)</f>
        <v>456.18981481481478</v>
      </c>
      <c r="AV33" s="34">
        <f>VLOOKUP($B33&amp;$C33,'[1]FC4 Prod'!$A$6:$BP$36,[2]Consolidated!AV$1)</f>
        <v>133.33333333333334</v>
      </c>
      <c r="AW33" s="47">
        <f>VLOOKUP($B33&amp;$C33,'[1]FC4 Prod'!$A$6:$BP$36,[2]Consolidated!AW$1)</f>
        <v>19676.793766233764</v>
      </c>
      <c r="AX33" s="47">
        <f>VLOOKUP($B33&amp;$C33,'[1]FC4 Prod'!$A$6:$BP$36,[2]Consolidated!AX$1)</f>
        <v>8283.8528831168842</v>
      </c>
      <c r="AY33" s="48">
        <f>VLOOKUP($B33&amp;$C33,'[1]FC4 Prod'!$A$6:$BP$36,[2]Consolidated!AY$1)</f>
        <v>604.42597402597391</v>
      </c>
      <c r="AZ33" s="47">
        <f>VLOOKUP($B33&amp;$C33,'[1]FC4 Prod'!$A$6:$BP$36,[2]Consolidated!AZ$1)</f>
        <v>1114.8368831168832</v>
      </c>
      <c r="BA33" s="47">
        <f>VLOOKUP($B33&amp;$C33,'[1]FC4 Prod'!$A$6:$BP$36,[2]Consolidated!BA$1)</f>
        <v>18083.763116883121</v>
      </c>
      <c r="BB33" s="47">
        <f>VLOOKUP($B33&amp;$C33,'[1]FC4 Prod'!$A$6:$BP$36,[2]Consolidated!BB$1)</f>
        <v>477.63672623376624</v>
      </c>
      <c r="BC33" s="47">
        <f>VLOOKUP($B33&amp;$C33,'[1]FC4 Prod'!$A$6:$BP$36,[2]Consolidated!BC$1)</f>
        <v>5873.3589610389618</v>
      </c>
      <c r="BD33" s="49">
        <f>VLOOKUP($B33&amp;$C33,'[1]FC4 Prod'!$A$6:$BP$36,[2]Consolidated!BD$1)</f>
        <v>54114.668310649351</v>
      </c>
      <c r="BE33" s="47">
        <f>VLOOKUP($B33&amp;$C33,'[1]FC4 Prod'!$A$6:$BP$36,[2]Consolidated!BE$1)</f>
        <v>16516.333984415585</v>
      </c>
      <c r="BF33" s="47">
        <f>VLOOKUP($B33&amp;$C33,'[1]FC4 Prod'!$A$6:$BP$36,[2]Consolidated!BF$1)</f>
        <v>7684.6526753246762</v>
      </c>
      <c r="BG33" s="50">
        <f>VLOOKUP($B33&amp;$C33,'[1]FC4 Prod'!$A$6:$BP$36,[2]Consolidated!BG$1)</f>
        <v>481.69558441558445</v>
      </c>
      <c r="BH33" s="50">
        <f>VLOOKUP($B33&amp;$C33,'[1]FC4 Prod'!$A$6:$BP$36,[2]Consolidated!BH$1)</f>
        <v>438.81282244155852</v>
      </c>
      <c r="BI33" s="50">
        <f>VLOOKUP($B33&amp;$C33,'[1]FC4 Prod'!$A$6:$BP$36,[2]Consolidated!BI$1)</f>
        <v>50193.45402763637</v>
      </c>
      <c r="BJ33" s="37" t="e">
        <f>VLOOKUP($B33&amp;$C33,'[1]FC4 Prod'!$A$6:$BP$36,[2]Consolidated!BJ$1)</f>
        <v>#REF!</v>
      </c>
      <c r="BK33" s="37" t="e">
        <f>VLOOKUP($B33&amp;$C33,'[1]FC4 Prod'!$A$6:$BP$36,[2]Consolidated!BK$1)</f>
        <v>#REF!</v>
      </c>
      <c r="BL33" s="37">
        <f>VLOOKUP($B33&amp;$C33,'[1]FC4 Prod'!$A$6:$BP$36,[2]Consolidated!BL$1)</f>
        <v>10</v>
      </c>
      <c r="BM33" s="37" t="e">
        <f>VLOOKUP($B33&amp;$C33,'[1]FC4 Prod'!$A$6:$BP$36,[2]Consolidated!BM$1)</f>
        <v>#REF!</v>
      </c>
      <c r="BN33" s="37" t="e">
        <f>VLOOKUP($B33&amp;$C33,'[1]FC4 Prod'!$A$6:$BP$36,[2]Consolidated!BN$1)</f>
        <v>#REF!</v>
      </c>
      <c r="BO33" s="37">
        <f>VLOOKUP($B33&amp;$C33,'[1]FC4 Prod'!$A$6:$BP$36,[2]Consolidated!BO$1)</f>
        <v>10</v>
      </c>
      <c r="BP33" s="37" t="str">
        <f>VLOOKUP($B33&amp;$C33,'[1]FC4 Prod'!$A$6:$BP$36,[2]Consolidated!BP$1)</f>
        <v>Electrode Lengths Measurment .</v>
      </c>
      <c r="BQ33" s="51" t="e">
        <f>VLOOKUP($B33&amp;$C33,'[1]FC4 Prod'!$A$6:$BP$36,[2]Consolidated!BQ$1)</f>
        <v>#REF!</v>
      </c>
      <c r="BR33" s="51">
        <f>VLOOKUP($B33&amp;$C33,'[1]FC4 Prod'!$A$6:$BQ$36,[2]Consolidated!BR$1)</f>
        <v>41644</v>
      </c>
      <c r="BS33" s="52">
        <f t="shared" ref="BS33" si="38">BE33+BF33*110%+BG33+BA33</f>
        <v>43534.910628571437</v>
      </c>
      <c r="BT33" s="32">
        <f t="shared" si="36"/>
        <v>-1890.910628571437</v>
      </c>
      <c r="BU33" s="37">
        <f t="shared" si="37"/>
        <v>-91000.074000000401</v>
      </c>
      <c r="BV33" s="53" t="s">
        <v>131</v>
      </c>
      <c r="BW33" s="54" cm="1">
        <f t="array" ref="BW33">IFERROR(VLOOKUP($A33,TRANSPOSE('[1]Fur 4 PLC'!$AR$1:$BV$39),8,0),0)</f>
        <v>0</v>
      </c>
      <c r="BX33" s="54" cm="1">
        <f t="array" ref="BX33">IFERROR(VLOOKUP($A33,TRANSPOSE('[1]Fur 4 PLC'!$AR$1:$BV$39),30,0),0)</f>
        <v>0</v>
      </c>
      <c r="BY33" s="54" cm="1">
        <f t="array" ref="BY33">IFERROR(VLOOKUP($A33,TRANSPOSE('[1]Fur 4 PLC'!$AR$1:$BV$39),14,0),0)</f>
        <v>0</v>
      </c>
      <c r="BZ33" s="54" cm="1">
        <f t="array" ref="BZ33">IFERROR(VLOOKUP($A33,TRANSPOSE('[1]Fur 4 PLC'!$AR$1:$BV$39),16,0),0)</f>
        <v>0</v>
      </c>
      <c r="CA33" s="54" cm="1">
        <f t="array" ref="CA33">IFERROR(VLOOKUP($A33,TRANSPOSE('[1]Fur 4 PLC'!$AR$1:$BV$39),9,0),0)</f>
        <v>0</v>
      </c>
      <c r="CB33" s="54" cm="1">
        <f t="array" ref="CB33">IFERROR(VLOOKUP($A33,TRANSPOSE('[1]Fur 4 PLC'!$AR$1:$BV$39),17,0),0)</f>
        <v>0</v>
      </c>
      <c r="CC33" s="54" cm="1">
        <f t="array" ref="CC33">IFERROR(VLOOKUP($A33,TRANSPOSE('[1]Fur 4 PLC'!$AR$1:$BV$39),20,0),0)</f>
        <v>1408.8935064935065</v>
      </c>
      <c r="CD33" s="54" cm="1">
        <f t="array" ref="CD33">IFERROR(VLOOKUP($A33,TRANSPOSE('[1]Fur 4 PLC'!$AR$1:$BV$39),28,0),0)</f>
        <v>0</v>
      </c>
      <c r="CE33" s="54" cm="1">
        <f t="array" ref="CE33">IFERROR(VLOOKUP($A33,TRANSPOSE('[1]Fur 4 PLC'!$AR$1:$BV$39),13,0),0)</f>
        <v>97.163636363636371</v>
      </c>
      <c r="CF33" s="54" cm="1">
        <f t="array" ref="CF33">IFERROR(VLOOKUP($A33,TRANSPOSE('[1]Fur 4 PLC'!$AR$1:$BV$39),37,0),0)</f>
        <v>0</v>
      </c>
      <c r="CG33" s="54" cm="1">
        <f t="array" ref="CG33">IFERROR(VLOOKUP($A33,TRANSPOSE('[1]Fur 4 PLC'!$AR$1:$BV$39),6,0),0)</f>
        <v>0</v>
      </c>
      <c r="CH33" s="54" cm="1">
        <f t="array" ref="CH33">IFERROR(VLOOKUP($A33,TRANSPOSE('[1]Fur 4 PLC'!$AR$1:$BV$39),21,0),0)</f>
        <v>0</v>
      </c>
      <c r="CI33" s="54" cm="1">
        <f t="array" ref="CI33">IFERROR(VLOOKUP($A33,TRANSPOSE('[1]Fur 4 PLC'!$AR$1:$BV$39),12,0),0)</f>
        <v>0</v>
      </c>
      <c r="CJ33" s="54" cm="1">
        <f t="array" ref="CJ33">IFERROR(VLOOKUP($A33,TRANSPOSE('[1]Fur 4 PLC'!$AR$1:$BV$39),25,0),0)</f>
        <v>150.29610389610389</v>
      </c>
      <c r="CK33" s="54" cm="1">
        <f t="array" ref="CK33">IFERROR(VLOOKUP($A33,TRANSPOSE('[1]Fur 4 PLC'!$AR$1:$BV$39),26,0),0)</f>
        <v>377.24675324675326</v>
      </c>
      <c r="CL33" s="54" cm="1">
        <f t="array" ref="CL33">IFERROR(VLOOKUP($A33,TRANSPOSE('[1]Fur 4 PLC'!$AR$1:$BV$39),27,0),0)</f>
        <v>0</v>
      </c>
      <c r="CM33" s="54" cm="1">
        <f t="array" ref="CM33">IFERROR(VLOOKUP($A33,TRANSPOSE('[1]Fur 4 PLC'!$AR$1:$BV$39),22,0),0)</f>
        <v>0</v>
      </c>
      <c r="CN33" s="54"/>
      <c r="CO33" s="54" cm="1">
        <f t="array" ref="CO33">IFERROR(VLOOKUP($A33,TRANSPOSE('[1]Fur 4 PLC'!$AR$1:$BV$39),29,0),0)</f>
        <v>127.23116883116883</v>
      </c>
      <c r="CP33" s="54" cm="1">
        <f t="array" ref="CP33">IFERROR(VLOOKUP($A33,TRANSPOSE('[1]Fur 4 PLC'!$AR$1:$BV$39),10,0),0)</f>
        <v>0</v>
      </c>
      <c r="CQ33" s="54" cm="1">
        <f t="array" ref="CQ33">IFERROR(VLOOKUP($A33,TRANSPOSE('[1]Fur 4 PLC'!$AR$1:$BV$39),7,0),0)</f>
        <v>134.9818181818182</v>
      </c>
      <c r="CR33" s="54" cm="1">
        <f t="array" ref="CR33">IFERROR(VLOOKUP($A33,TRANSPOSE('[1]Fur 4 PLC'!$AR$1:$BV$39),36,0),0)</f>
        <v>200.70649350649353</v>
      </c>
      <c r="CS33" s="54" cm="1">
        <f t="array" ref="CS33">IFERROR(VLOOKUP($A33,TRANSPOSE('[1]Fur 4 PLC'!$AR$1:$BV$39),11,0),0)</f>
        <v>0</v>
      </c>
      <c r="CT33" s="54" cm="1">
        <f t="array" ref="CT33">IFERROR(VLOOKUP($A33,TRANSPOSE('[1]Fur 4 PLC'!$AR$1:$BV$39),19,0),0)</f>
        <v>70.025974025974037</v>
      </c>
      <c r="CU33" s="54" cm="1">
        <f t="array" ref="CU33">IFERROR(VLOOKUP($A33,TRANSPOSE('[1]Fur 4 PLC'!$AR$1:$BV$39),18,0),0)</f>
        <v>313.0181818181818</v>
      </c>
      <c r="CV33" s="54" cm="1">
        <f t="array" ref="CV33">IFERROR(VLOOKUP($A33,TRANSPOSE('[1]Fur 4 PLC'!$AR$1:$BV$38),15,0),0)</f>
        <v>0</v>
      </c>
      <c r="CW33" s="54" cm="1">
        <f t="array" ref="CW33">IFERROR(VLOOKUP($A33,TRANSPOSE('[1]Fur 4 PLC'!$CK$1:$DO$39),8,0),0)</f>
        <v>0</v>
      </c>
      <c r="CX33" s="54" cm="1">
        <f t="array" ref="CX33">IFERROR(VLOOKUP($A33,TRANSPOSE('[1]Fur 4 PLC'!$CK$1:$DO$39),30,0),0)</f>
        <v>0</v>
      </c>
      <c r="CY33" s="54" cm="1">
        <f t="array" ref="CY33">IFERROR(VLOOKUP($A33,TRANSPOSE('[1]Fur 4 PLC'!$CK$1:$DO$39),14,0),0)</f>
        <v>0</v>
      </c>
      <c r="CZ33" s="54" cm="1">
        <f t="array" ref="CZ33">IFERROR(VLOOKUP($A33,TRANSPOSE('[1]Fur 4 PLC'!$CK$1:$DO$39),16,0),0)</f>
        <v>0</v>
      </c>
      <c r="DA33" s="54" cm="1">
        <f t="array" ref="DA33">IFERROR(VLOOKUP($A33,TRANSPOSE('[1]Fur 4 PLC'!$CK$1:$DO$39),9,0),0)</f>
        <v>0</v>
      </c>
      <c r="DB33" s="55" cm="1">
        <f t="array" ref="DB33">IFERROR(VLOOKUP($A33,TRANSPOSE('[1]Fur 4 PLC'!$CK$1:$DO$39),17,0),0)</f>
        <v>0</v>
      </c>
      <c r="DC33" s="55" cm="1">
        <f t="array" ref="DC33">IFERROR(VLOOKUP($A33,TRANSPOSE('[1]Fur 4 PLC'!$CK$1:$DO$39),20,0),0)</f>
        <v>729.0645161290322</v>
      </c>
      <c r="DD33" s="54" cm="1">
        <f t="array" ref="DD33">IFERROR(VLOOKUP($A33,TRANSPOSE('[1]Fur 4 PLC'!$CK$1:$DO$39),28,0),0)</f>
        <v>0</v>
      </c>
      <c r="DE33" s="54" cm="1">
        <f t="array" ref="DE33">IFERROR(VLOOKUP($A33,TRANSPOSE('[1]Fur 4 PLC'!$CK$1:$DO$39),13,0),0)</f>
        <v>50.27956989247312</v>
      </c>
      <c r="DF33" s="54" cm="1">
        <f t="array" ref="DF33">IFERROR(VLOOKUP($A33,TRANSPOSE('[1]Fur 4 PLC'!$CK$1:$DO$39),37,0),0)</f>
        <v>0</v>
      </c>
      <c r="DG33" s="54" cm="1">
        <f t="array" ref="DG33">IFERROR(VLOOKUP($A33,TRANSPOSE('[1]Fur 4 PLC'!$CK$1:$DO$39),6,0),0)</f>
        <v>0</v>
      </c>
      <c r="DH33" s="54" cm="1">
        <f t="array" ref="DH33">IFERROR(VLOOKUP($A33,TRANSPOSE('[1]Fur 4 PLC'!$CK$1:$DO$39),21,0),0)</f>
        <v>0</v>
      </c>
      <c r="DI33" s="54" cm="1">
        <f t="array" ref="DI33">IFERROR(VLOOKUP($A33,TRANSPOSE('[1]Fur 4 PLC'!$CK$1:$DO$39),12,0),0)</f>
        <v>0</v>
      </c>
      <c r="DJ33" s="54" cm="1">
        <f t="array" ref="DJ33">IFERROR(VLOOKUP($A33,TRANSPOSE('[1]Fur 4 PLC'!$CK$1:$DO$39),25,0),0)</f>
        <v>77.774193548387089</v>
      </c>
      <c r="DK33" s="54" cm="1">
        <f t="array" ref="DK33">IFERROR(VLOOKUP($A33,TRANSPOSE('[1]Fur 4 PLC'!$CK$1:$DO$39),26,0),0)</f>
        <v>195.21505376344086</v>
      </c>
      <c r="DL33" s="54" cm="1">
        <f t="array" ref="DL33">IFERROR(VLOOKUP($A33,TRANSPOSE('[1]Fur 4 PLC'!$CK$1:$DO$39),27,0),0)</f>
        <v>0</v>
      </c>
      <c r="DM33" s="54" cm="1">
        <f t="array" ref="DM33">IFERROR(VLOOKUP($A33,TRANSPOSE('[1]Fur 4 PLC'!$CK$1:$DO$39),22,0),0)</f>
        <v>0</v>
      </c>
      <c r="DN33" s="54" cm="1">
        <f t="array" ref="DN33">IFERROR(VLOOKUP($A33,TRANSPOSE('[1]Fur 4 PLC'!$CK$1:$DO$39),19,0),0)</f>
        <v>36.236559139784951</v>
      </c>
      <c r="DO33" s="54" cm="1">
        <f t="array" ref="DO33">IFERROR(VLOOKUP($A33,TRANSPOSE('[1]Fur 4 PLC'!$CK$1:$DO$39),29,0),0)</f>
        <v>65.838709677419345</v>
      </c>
      <c r="DP33" s="54" cm="1">
        <f t="array" ref="DP33">IFERROR(VLOOKUP($A33,TRANSPOSE('[1]Fur 4 PLC'!$CK$1:$DO$39),10,0),0)</f>
        <v>0</v>
      </c>
      <c r="DQ33" s="54" cm="1">
        <f t="array" ref="DQ33">IFERROR(VLOOKUP($A33,TRANSPOSE('[1]Fur 4 PLC'!$CK$1:$DO$39),7,0),0)</f>
        <v>69.849462365591407</v>
      </c>
      <c r="DR33" s="54" cm="1">
        <f t="array" ref="DR33">IFERROR(VLOOKUP($A33,TRANSPOSE('[1]Fur 4 PLC'!$CK$1:$DO$39),36,0),0)</f>
        <v>103.86021505376344</v>
      </c>
      <c r="DS33" s="54" cm="1">
        <f t="array" ref="DS33">IFERROR(VLOOKUP($A33,TRANSPOSE('[1]Fur 4 PLC'!$CK$1:$DO$39),11,0),0)</f>
        <v>0</v>
      </c>
      <c r="DT33" s="54" cm="1">
        <f t="array" ref="DT33">IFERROR(VLOOKUP($A33,TRANSPOSE('[1]Fur 4 PLC'!$CK$1:$DO$39),19,0),0)</f>
        <v>36.236559139784951</v>
      </c>
      <c r="DU33" s="54" cm="1">
        <f t="array" ref="DU33">IFERROR(VLOOKUP($A33,TRANSPOSE('[1]Fur 4 PLC'!$CK$1:$DO$39),18,0),0)</f>
        <v>161.97849462365591</v>
      </c>
      <c r="DV33" s="54" cm="1">
        <f t="array" ref="DV33">IFERROR(VLOOKUP($A33,TRANSPOSE('[1]Fur 4 PLC'!$CK$1:$DO$39),15,0),0)</f>
        <v>0</v>
      </c>
      <c r="DW33" t="str">
        <f t="shared" si="35"/>
        <v>Dec-25</v>
      </c>
    </row>
    <row r="34" spans="1:127" x14ac:dyDescent="0.3">
      <c r="A34" s="28" t="str">
        <f t="shared" si="1"/>
        <v>F146000</v>
      </c>
      <c r="B34" s="29" t="s">
        <v>26</v>
      </c>
      <c r="C34" s="30">
        <f>C30+1</f>
        <v>46000</v>
      </c>
      <c r="D34" s="29" t="str">
        <f>VLOOKUP($B34&amp;$C34,'[1]FC1 Prod'!$A$6:$BP$36,[2]Consolidated!D$1)</f>
        <v>Raju Singh</v>
      </c>
      <c r="E34" s="29">
        <f>VLOOKUP($B34&amp;$C34,'[1]FC1 Prod'!$A$6:$BP$36,[2]Consolidated!E$1)</f>
        <v>23.44</v>
      </c>
      <c r="F34" s="31">
        <f>VLOOKUP($B34&amp;$C34,'[1]FC1 Prod'!$A$6:$BP$36,[2]Consolidated!F$1)</f>
        <v>0</v>
      </c>
      <c r="G34" s="32">
        <f>VLOOKUP($B34&amp;$C34,'[1]FC1 Prod'!$A$6:$BP$36,[2]Consolidated!G$1)</f>
        <v>23.44</v>
      </c>
      <c r="H34" s="32">
        <f>VLOOKUP($B34&amp;$C34,'[1]FC1 Prod'!$A$6:$BP$36,[2]Consolidated!H$1)</f>
        <v>16.940000000000001</v>
      </c>
      <c r="I34" s="32">
        <f>VLOOKUP($B34&amp;$C34,'[1]FC1 Prod'!$A$6:$BP$36,[2]Consolidated!I$1)</f>
        <v>5.41</v>
      </c>
      <c r="J34" s="32">
        <f>VLOOKUP($B34&amp;$C34,'[1]FC1 Prod'!$A$6:$BP$36,[2]Consolidated!J$1)</f>
        <v>39.21</v>
      </c>
      <c r="K34" s="32">
        <f>VLOOKUP($B34&amp;$C34,'[1]FC1 Prod'!$A$6:$BP$36,[2]Consolidated!K$1)</f>
        <v>1.28</v>
      </c>
      <c r="L34" s="32">
        <f>VLOOKUP($B34&amp;$C34,'[1]FC1 Prod'!$A$6:$BP$36,[2]Consolidated!L$1)</f>
        <v>27.38</v>
      </c>
      <c r="M34" s="32">
        <f>VLOOKUP($B34&amp;$C34,'[1]FC1 Prod'!$A$6:$BP$36,[2]Consolidated!M$1)</f>
        <v>5.22</v>
      </c>
      <c r="N34" s="32">
        <f>VLOOKUP($B34&amp;$C34,'[1]FC1 Prod'!$A$6:$BP$36,[2]Consolidated!N$1)</f>
        <v>17.88</v>
      </c>
      <c r="O34" s="32">
        <f>VLOOKUP($B34&amp;$C34,'[1]FC1 Prod'!$A$6:$BP$36,[2]Consolidated!O$1)</f>
        <v>0.83</v>
      </c>
      <c r="P34" s="33">
        <f>VLOOKUP($B34&amp;$C34,'[1]FC1 Prod'!$A$6:$BP$36,[2]Consolidated!P$1)</f>
        <v>8</v>
      </c>
      <c r="Q34" s="29">
        <f>VLOOKUP($B34&amp;$C34,'[1]FC1 Prod'!$A$6:$BP$36,[2]Consolidated!Q$1)</f>
        <v>42.582000000000001</v>
      </c>
      <c r="R34" s="29">
        <f>VLOOKUP($B34&amp;$C34,'[1]FC1 Prod'!$A$6:$BP$36,[2]Consolidated!R$1)</f>
        <v>13.527999999999999</v>
      </c>
      <c r="S34" s="34">
        <f>VLOOKUP($B34&amp;$C34,'[1]FC1 Prod'!$A$6:$BP$36,[2]Consolidated!S$1)</f>
        <v>24</v>
      </c>
      <c r="T34" s="34">
        <f>VLOOKUP($B34&amp;$C34,'[1]FC1 Prod'!$A$6:$BP$36,[2]Consolidated!T$1)</f>
        <v>15</v>
      </c>
      <c r="U34" s="34">
        <f>VLOOKUP($B34&amp;$C34,'[1]FC1 Prod'!$A$6:$BP$36,[2]Consolidated!U$1)</f>
        <v>15</v>
      </c>
      <c r="V34" s="34">
        <f>VLOOKUP($B34&amp;$C34,'[1]FC1 Prod'!$A$6:$BP$36,[2]Consolidated!V$1)</f>
        <v>54</v>
      </c>
      <c r="W34" s="35">
        <f>VLOOKUP($B34&amp;$C34,'[1]FC1 Prod'!$A$6:$BP$36,[2]Consolidated!W$1)</f>
        <v>1.8166382252559727</v>
      </c>
      <c r="X34" s="35">
        <f>VLOOKUP($B34&amp;$C34,'[1]FC1 Prod'!$A$6:$BP$36,[2]Consolidated!X$1)</f>
        <v>24.164999999999999</v>
      </c>
      <c r="Y34" s="36">
        <f>VLOOKUP($B34&amp;$C34,'[1]FC1 Prod'!$A$6:$BP$36,[2]Consolidated!Y$1)</f>
        <v>0.96999793089178576</v>
      </c>
      <c r="Z34" s="37" t="str">
        <f>VLOOKUP($B34&amp;$C34,'[1]FC1 Prod'!$A$6:$BP$36,[2]Consolidated!Z$1)</f>
        <v>40/22</v>
      </c>
      <c r="AA34" s="31">
        <f>VLOOKUP($B34&amp;$C34,'[1]FC1 Prod'!$A$6:$BP$36,[2]Consolidated!AA$1)</f>
        <v>40.184999999999995</v>
      </c>
      <c r="AB34" s="31">
        <f>VLOOKUP($B34&amp;$C34,'[1]FC1 Prod'!$A$6:$BP$36,[2]Consolidated!AB$1)</f>
        <v>20.987499999999997</v>
      </c>
      <c r="AC34" s="31">
        <f>VLOOKUP($B34&amp;$C34,'[1]FC1 Prod'!$A$6:$BP$36,[2]Consolidated!AC$1)</f>
        <v>0.47250000000000003</v>
      </c>
      <c r="AD34" s="38">
        <f>VLOOKUP($B34&amp;$C34,'[1]FC1 Prod'!$A$6:$BP$36,[2]Consolidated!AD$1)</f>
        <v>566.26043818259382</v>
      </c>
      <c r="AE34" s="38">
        <f>VLOOKUP($B34&amp;$C34,'[1]FC1 Prod'!$A$6:$BP$36,[2]Consolidated!AE$1)</f>
        <v>471.35740614761096</v>
      </c>
      <c r="AF34" s="39">
        <f>VLOOKUP($B34&amp;$C34,'[1]FC1 Prod'!$A$6:$BP$36,[2]Consolidated!AF$1)</f>
        <v>0.70965579246491728</v>
      </c>
      <c r="AG34" s="39">
        <f>VLOOKUP($B34&amp;$C34,'[1]FC1 Prod'!$A$6:$BP$36,[2]Consolidated!AG$1)</f>
        <v>0.8525377871630514</v>
      </c>
      <c r="AH34" s="34">
        <f>VLOOKUP($B34&amp;$C34,'[1]FC1 Prod'!$A$6:$BP$36,[2]Consolidated!AH$1)</f>
        <v>504.03071672354946</v>
      </c>
      <c r="AI34" s="33">
        <f>VLOOKUP($B34&amp;$C34,'[1]FC1 Prod'!$A$6:$BP$36,[2]Consolidated!AI$1)</f>
        <v>437.33720136518758</v>
      </c>
      <c r="AJ34" s="39">
        <f>VLOOKUP($B34&amp;$C34,'[1]FC1 Prod'!$A$6:$BP$36,[2]Consolidated!AJ$1)</f>
        <v>1.6484618886158622</v>
      </c>
      <c r="AK34" s="39">
        <f>VLOOKUP($B34&amp;$C34,'[1]FC1 Prod'!$A$6:$BP$36,[2]Consolidated!AK$1)</f>
        <v>0.57062999790251212</v>
      </c>
      <c r="AL34" s="40" t="str">
        <f>VLOOKUP($B34&amp;$C34,'[1]FC1 Prod'!$A$6:$BP$36,[2]Consolidated!AL$1)</f>
        <v>10/70</v>
      </c>
      <c r="AM34" s="41">
        <f>VLOOKUP($B34&amp;$C34,'[1]FC1 Prod'!$A$6:$BP$36,[2]Consolidated!AM$1)</f>
        <v>2.3464163822525599E-2</v>
      </c>
      <c r="AN34" s="42">
        <f>VLOOKUP($B34&amp;$C34,'[1]FC1 Prod'!$A$6:$BP$36,[2]Consolidated!AN$1)</f>
        <v>102.1</v>
      </c>
      <c r="AO34" s="43">
        <f>VLOOKUP($B34&amp;$C34,'[1]FC1 Prod'!$A$6:$BP$36,[2]Consolidated!AO$1)</f>
        <v>3.8660000000000001</v>
      </c>
      <c r="AP34" s="44">
        <f>VLOOKUP($B34&amp;$C34,'[1]FC1 Prod'!$A$6:$BP$36,[2]Consolidated!AP$1)</f>
        <v>4.520733788395904</v>
      </c>
      <c r="AQ34" s="44">
        <f>VLOOKUP($B34&amp;$C34,'[1]FC1 Prod'!$A$6:$BP$36,[2]Consolidated!AQ$1)</f>
        <v>22.75860011967784</v>
      </c>
      <c r="AR34" s="45">
        <f>VLOOKUP($B34&amp;$C34,'[1]FC1 Prod'!$A$6:$BP$36,[2]Consolidated!AR$1)</f>
        <v>0.96685606060606044</v>
      </c>
      <c r="AS34" s="46">
        <f>VLOOKUP($B34&amp;$C34,'[1]FC1 Prod'!$A$6:$BP$36,[2]Consolidated!AS$1)</f>
        <v>2.06</v>
      </c>
      <c r="AT34" s="29">
        <f>VLOOKUP($B34&amp;$C34,'[1]FC1 Prod'!$A$6:$BP$36,[2]Consolidated!AT$1)</f>
        <v>0.78860455576429356</v>
      </c>
      <c r="AU34" s="34">
        <f>VLOOKUP($B34&amp;$C34,'[1]FC1 Prod'!$A$6:$BP$36,[2]Consolidated!AU$1)</f>
        <v>459.14420803782508</v>
      </c>
      <c r="AV34" s="34">
        <f>VLOOKUP($B34&amp;$C34,'[1]FC1 Prod'!$A$6:$BP$36,[2]Consolidated!AV$1)</f>
        <v>183.33333333333334</v>
      </c>
      <c r="AW34" s="47">
        <f>VLOOKUP($B34&amp;$C34,'[1]FC1 Prod'!$A$6:$BP$36,[2]Consolidated!AW$1)</f>
        <v>21312.819965870305</v>
      </c>
      <c r="AX34" s="47">
        <f>VLOOKUP($B34&amp;$C34,'[1]FC1 Prod'!$A$6:$BP$36,[2]Consolidated!AX$1)</f>
        <v>15323.208191126279</v>
      </c>
      <c r="AY34" s="48">
        <f>VLOOKUP($B34&amp;$C34,'[1]FC1 Prod'!$A$6:$BP$36,[2]Consolidated!AY$1)</f>
        <v>2759.8976109215014</v>
      </c>
      <c r="AZ34" s="47">
        <f>VLOOKUP($B34&amp;$C34,'[1]FC1 Prod'!$A$6:$BP$36,[2]Consolidated!AZ$1)</f>
        <v>1621.5507679180887</v>
      </c>
      <c r="BA34" s="47">
        <f>VLOOKUP($B34&amp;$C34,'[1]FC1 Prod'!$A$6:$BP$36,[2]Consolidated!BA$1)</f>
        <v>26446.292662116037</v>
      </c>
      <c r="BB34" s="47">
        <f>VLOOKUP($B34&amp;$C34,'[1]FC1 Prod'!$A$6:$BP$36,[2]Consolidated!BB$1)</f>
        <v>674.63769197952206</v>
      </c>
      <c r="BC34" s="47">
        <f>VLOOKUP($B34&amp;$C34,'[1]FC1 Prod'!$A$6:$BP$36,[2]Consolidated!BC$1)</f>
        <v>8589.3941979522169</v>
      </c>
      <c r="BD34" s="49">
        <f>VLOOKUP($B34&amp;$C34,'[1]FC1 Prod'!$A$6:$BP$36,[2]Consolidated!BD$1)</f>
        <v>76727.801087883956</v>
      </c>
      <c r="BE34" s="47">
        <f>VLOOKUP($B34&amp;$C34,'[1]FC1 Prod'!$A$6:$BP$36,[2]Consolidated!BE$1)</f>
        <v>17806.090870307165</v>
      </c>
      <c r="BF34" s="47">
        <f>VLOOKUP($B34&amp;$C34,'[1]FC1 Prod'!$A$6:$BP$36,[2]Consolidated!BF$1)</f>
        <v>13380.409556313993</v>
      </c>
      <c r="BG34" s="50">
        <f>VLOOKUP($B34&amp;$C34,'[1]FC1 Prod'!$A$6:$BP$36,[2]Consolidated!BG$1)</f>
        <v>2012.1245733788396</v>
      </c>
      <c r="BH34" s="50">
        <f>VLOOKUP($B34&amp;$C34,'[1]FC1 Prod'!$A$6:$BP$36,[2]Consolidated!BH$1)</f>
        <v>612.66468430034126</v>
      </c>
      <c r="BI34" s="50">
        <f>VLOOKUP($B34&amp;$C34,'[1]FC1 Prod'!$A$6:$BP$36,[2]Consolidated!BI$1)</f>
        <v>70468.527312286678</v>
      </c>
      <c r="BJ34" s="37" t="e">
        <f>VLOOKUP($B34&amp;$C34,'[1]FC1 Prod'!$A$6:$BP$36,[2]Consolidated!BJ$1)</f>
        <v>#REF!</v>
      </c>
      <c r="BK34" s="37" t="e">
        <f>VLOOKUP($B34&amp;$C34,'[1]FC1 Prod'!$A$6:$BP$36,[2]Consolidated!BK$1)</f>
        <v>#REF!</v>
      </c>
      <c r="BL34" s="37" t="e">
        <f>VLOOKUP($B34&amp;$C34,'[1]FC1 Prod'!$A$6:$BP$36,[2]Consolidated!BL$1)</f>
        <v>#REF!</v>
      </c>
      <c r="BM34" s="37" t="e">
        <f>VLOOKUP($B34&amp;$C34,'[1]FC1 Prod'!$A$6:$BP$36,[2]Consolidated!BM$1)</f>
        <v>#REF!</v>
      </c>
      <c r="BN34" s="37" t="e">
        <f>VLOOKUP($B34&amp;$C34,'[1]FC1 Prod'!$A$6:$BP$36,[2]Consolidated!BN$1)</f>
        <v>#REF!</v>
      </c>
      <c r="BO34" s="37" t="e">
        <f>VLOOKUP($B34&amp;$C34,'[1]FC1 Prod'!$A$6:$BP$36,[2]Consolidated!BO$1)</f>
        <v>#REF!</v>
      </c>
      <c r="BP34" s="37" t="str">
        <f>VLOOKUP($B34&amp;$C34,'[1]FC1 Prod'!$A$6:$BP$36,[2]Consolidated!BP$1)</f>
        <v>NIL</v>
      </c>
      <c r="BQ34" s="51" t="e">
        <f>VLOOKUP($B34&amp;$C34,'[1]FC1 Prod'!$A$6:$BP$36,[2]Consolidated!BQ$1)</f>
        <v>#REF!</v>
      </c>
      <c r="BR34" s="51">
        <f>VLOOKUP($B34&amp;$C34,'[1]FC1 Prod'!$A$6:$BQ$36,[2]Consolidated!BR$1)</f>
        <v>60759</v>
      </c>
      <c r="BS34" s="52">
        <f t="shared" ref="BS34:BS36" si="39">BE34+BF34+BG34+BA34</f>
        <v>59644.917662116037</v>
      </c>
      <c r="BT34" s="32">
        <f>BR34-BS34</f>
        <v>1114.0823378839632</v>
      </c>
      <c r="BU34" s="37">
        <f>E34*BT34</f>
        <v>26114.090000000098</v>
      </c>
      <c r="BV34" s="53" t="s">
        <v>131</v>
      </c>
      <c r="BW34" s="54" cm="1">
        <f t="array" ref="BW34">IFERROR(VLOOKUP($A34,TRANSPOSE('[1]Fur 1 PLC'!$AR$1:$BV$38),8,0),0)</f>
        <v>0</v>
      </c>
      <c r="BX34" s="54" cm="1">
        <f t="array" ref="BX34">IFERROR(VLOOKUP($A34,TRANSPOSE('[1]Fur 1 PLC'!$AR$1:$BV$38),30,0),0)</f>
        <v>106.99658703071673</v>
      </c>
      <c r="BY34" s="54" cm="1">
        <f t="array" ref="BY34">IFERROR(VLOOKUP($A34,TRANSPOSE('[1]Fur 1 PLC'!$AR$1:$BV$38),14,0),0)</f>
        <v>0</v>
      </c>
      <c r="BZ34" s="54" cm="1">
        <f t="array" ref="BZ34">IFERROR(VLOOKUP($A34,TRANSPOSE('[1]Fur 1 PLC'!$AR$1:$BV$38),16,0),0)</f>
        <v>0</v>
      </c>
      <c r="CA34" s="54" cm="1">
        <f t="array" ref="CA34">IFERROR(VLOOKUP($A34,TRANSPOSE('[1]Fur 1 PLC'!$AR$1:$BV$38),9,0),0)</f>
        <v>311.47610921501706</v>
      </c>
      <c r="CB34" s="54" cm="1">
        <f t="array" ref="CB34">IFERROR(VLOOKUP($A34,TRANSPOSE('[1]Fur 1 PLC'!$AR$1:$BV$38),17,0),0)</f>
        <v>0</v>
      </c>
      <c r="CC34" s="54" cm="1">
        <f t="array" ref="CC34">IFERROR(VLOOKUP($A34,TRANSPOSE('[1]Fur 1 PLC'!$AR$1:$BV$38),20,0),0)</f>
        <v>829.69283276450517</v>
      </c>
      <c r="CD34" s="54" cm="1">
        <f t="array" ref="CD34">IFERROR(VLOOKUP($A34,TRANSPOSE('[1]Fur 1 PLC'!$AR$1:$BV$38),28,0),0)</f>
        <v>0</v>
      </c>
      <c r="CE34" s="54" cm="1">
        <f t="array" ref="CE34">IFERROR(VLOOKUP($A34,TRANSPOSE('[1]Fur 1 PLC'!$AR$1:$BV$38),13,0),0)</f>
        <v>0</v>
      </c>
      <c r="CF34" s="54" cm="1">
        <f t="array" ref="CF34">IFERROR(VLOOKUP($A34,TRANSPOSE('[1]Fur 1 PLC'!$AR$1:$BV$38),37,0),0)</f>
        <v>570.90443686006824</v>
      </c>
      <c r="CG34" s="54" cm="1">
        <f t="array" ref="CG34">IFERROR(VLOOKUP($A34,TRANSPOSE('[1]Fur 1 PLC'!$AR$1:$BV$38),6,0),0)</f>
        <v>0</v>
      </c>
      <c r="CH34" s="54" cm="1">
        <f t="array" ref="CH34">IFERROR(VLOOKUP($A34,TRANSPOSE('[1]Fur 1 PLC'!$AR$1:$BV$38),21,0),0)</f>
        <v>0</v>
      </c>
      <c r="CI34" s="54" cm="1">
        <f t="array" ref="CI34">IFERROR(VLOOKUP($A34,TRANSPOSE('[1]Fur 1 PLC'!$AR$1:$BV$38),12,0),0)</f>
        <v>0</v>
      </c>
      <c r="CJ34" s="54" cm="1">
        <f t="array" ref="CJ34">IFERROR(VLOOKUP($A34,TRANSPOSE('[1]Fur 1 PLC'!$AR$1:$BV$38),25,0),0)</f>
        <v>0</v>
      </c>
      <c r="CK34" s="54" cm="1">
        <f t="array" ref="CK34">IFERROR(VLOOKUP($A34,TRANSPOSE('[1]Fur 1 PLC'!$AR$1:$BV$38),26,0),0)</f>
        <v>0</v>
      </c>
      <c r="CL34" s="54" cm="1">
        <f t="array" ref="CL34">IFERROR(VLOOKUP($A34,TRANSPOSE('[1]Fur 1 PLC'!$AR$1:$BV$38),27,0),0)</f>
        <v>470.136518771331</v>
      </c>
      <c r="CM34" s="54" cm="1">
        <f t="array" ref="CM34">IFERROR(VLOOKUP($A34,TRANSPOSE('[1]Fur 1 PLC'!$AR$1:$BV$38),22,0),0)</f>
        <v>0</v>
      </c>
      <c r="CN34" s="54"/>
      <c r="CO34" s="54" cm="1">
        <f t="array" ref="CO34">IFERROR(VLOOKUP($A34,TRANSPOSE('[1]Fur 1 PLC'!$AR$1:$BV$38),29,0),0)</f>
        <v>0</v>
      </c>
      <c r="CP34" s="54" cm="1">
        <f t="array" ref="CP34">IFERROR(VLOOKUP($A34,TRANSPOSE('[1]Fur 1 PLC'!$AR$1:$BV$38),10,0),0)</f>
        <v>0</v>
      </c>
      <c r="CQ34" s="54" cm="1">
        <f t="array" ref="CQ34">IFERROR(VLOOKUP($A34,TRANSPOSE('[1]Fur 1 PLC'!$AR$1:$BV$38),7,0),0)</f>
        <v>254.47952218430032</v>
      </c>
      <c r="CR34" s="54" cm="1">
        <f t="array" ref="CR34">IFERROR(VLOOKUP($A34,TRANSPOSE('[1]Fur 1 PLC'!$AR$1:$BV$38),35,0),0)</f>
        <v>196.11774744027304</v>
      </c>
      <c r="CS34" s="54" cm="1">
        <f t="array" ref="CS34">IFERROR(VLOOKUP($A34,TRANSPOSE('[1]Fur 1 PLC'!$AR$1:$BV$38),11,0),0)</f>
        <v>0</v>
      </c>
      <c r="CT34" s="54" cm="1">
        <f t="array" ref="CT34">IFERROR(VLOOKUP($A34,TRANSPOSE('[1]Fur 1 PLC'!$AR$1:$BV$38),19,0),0)</f>
        <v>0</v>
      </c>
      <c r="CU34" s="54" cm="1">
        <f t="array" ref="CU34">IFERROR(VLOOKUP($A34,TRANSPOSE('[1]Fur 1 PLC'!$AR$1:$BV$38),18,0),0)</f>
        <v>518.85665529010237</v>
      </c>
      <c r="CV34" s="54" cm="1">
        <f t="array" ref="CV34">IFERROR(VLOOKUP($A34,TRANSPOSE('[1]Fur 1 PLC'!$AR$1:$BV$38),15,0),0)</f>
        <v>156.61262798634812</v>
      </c>
      <c r="CW34" s="54" cm="1">
        <f t="array" ref="CW34">IFERROR(VLOOKUP($A34,TRANSPOSE('[1]Fur 1 PLC'!$CL$1:$DP$38),8,0),0)</f>
        <v>0</v>
      </c>
      <c r="CX34" s="54" cm="1">
        <f t="array" ref="CX34">IFERROR(VLOOKUP($A34,TRANSPOSE('[1]Fur 1 PLC'!$CL$1:$DP$38),30,0),0)</f>
        <v>46.44444444444445</v>
      </c>
      <c r="CY34" s="54" cm="1">
        <f t="array" ref="CY34">IFERROR(VLOOKUP($A34,TRANSPOSE('[1]Fur 1 PLC'!$CL$1:$DP$38),14,0),0)</f>
        <v>0</v>
      </c>
      <c r="CZ34" s="54" cm="1">
        <f t="array" ref="CZ34">IFERROR(VLOOKUP($A34,TRANSPOSE('[1]Fur 1 PLC'!$CL$1:$DP$38),16,0),0)</f>
        <v>0</v>
      </c>
      <c r="DA34" s="54" cm="1">
        <f t="array" ref="DA34">IFERROR(VLOOKUP($A34,TRANSPOSE('[1]Fur 1 PLC'!$CL$1:$DP$38),9,0),0)</f>
        <v>135.20370370370372</v>
      </c>
      <c r="DB34" s="55" cm="1">
        <f t="array" ref="DB34">IFERROR(VLOOKUP($A34,TRANSPOSE('[1]Fur 1 PLC'!$CL$1:$DP$38),17,0),0)</f>
        <v>0</v>
      </c>
      <c r="DC34" s="55" cm="1">
        <f t="array" ref="DC34">IFERROR(VLOOKUP($A34,TRANSPOSE('[1]Fur 1 PLC'!$CL$1:$DP$38),20,0),0)</f>
        <v>360.14814814814815</v>
      </c>
      <c r="DD34" s="54" cm="1">
        <f t="array" ref="DD34">IFERROR(VLOOKUP($A34,TRANSPOSE('[1]Fur 1 PLC'!$CL$1:$DP$38),28,0),0)</f>
        <v>0</v>
      </c>
      <c r="DE34" s="54" cm="1">
        <f t="array" ref="DE34">IFERROR(VLOOKUP($A34,TRANSPOSE('[1]Fur 1 PLC'!$CL$1:$DP$38),13,0),0)</f>
        <v>0</v>
      </c>
      <c r="DF34" s="54" cm="1">
        <f t="array" ref="DF34">IFERROR(VLOOKUP($A34,TRANSPOSE('[1]Fur 1 PLC'!$CL$1:$DP$38),37,0),0)</f>
        <v>247.81481481481481</v>
      </c>
      <c r="DG34" s="54" cm="1">
        <f t="array" ref="DG34">IFERROR(VLOOKUP($A34,TRANSPOSE('[1]Fur 1 PLC'!$CL$1:$DP$38),6,0),0)</f>
        <v>0</v>
      </c>
      <c r="DH34" s="54" cm="1">
        <f t="array" ref="DH34">IFERROR(VLOOKUP($A34,TRANSPOSE('[1]Fur 1 PLC'!$CL$1:$DP$38),21,0),0)</f>
        <v>0</v>
      </c>
      <c r="DI34" s="54" cm="1">
        <f t="array" ref="DI34">IFERROR(VLOOKUP($A34,TRANSPOSE('[1]Fur 1 PLC'!$CL$1:$DP$38),12,0),0)</f>
        <v>0</v>
      </c>
      <c r="DJ34" s="54" cm="1">
        <f t="array" ref="DJ34">IFERROR(VLOOKUP($A34,TRANSPOSE('[1]Fur 1 PLC'!$CL$1:$DP$38),25,0),0)</f>
        <v>0</v>
      </c>
      <c r="DK34" s="54" cm="1">
        <f t="array" ref="DK34">IFERROR(VLOOKUP($A34,TRANSPOSE('[1]Fur 1 PLC'!$CL$1:$DP$38),26,0),0)</f>
        <v>0</v>
      </c>
      <c r="DL34" s="54" cm="1">
        <f t="array" ref="DL34">IFERROR(VLOOKUP($A34,TRANSPOSE('[1]Fur 1 PLC'!$CL$1:$DP$38),27,0),0)</f>
        <v>204.07407407407408</v>
      </c>
      <c r="DM34" s="54" cm="1">
        <f t="array" ref="DM34">IFERROR(VLOOKUP($A34,TRANSPOSE('[1]Fur 1 PLC'!$CL$1:$DP$38),22,0),0)</f>
        <v>0</v>
      </c>
      <c r="DN34" s="54" cm="1">
        <f t="array" ref="DN34">IFERROR(VLOOKUP($A34,TRANSPOSE('[1]Fur 1 PLC'!$CL$1:$DP$38),19,0),0)</f>
        <v>0</v>
      </c>
      <c r="DO34" s="54" cm="1">
        <f t="array" ref="DO34">IFERROR(VLOOKUP($A34,TRANSPOSE('[1]Fur 1 PLC'!$CL$1:$DP$38),29,0),0)</f>
        <v>0</v>
      </c>
      <c r="DP34" s="54" cm="1">
        <f t="array" ref="DP34">IFERROR(VLOOKUP($A34,TRANSPOSE('[1]Fur 1 PLC'!$CL$1:$DP$38),10,0),0)</f>
        <v>0</v>
      </c>
      <c r="DQ34" s="54" cm="1">
        <f t="array" ref="DQ34">IFERROR(VLOOKUP($A34,TRANSPOSE('[1]Fur 1 PLC'!$CL$1:$DP$38),7,0),0)</f>
        <v>110.46296296296296</v>
      </c>
      <c r="DR34" s="54" cm="1">
        <f t="array" ref="DR34">IFERROR(VLOOKUP($A34,TRANSPOSE('[1]Fur 1 PLC'!$CL$1:$DP$38),35,0),0)</f>
        <v>85.129629629629633</v>
      </c>
      <c r="DS34" s="54" cm="1">
        <f t="array" ref="DS34">IFERROR(VLOOKUP($A34,TRANSPOSE('[1]Fur 1 PLC'!$CL$1:$DP$38),11,0),0)</f>
        <v>0</v>
      </c>
      <c r="DT34" s="54" cm="1">
        <f t="array" ref="DT34">IFERROR(VLOOKUP($A34,TRANSPOSE('[1]Fur 1 PLC'!$CL$1:$DP$38),19,0),0)</f>
        <v>0</v>
      </c>
      <c r="DU34" s="54" cm="1">
        <f t="array" ref="DU34">IFERROR(VLOOKUP($A34,TRANSPOSE('[1]Fur 1 PLC'!$CL$1:$DP$38),18,0),0)</f>
        <v>225.22222222222223</v>
      </c>
      <c r="DV34" s="54" cm="1">
        <f t="array" ref="DV34">IFERROR(VLOOKUP($A34,TRANSPOSE('[1]Fur 1 PLC'!$CL$1:$DP$38),15,0),0)</f>
        <v>67.981481481481481</v>
      </c>
      <c r="DW34" t="str">
        <f>TEXT(C34,"Mmm-yy")</f>
        <v>Dec-25</v>
      </c>
    </row>
    <row r="35" spans="1:127" x14ac:dyDescent="0.3">
      <c r="A35" s="28" t="str">
        <f t="shared" si="1"/>
        <v>F246000</v>
      </c>
      <c r="B35" s="29" t="s">
        <v>27</v>
      </c>
      <c r="C35" s="30">
        <f>C34</f>
        <v>46000</v>
      </c>
      <c r="D35" s="29" t="str">
        <f>VLOOKUP($B35&amp;$C35,'[1]FC2 Prod'!$A$6:$BP$36,[2]Consolidated!D$1)</f>
        <v>Mr. Girish Malik</v>
      </c>
      <c r="E35" s="29">
        <f>VLOOKUP($B35&amp;$C35,'[1]FC2 Prod'!$A$6:$BP$36,[2]Consolidated!E$1)</f>
        <v>29.87</v>
      </c>
      <c r="F35" s="29">
        <f>VLOOKUP($B35&amp;$C35,'[1]FC2 Prod'!$A$6:$BP$36,[2]Consolidated!F$1)</f>
        <v>0.25499999999999901</v>
      </c>
      <c r="G35" s="29">
        <f>VLOOKUP($B35&amp;$C35,'[1]FC2 Prod'!$A$6:$BP$36,[2]Consolidated!G$1)</f>
        <v>30.125</v>
      </c>
      <c r="H35" s="32">
        <f>VLOOKUP($B35&amp;$C35,'[1]FC2 Prod'!$A$6:$BP$36,[2]Consolidated!H$1)</f>
        <v>21.68</v>
      </c>
      <c r="I35" s="32">
        <f>VLOOKUP($B35&amp;$C35,'[1]FC2 Prod'!$A$6:$BP$36,[2]Consolidated!I$1)</f>
        <v>6.76</v>
      </c>
      <c r="J35" s="32">
        <f>VLOOKUP($B35&amp;$C35,'[1]FC2 Prod'!$A$6:$BP$36,[2]Consolidated!J$1)</f>
        <v>40.520000000000003</v>
      </c>
      <c r="K35" s="32">
        <f>VLOOKUP($B35&amp;$C35,'[1]FC2 Prod'!$A$6:$BP$36,[2]Consolidated!K$1)</f>
        <v>1.38</v>
      </c>
      <c r="L35" s="32">
        <f>VLOOKUP($B35&amp;$C35,'[1]FC2 Prod'!$A$6:$BP$36,[2]Consolidated!L$1)</f>
        <v>28.21</v>
      </c>
      <c r="M35" s="32">
        <f>VLOOKUP($B35&amp;$C35,'[1]FC2 Prod'!$A$6:$BP$36,[2]Consolidated!M$1)</f>
        <v>5.0199999999999996</v>
      </c>
      <c r="N35" s="32">
        <f>VLOOKUP($B35&amp;$C35,'[1]FC2 Prod'!$A$6:$BP$36,[2]Consolidated!N$1)</f>
        <v>15.08</v>
      </c>
      <c r="O35" s="32">
        <f>VLOOKUP($B35&amp;$C35,'[1]FC2 Prod'!$A$6:$BP$36,[2]Consolidated!O$1)</f>
        <v>0.82</v>
      </c>
      <c r="P35" s="34">
        <f>VLOOKUP($B35&amp;$C35,'[1]FC2 Prod'!$A$6:$BP$36,[2]Consolidated!P$1)</f>
        <v>9</v>
      </c>
      <c r="Q35" s="29">
        <f>VLOOKUP($B35&amp;$C35,'[1]FC2 Prod'!$A$6:$BP$36,[2]Consolidated!Q$1)</f>
        <v>59.497</v>
      </c>
      <c r="R35" s="29">
        <f>VLOOKUP($B35&amp;$C35,'[1]FC2 Prod'!$A$6:$BP$36,[2]Consolidated!R$1)</f>
        <v>19.791999999999998</v>
      </c>
      <c r="S35" s="34">
        <f>VLOOKUP($B35&amp;$C35,'[1]FC2 Prod'!$A$6:$BP$36,[2]Consolidated!S$1)</f>
        <v>28</v>
      </c>
      <c r="T35" s="34">
        <f>VLOOKUP($B35&amp;$C35,'[1]FC2 Prod'!$A$6:$BP$36,[2]Consolidated!T$1)</f>
        <v>21</v>
      </c>
      <c r="U35" s="34">
        <f>VLOOKUP($B35&amp;$C35,'[1]FC2 Prod'!$A$6:$BP$36,[2]Consolidated!U$1)</f>
        <v>18</v>
      </c>
      <c r="V35" s="34">
        <f>VLOOKUP($B35&amp;$C35,'[1]FC2 Prod'!$A$6:$BP$36,[2]Consolidated!V$1)</f>
        <v>67</v>
      </c>
      <c r="W35" s="29">
        <f>VLOOKUP($B35&amp;$C35,'[1]FC2 Prod'!$A$6:$BP$36,[2]Consolidated!W$1)</f>
        <v>1.9918647472380313</v>
      </c>
      <c r="X35" s="35">
        <f>VLOOKUP($B35&amp;$C35,'[1]FC2 Prod'!$A$6:$BP$36,[2]Consolidated!X$1)</f>
        <v>31.06</v>
      </c>
      <c r="Y35" s="36">
        <f>VLOOKUP($B35&amp;$C35,'[1]FC2 Prod'!$A$6:$BP$36,[2]Consolidated!Y$1)</f>
        <v>0.9616870573084354</v>
      </c>
      <c r="Z35" s="37" t="str">
        <f>VLOOKUP($B35&amp;$C35,'[1]FC2 Prod'!$A$6:$BP$36,[2]Consolidated!Z$1)</f>
        <v>55/22</v>
      </c>
      <c r="AA35" s="31">
        <f>VLOOKUP($B35&amp;$C35,'[1]FC2 Prod'!$A$6:$BP$36,[2]Consolidated!AA$1)</f>
        <v>55.131111111111103</v>
      </c>
      <c r="AB35" s="31">
        <f>VLOOKUP($B35&amp;$C35,'[1]FC2 Prod'!$A$6:$BP$36,[2]Consolidated!AB$1)</f>
        <v>21.053333333333331</v>
      </c>
      <c r="AC35" s="31">
        <f>VLOOKUP($B35&amp;$C35,'[1]FC2 Prod'!$A$6:$BP$36,[2]Consolidated!AC$1)</f>
        <v>0.49555555555555564</v>
      </c>
      <c r="AD35" s="38">
        <f>VLOOKUP($B35&amp;$C35,'[1]FC2 Prod'!$A$6:$BP$36,[2]Consolidated!AD$1)</f>
        <v>642.70545902243055</v>
      </c>
      <c r="AE35" s="38">
        <f>VLOOKUP($B35&amp;$C35,'[1]FC2 Prod'!$A$6:$BP$36,[2]Consolidated!AE$1)</f>
        <v>631.4211003682625</v>
      </c>
      <c r="AF35" s="39">
        <f>VLOOKUP($B35&amp;$C35,'[1]FC2 Prod'!$A$6:$BP$36,[2]Consolidated!AF$1)</f>
        <v>0.85779746129691758</v>
      </c>
      <c r="AG35" s="39">
        <f>VLOOKUP($B35&amp;$C35,'[1]FC2 Prod'!$A$6:$BP$36,[2]Consolidated!AG$1)</f>
        <v>0.87312747513437694</v>
      </c>
      <c r="AH35" s="34">
        <f>VLOOKUP($B35&amp;$C35,'[1]FC2 Prod'!$A$6:$BP$36,[2]Consolidated!AH$1)</f>
        <v>527.66747639772348</v>
      </c>
      <c r="AI35" s="33">
        <f>VLOOKUP($B35&amp;$C35,'[1]FC2 Prod'!$A$6:$BP$36,[2]Consolidated!AI$1)</f>
        <v>488.6897762303314</v>
      </c>
      <c r="AJ35" s="39">
        <f>VLOOKUP($B35&amp;$C35,'[1]FC2 Prod'!$A$6:$BP$36,[2]Consolidated!AJ$1)</f>
        <v>0.47430916339580159</v>
      </c>
      <c r="AK35" s="39">
        <f>VLOOKUP($B35&amp;$C35,'[1]FC2 Prod'!$A$6:$BP$36,[2]Consolidated!AK$1)</f>
        <v>0.4598835027652235</v>
      </c>
      <c r="AL35" s="40" t="str">
        <f>VLOOKUP($B35&amp;$C35,'[1]FC2 Prod'!$A$6:$BP$36,[2]Consolidated!AL$1)</f>
        <v>10/70</v>
      </c>
      <c r="AM35" s="41">
        <f>VLOOKUP($B35&amp;$C35,'[1]FC2 Prod'!$A$6:$BP$36,[2]Consolidated!AM$1)</f>
        <v>2.6782725142283227E-2</v>
      </c>
      <c r="AN35" s="42">
        <f>VLOOKUP($B35&amp;$C35,'[1]FC2 Prod'!$A$6:$BP$36,[2]Consolidated!AN$1)</f>
        <v>143.19999999999999</v>
      </c>
      <c r="AO35" s="43">
        <f>VLOOKUP($B35&amp;$C35,'[1]FC2 Prod'!$A$6:$BP$36,[2]Consolidated!AO$1)</f>
        <v>6.2910000000000004</v>
      </c>
      <c r="AP35" s="44">
        <f>VLOOKUP($B35&amp;$C35,'[1]FC2 Prod'!$A$6:$BP$36,[2]Consolidated!AP$1)</f>
        <v>5.0047204553063267</v>
      </c>
      <c r="AQ35" s="44">
        <f>VLOOKUP($B35&amp;$C35,'[1]FC2 Prod'!$A$6:$BP$36,[2]Consolidated!AQ$1)</f>
        <v>29.059146228275619</v>
      </c>
      <c r="AR35" s="45">
        <f>VLOOKUP($B35&amp;$C35,'[1]FC2 Prod'!$A$6:$BP$36,[2]Consolidated!AR$1)</f>
        <v>0.97814207650273233</v>
      </c>
      <c r="AS35" s="46">
        <f>VLOOKUP($B35&amp;$C35,'[1]FC2 Prod'!$A$6:$BP$36,[2]Consolidated!AS$1)</f>
        <v>2.1393333333333335</v>
      </c>
      <c r="AT35" s="29">
        <f>VLOOKUP($B35&amp;$C35,'[1]FC2 Prod'!$A$6:$BP$36,[2]Consolidated!AT$1)</f>
        <v>0.78183423883244385</v>
      </c>
      <c r="AU35" s="34">
        <f>VLOOKUP($B35&amp;$C35,'[1]FC2 Prod'!$A$6:$BP$36,[2]Consolidated!AU$1)</f>
        <v>490.33806146572101</v>
      </c>
      <c r="AV35" s="34">
        <f>VLOOKUP($B35&amp;$C35,'[1]FC2 Prod'!$A$6:$BP$36,[2]Consolidated!AV$1)</f>
        <v>225</v>
      </c>
      <c r="AW35" s="47">
        <f>VLOOKUP($B35&amp;$C35,'[1]FC2 Prod'!$A$6:$BP$36,[2]Consolidated!AW$1)</f>
        <v>25648.008369601608</v>
      </c>
      <c r="AX35" s="47">
        <f>VLOOKUP($B35&amp;$C35,'[1]FC2 Prod'!$A$6:$BP$36,[2]Consolidated!AX$1)</f>
        <v>16226.581854703716</v>
      </c>
      <c r="AY35" s="48">
        <f>VLOOKUP($B35&amp;$C35,'[1]FC2 Prod'!$A$6:$BP$36,[2]Consolidated!AY$1)</f>
        <v>1813.25744894543</v>
      </c>
      <c r="AZ35" s="47">
        <f>VLOOKUP($B35&amp;$C35,'[1]FC2 Prod'!$A$6:$BP$36,[2]Consolidated!AZ$1)</f>
        <v>2553.2022095748239</v>
      </c>
      <c r="BA35" s="47">
        <f>VLOOKUP($B35&amp;$C35,'[1]FC2 Prod'!$A$6:$BP$36,[2]Consolidated!BA$1)</f>
        <v>29277.614663542012</v>
      </c>
      <c r="BB35" s="47">
        <f>VLOOKUP($B35&amp;$C35,'[1]FC2 Prod'!$A$6:$BP$36,[2]Consolidated!BB$1)</f>
        <v>755.18664546367597</v>
      </c>
      <c r="BC35" s="47">
        <f>VLOOKUP($B35&amp;$C35,'[1]FC2 Prod'!$A$6:$BP$36,[2]Consolidated!BC$1)</f>
        <v>9508.9688650820208</v>
      </c>
      <c r="BD35" s="49">
        <f>VLOOKUP($B35&amp;$C35,'[1]FC2 Prod'!$A$6:$BP$36,[2]Consolidated!BD$1)</f>
        <v>85782.82005691329</v>
      </c>
      <c r="BE35" s="47">
        <f>VLOOKUP($B35&amp;$C35,'[1]FC2 Prod'!$A$6:$BP$36,[2]Consolidated!BE$1)</f>
        <v>24903.774188148644</v>
      </c>
      <c r="BF35" s="47">
        <f>VLOOKUP($B35&amp;$C35,'[1]FC2 Prod'!$A$6:$BP$36,[2]Consolidated!BF$1)</f>
        <v>15007.3786407767</v>
      </c>
      <c r="BG35" s="50">
        <f>VLOOKUP($B35&amp;$C35,'[1]FC2 Prod'!$A$6:$BP$36,[2]Consolidated!BG$1)</f>
        <v>1841.3692668228991</v>
      </c>
      <c r="BH35" s="50">
        <f>VLOOKUP($B35&amp;$C35,'[1]FC2 Prod'!$A$6:$BP$36,[2]Consolidated!BH$1)</f>
        <v>735.83338968865075</v>
      </c>
      <c r="BI35" s="50">
        <f>VLOOKUP($B35&amp;$C35,'[1]FC2 Prod'!$A$6:$BP$36,[2]Consolidated!BI$1)</f>
        <v>83828.141223635757</v>
      </c>
      <c r="BJ35" s="37" t="e">
        <f>VLOOKUP($B35&amp;$C35,'[1]FC2 Prod'!$A$6:$BP$36,[2]Consolidated!BJ$1)</f>
        <v>#REF!</v>
      </c>
      <c r="BK35" s="37" t="e">
        <f>VLOOKUP($B35&amp;$C35,'[1]FC2 Prod'!$A$6:$BP$36,[2]Consolidated!BK$1)</f>
        <v>#REF!</v>
      </c>
      <c r="BL35" s="37" t="e">
        <f>VLOOKUP($B35&amp;$C35,'[1]FC2 Prod'!$A$6:$BP$36,[2]Consolidated!BL$1)</f>
        <v>#REF!</v>
      </c>
      <c r="BM35" s="37" t="e">
        <f>VLOOKUP($B35&amp;$C35,'[1]FC2 Prod'!$A$6:$BP$36,[2]Consolidated!BM$1)</f>
        <v>#REF!</v>
      </c>
      <c r="BN35" s="37" t="e">
        <f>VLOOKUP($B35&amp;$C35,'[1]FC2 Prod'!$A$6:$BP$36,[2]Consolidated!BN$1)</f>
        <v>#REF!</v>
      </c>
      <c r="BO35" s="37" t="e">
        <f>VLOOKUP($B35&amp;$C35,'[1]FC2 Prod'!$A$6:$BP$36,[2]Consolidated!BO$1)</f>
        <v>#REF!</v>
      </c>
      <c r="BP35" s="37" t="str">
        <f>VLOOKUP($B35&amp;$C35,'[1]FC2 Prod'!$A$6:$BP$36,[2]Consolidated!BP$1)</f>
        <v>NIL</v>
      </c>
      <c r="BQ35" s="29" t="e">
        <f>VLOOKUP($B35&amp;$C35,'[1]FC2 Prod'!$A$6:$BP$36,[2]Consolidated!BQ$1)</f>
        <v>#REF!</v>
      </c>
      <c r="BR35" s="51">
        <f>VLOOKUP($B35&amp;$C35,'[1]FC2 Prod'!$A$6:$BQ$36,[2]Consolidated!BR$1)</f>
        <v>69902</v>
      </c>
      <c r="BS35" s="52">
        <f t="shared" si="39"/>
        <v>71030.136759290253</v>
      </c>
      <c r="BT35" s="32">
        <f>BR35-BS35</f>
        <v>-1128.1367592902534</v>
      </c>
      <c r="BU35" s="37">
        <f>E35*BT35</f>
        <v>-33697.444999999869</v>
      </c>
      <c r="BV35" s="53" t="s">
        <v>131</v>
      </c>
      <c r="BW35" s="54" cm="1">
        <f t="array" ref="BW35">IFERROR(VLOOKUP($A35,TRANSPOSE('[1]Fur 2 PLC'!$AR$1:$BV$38),8,0),0)</f>
        <v>0</v>
      </c>
      <c r="BX35" s="54" cm="1">
        <f t="array" ref="BX35">IFERROR(VLOOKUP($A35,TRANSPOSE('[1]Fur 2 PLC'!$AR$1:$BV$38),30,0),0)</f>
        <v>0</v>
      </c>
      <c r="BY35" s="54" cm="1">
        <f t="array" ref="BY35">IFERROR(VLOOKUP($A35,TRANSPOSE('[1]Fur 2 PLC'!$AR$1:$BV$38),14,0),0)</f>
        <v>0</v>
      </c>
      <c r="BZ35" s="54" cm="1">
        <f t="array" ref="BZ35">IFERROR(VLOOKUP($A35,TRANSPOSE('[1]Fur 2 PLC'!$AR$1:$BV$38),16,0),0)</f>
        <v>0</v>
      </c>
      <c r="CA35" s="54" cm="1">
        <f t="array" ref="CA35">IFERROR(VLOOKUP($A35,TRANSPOSE('[1]Fur 2 PLC'!$AR$1:$BV$38),9,0),0)</f>
        <v>506.99698694342146</v>
      </c>
      <c r="CB35" s="54" cm="1">
        <f t="array" ref="CB35">IFERROR(VLOOKUP($A35,TRANSPOSE('[1]Fur 2 PLC'!$AR$1:$BV$38),17,0),0)</f>
        <v>403.78305992634751</v>
      </c>
      <c r="CC35" s="54" cm="1">
        <f t="array" ref="CC35">IFERROR(VLOOKUP($A35,TRANSPOSE('[1]Fur 2 PLC'!$AR$1:$BV$38),20,0),0)</f>
        <v>0</v>
      </c>
      <c r="CD35" s="54" cm="1">
        <f t="array" ref="CD35">IFERROR(VLOOKUP($A35,TRANSPOSE('[1]Fur 2 PLC'!$AR$1:$BV$38),28,0),0)</f>
        <v>131.63709407432205</v>
      </c>
      <c r="CE35" s="54" cm="1">
        <f t="array" ref="CE35">IFERROR(VLOOKUP($A35,TRANSPOSE('[1]Fur 2 PLC'!$AR$1:$BV$38),13,0),0)</f>
        <v>0</v>
      </c>
      <c r="CF35" s="54" cm="1">
        <f t="array" ref="CF35">IFERROR(VLOOKUP($A35,TRANSPOSE('[1]Fur 2 PLC'!$AR$1:$BV$38),37,0),0)</f>
        <v>681.98861734181446</v>
      </c>
      <c r="CG35" s="54" cm="1">
        <f t="array" ref="CG35">IFERROR(VLOOKUP($A35,TRANSPOSE('[1]Fur 2 PLC'!$AR$1:$BV$38),6,0),0)</f>
        <v>0</v>
      </c>
      <c r="CH35" s="54" cm="1">
        <f t="array" ref="CH35">IFERROR(VLOOKUP($A35,TRANSPOSE('[1]Fur 2 PLC'!$AR$1:$BV$38),21,0),0)</f>
        <v>0</v>
      </c>
      <c r="CI35" s="54" cm="1">
        <f t="array" ref="CI35">IFERROR(VLOOKUP($A35,TRANSPOSE('[1]Fur 2 PLC'!$AR$1:$BV$38),12,0),0)</f>
        <v>0</v>
      </c>
      <c r="CJ35" s="54" cm="1">
        <f t="array" ref="CJ35">IFERROR(VLOOKUP($A35,TRANSPOSE('[1]Fur 2 PLC'!$AR$1:$BV$38),25,0),0)</f>
        <v>0</v>
      </c>
      <c r="CK35" s="54" cm="1">
        <f t="array" ref="CK35">IFERROR(VLOOKUP($A35,TRANSPOSE('[1]Fur 2 PLC'!$AR$1:$BV$38),26,0),0)</f>
        <v>0</v>
      </c>
      <c r="CL35" s="54" cm="1">
        <f t="array" ref="CL35">IFERROR(VLOOKUP($A35,TRANSPOSE('[1]Fur 2 PLC'!$AR$1:$BV$38),27,0),0)</f>
        <v>530.96752594576492</v>
      </c>
      <c r="CM35" s="54" cm="1">
        <f t="array" ref="CM35">IFERROR(VLOOKUP($A35,TRANSPOSE('[1]Fur 2 PLC'!$AR$1:$BV$38),22,0),0)</f>
        <v>0</v>
      </c>
      <c r="CN35" s="54"/>
      <c r="CO35" s="54" cm="1">
        <f t="array" ref="CO35">IFERROR(VLOOKUP($A35,TRANSPOSE('[1]Fur 2 PLC'!$AR$1:$BV$38),29,0),0)</f>
        <v>0</v>
      </c>
      <c r="CP35" s="54" cm="1">
        <f t="array" ref="CP35">IFERROR(VLOOKUP($A35,TRANSPOSE('[1]Fur 2 PLC'!$AR$1:$BV$38),10,0),0)</f>
        <v>0</v>
      </c>
      <c r="CQ35" s="54" cm="1">
        <f t="array" ref="CQ35">IFERROR(VLOOKUP($A35,TRANSPOSE('[1]Fur 2 PLC'!$AR$1:$BV$38),7,0),0)</f>
        <v>181.01774355540675</v>
      </c>
      <c r="CR35" s="54" cm="1">
        <f t="array" ref="CR35">IFERROR(VLOOKUP($A35,TRANSPOSE('[1]Fur 2 PLC'!$AR$1:$BV$38),35,0),0)</f>
        <v>0</v>
      </c>
      <c r="CS35" s="54" cm="1">
        <f t="array" ref="CS35">IFERROR(VLOOKUP($A35,TRANSPOSE('[1]Fur 2 PLC'!$AR$1:$BV$38),11,0),0)</f>
        <v>738.03146970204227</v>
      </c>
      <c r="CT35" s="54" cm="1">
        <f t="array" ref="CT35">IFERROR(VLOOKUP($A35,TRANSPOSE('[1]Fur 2 PLC'!$AR$1:$BV$38),19,0),0)</f>
        <v>0</v>
      </c>
      <c r="CU35" s="54" cm="1">
        <f t="array" ref="CU35">IFERROR(VLOOKUP($A35,TRANSPOSE('[1]Fur 2 PLC'!$AR$1:$BV$38),18,0),0)</f>
        <v>0</v>
      </c>
      <c r="CV35" s="54" cm="1">
        <f t="array" ref="CV35">IFERROR(VLOOKUP($A35,TRANSPOSE('[1]Fur 2 PLC'!$AR$1:$BV$38),15,0),0)</f>
        <v>343.05323066622032</v>
      </c>
      <c r="CW35" s="54" cm="1">
        <f t="array" ref="CW35">IFERROR(VLOOKUP($A35,TRANSPOSE('[1]Fur 2 PLC'!$CI$1:$DM$38),8,0),0)</f>
        <v>0</v>
      </c>
      <c r="CX35" s="54" cm="1">
        <f t="array" ref="CX35">IFERROR(VLOOKUP($A35,TRANSPOSE('[1]Fur 2 PLC'!$CI$1:$DM$38),30,0),0)</f>
        <v>0</v>
      </c>
      <c r="CY35" s="54" cm="1">
        <f t="array" ref="CY35">IFERROR(VLOOKUP($A35,TRANSPOSE('[1]Fur 2 PLC'!$CI$1:$DM$38),14,0),0)</f>
        <v>0</v>
      </c>
      <c r="CZ35" s="54" cm="1">
        <f t="array" ref="CZ35">IFERROR(VLOOKUP($A35,TRANSPOSE('[1]Fur 2 PLC'!$CI$1:$DM$38),16,0),0)</f>
        <v>0</v>
      </c>
      <c r="DA35" s="54" cm="1">
        <f t="array" ref="DA35">IFERROR(VLOOKUP($A35,TRANSPOSE('[1]Fur 2 PLC'!$CI$1:$DM$38),9,0),0)</f>
        <v>226.02985074626866</v>
      </c>
      <c r="DB35" s="55" cm="1">
        <f t="array" ref="DB35">IFERROR(VLOOKUP($A35,TRANSPOSE('[1]Fur 2 PLC'!$CI$1:$DM$38),17,0),0)</f>
        <v>180.01492537313433</v>
      </c>
      <c r="DC35" s="55" cm="1">
        <f t="array" ref="DC35">IFERROR(VLOOKUP($A35,TRANSPOSE('[1]Fur 2 PLC'!$CI$1:$DM$38),20,0),0)</f>
        <v>0</v>
      </c>
      <c r="DD35" s="54" cm="1">
        <f t="array" ref="DD35">IFERROR(VLOOKUP($A35,TRANSPOSE('[1]Fur 2 PLC'!$CI$1:$DM$38),28,0),0)</f>
        <v>58.686567164179102</v>
      </c>
      <c r="DE35" s="54" cm="1">
        <f t="array" ref="DE35">IFERROR(VLOOKUP($A35,TRANSPOSE('[1]Fur 2 PLC'!$CI$1:$DM$38),13,0),0)</f>
        <v>0</v>
      </c>
      <c r="DF35" s="54" cm="1">
        <f t="array" ref="DF35">IFERROR(VLOOKUP($A35,TRANSPOSE('[1]Fur 2 PLC'!$CI$1:$DM$38),37,0),0)</f>
        <v>304.04477611940297</v>
      </c>
      <c r="DG35" s="54" cm="1">
        <f t="array" ref="DG35">IFERROR(VLOOKUP($A35,TRANSPOSE('[1]Fur 2 PLC'!$CI$1:$DM$38),6,0),0)</f>
        <v>0</v>
      </c>
      <c r="DH35" s="54" cm="1">
        <f t="array" ref="DH35">IFERROR(VLOOKUP($A35,TRANSPOSE('[1]Fur 2 PLC'!$CI$1:$DM$38),21,0),0)</f>
        <v>0</v>
      </c>
      <c r="DI35" s="54" cm="1">
        <f t="array" ref="DI35">IFERROR(VLOOKUP($A35,TRANSPOSE('[1]Fur 2 PLC'!$CI$1:$DM$38),12,0),0)</f>
        <v>0</v>
      </c>
      <c r="DJ35" s="54" cm="1">
        <f t="array" ref="DJ35">IFERROR(VLOOKUP($A35,TRANSPOSE('[1]Fur 2 PLC'!$CI$1:$DM$38),25,0),0)</f>
        <v>0</v>
      </c>
      <c r="DK35" s="54" cm="1">
        <f t="array" ref="DK35">IFERROR(VLOOKUP($A35,TRANSPOSE('[1]Fur 2 PLC'!$CI$1:$DM$38),26,0),0)</f>
        <v>0</v>
      </c>
      <c r="DL35" s="54" cm="1">
        <f t="array" ref="DL35">IFERROR(VLOOKUP($A35,TRANSPOSE('[1]Fur 2 PLC'!$CI$1:$DM$38),27,0),0)</f>
        <v>236.71641791044775</v>
      </c>
      <c r="DM35" s="54" cm="1">
        <f t="array" ref="DM35">IFERROR(VLOOKUP($A35,TRANSPOSE('[1]Fur 2 PLC'!$CI$1:$DM$38),22,0),0)</f>
        <v>0</v>
      </c>
      <c r="DN35" s="54" cm="1">
        <f t="array" ref="DN35">IFERROR(VLOOKUP($A35,TRANSPOSE('[1]Fur 2 PLC'!$CI$1:$DM$38),19,0),0)</f>
        <v>0</v>
      </c>
      <c r="DO35" s="54" cm="1">
        <f t="array" ref="DO35">IFERROR(VLOOKUP($A35,TRANSPOSE('[1]Fur 2 PLC'!$CI$1:$DM$38),29,0),0)</f>
        <v>0</v>
      </c>
      <c r="DP35" s="54" cm="1">
        <f t="array" ref="DP35">IFERROR(VLOOKUP($A35,TRANSPOSE('[1]Fur 2 PLC'!$CI$1:$DM$38),10,0),0)</f>
        <v>0</v>
      </c>
      <c r="DQ35" s="54" cm="1">
        <f t="array" ref="DQ35">IFERROR(VLOOKUP($A35,TRANSPOSE('[1]Fur 2 PLC'!$CI$1:$DM$38),7,0),0)</f>
        <v>80.701492537313428</v>
      </c>
      <c r="DR35" s="54" cm="1">
        <f t="array" ref="DR35">IFERROR(VLOOKUP($A35,TRANSPOSE('[1]Fur 2 PLC'!$CI$1:$DM$38),35,0),0)</f>
        <v>0</v>
      </c>
      <c r="DS35" s="54" cm="1">
        <f t="array" ref="DS35">IFERROR(VLOOKUP($A35,TRANSPOSE('[1]Fur 2 PLC'!$CI$1:$DM$38),11,0),0)</f>
        <v>329.02985074626866</v>
      </c>
      <c r="DT35" s="54" cm="1">
        <f t="array" ref="DT35">IFERROR(VLOOKUP($A35,TRANSPOSE('[1]Fur 2 PLC'!$CI$1:$DM$38),19,0),0)</f>
        <v>0</v>
      </c>
      <c r="DU35" s="54" cm="1">
        <f t="array" ref="DU35">IFERROR(VLOOKUP($A35,TRANSPOSE('[1]Fur 2 PLC'!$CI$1:$DM$38),18,0),0)</f>
        <v>0</v>
      </c>
      <c r="DV35" s="54" cm="1">
        <f t="array" ref="DV35">IFERROR(VLOOKUP($A35,TRANSPOSE('[1]Fur 2 PLC'!$CI$1:$DM$38),15,0),0)</f>
        <v>152.94029850746267</v>
      </c>
      <c r="DW35" t="str">
        <f t="shared" ref="DW35:DW37" si="40">TEXT(C35,"Mmm-yy")</f>
        <v>Dec-25</v>
      </c>
    </row>
    <row r="36" spans="1:127" x14ac:dyDescent="0.3">
      <c r="A36" s="28" t="str">
        <f t="shared" si="1"/>
        <v>F346000</v>
      </c>
      <c r="B36" s="29" t="s">
        <v>28</v>
      </c>
      <c r="C36" s="30">
        <f>C35</f>
        <v>46000</v>
      </c>
      <c r="D36" s="29" t="str">
        <f>VLOOKUP($B36&amp;$C36,'[1]FC3 Prod'!$A$6:$BP$36,[2]Consolidated!D$1)</f>
        <v>Mr. Ajay Singh</v>
      </c>
      <c r="E36" s="29">
        <f>VLOOKUP($B36&amp;$C36,'[1]FC3 Prod'!$A$6:$BP$36,[2]Consolidated!E$1)</f>
        <v>36.19</v>
      </c>
      <c r="F36" s="31">
        <f>VLOOKUP($B36&amp;$C36,'[1]FC3 Prod'!$A$6:$BP$36,[2]Consolidated!F$1)</f>
        <v>0.31000000000000227</v>
      </c>
      <c r="G36" s="32">
        <f>VLOOKUP($B36&amp;$C36,'[1]FC3 Prod'!$A$6:$BP$36,[2]Consolidated!G$1)</f>
        <v>36.5</v>
      </c>
      <c r="H36" s="32">
        <f>VLOOKUP($B36&amp;$C36,'[1]FC3 Prod'!$A$6:$BP$36,[2]Consolidated!H$1)</f>
        <v>28.192000000000004</v>
      </c>
      <c r="I36" s="32">
        <f>VLOOKUP($B36&amp;$C36,'[1]FC3 Prod'!$A$6:$BP$36,[2]Consolidated!I$1)</f>
        <v>10.89</v>
      </c>
      <c r="J36" s="32">
        <f>VLOOKUP($B36&amp;$C36,'[1]FC3 Prod'!$A$6:$BP$36,[2]Consolidated!J$1)</f>
        <v>38.86</v>
      </c>
      <c r="K36" s="32">
        <f>VLOOKUP($B36&amp;$C36,'[1]FC3 Prod'!$A$6:$BP$36,[2]Consolidated!K$1)</f>
        <v>1.32</v>
      </c>
      <c r="L36" s="32">
        <f>VLOOKUP($B36&amp;$C36,'[1]FC3 Prod'!$A$6:$BP$36,[2]Consolidated!L$1)</f>
        <v>25.52</v>
      </c>
      <c r="M36" s="32">
        <f>VLOOKUP($B36&amp;$C36,'[1]FC3 Prod'!$A$6:$BP$36,[2]Consolidated!M$1)</f>
        <v>5.12</v>
      </c>
      <c r="N36" s="32">
        <f>VLOOKUP($B36&amp;$C36,'[1]FC3 Prod'!$A$6:$BP$36,[2]Consolidated!N$1)</f>
        <v>15.21</v>
      </c>
      <c r="O36" s="32">
        <f>VLOOKUP($B36&amp;$C36,'[1]FC3 Prod'!$A$6:$BP$36,[2]Consolidated!O$1)</f>
        <v>0.79</v>
      </c>
      <c r="P36" s="33">
        <f>VLOOKUP($B36&amp;$C36,'[1]FC3 Prod'!$A$6:$BP$36,[2]Consolidated!P$1)</f>
        <v>8</v>
      </c>
      <c r="Q36" s="29">
        <f>VLOOKUP($B36&amp;$C36,'[1]FC3 Prod'!$A$6:$BP$36,[2]Consolidated!Q$1)</f>
        <v>79.779999999999987</v>
      </c>
      <c r="R36" s="29">
        <f>VLOOKUP($B36&amp;$C36,'[1]FC3 Prod'!$A$6:$BP$36,[2]Consolidated!R$1)</f>
        <v>25.768000000000001</v>
      </c>
      <c r="S36" s="34">
        <f>VLOOKUP($B36&amp;$C36,'[1]FC3 Prod'!$A$6:$BP$36,[2]Consolidated!S$1)</f>
        <v>41</v>
      </c>
      <c r="T36" s="34">
        <f>VLOOKUP($B36&amp;$C36,'[1]FC3 Prod'!$A$6:$BP$36,[2]Consolidated!T$1)</f>
        <v>16</v>
      </c>
      <c r="U36" s="34">
        <f>VLOOKUP($B36&amp;$C36,'[1]FC3 Prod'!$A$6:$BP$36,[2]Consolidated!U$1)</f>
        <v>17</v>
      </c>
      <c r="V36" s="34">
        <f>VLOOKUP($B36&amp;$C36,'[1]FC3 Prod'!$A$6:$BP$36,[2]Consolidated!V$1)</f>
        <v>74</v>
      </c>
      <c r="W36" s="35">
        <f>VLOOKUP($B36&amp;$C36,'[1]FC3 Prod'!$A$6:$BP$36,[2]Consolidated!W$1)</f>
        <v>2.2044763746891403</v>
      </c>
      <c r="X36" s="35">
        <f>VLOOKUP($B36&amp;$C36,'[1]FC3 Prod'!$A$6:$BP$36,[2]Consolidated!X$1)</f>
        <v>37.6</v>
      </c>
      <c r="Y36" s="36">
        <f>VLOOKUP($B36&amp;$C36,'[1]FC3 Prod'!$A$6:$BP$36,[2]Consolidated!Y$1)</f>
        <v>0.96249999999999991</v>
      </c>
      <c r="Z36" s="37" t="str">
        <f>VLOOKUP($B36&amp;$C36,'[1]FC3 Prod'!$A$6:$BP$36,[2]Consolidated!Z$1)</f>
        <v>60/15</v>
      </c>
      <c r="AA36" s="31">
        <f>VLOOKUP($B36&amp;$C36,'[1]FC3 Prod'!$A$6:$BP$36,[2]Consolidated!AA$1)</f>
        <v>59.764999999999993</v>
      </c>
      <c r="AB36" s="31">
        <f>VLOOKUP($B36&amp;$C36,'[1]FC3 Prod'!$A$6:$BP$36,[2]Consolidated!AB$1)</f>
        <v>14.366249999999999</v>
      </c>
      <c r="AC36" s="31" t="e">
        <f>VLOOKUP($B36&amp;$C36,'[1]FC3 Prod'!$A$6:$BP$36,[2]Consolidated!AC$1)</f>
        <v>#REF!</v>
      </c>
      <c r="AD36" s="38">
        <f>VLOOKUP($B36&amp;$C36,'[1]FC3 Prod'!$A$6:$BP$36,[2]Consolidated!AD$1)</f>
        <v>706.58589546836151</v>
      </c>
      <c r="AE36" s="38">
        <f>VLOOKUP($B36&amp;$C36,'[1]FC3 Prod'!$A$6:$BP$36,[2]Consolidated!AE$1)</f>
        <v>717.43100479690543</v>
      </c>
      <c r="AF36" s="39">
        <f>VLOOKUP($B36&amp;$C36,'[1]FC3 Prod'!$A$6:$BP$36,[2]Consolidated!AF$1)</f>
        <v>0.84582780923449752</v>
      </c>
      <c r="AG36" s="39">
        <f>VLOOKUP($B36&amp;$C36,'[1]FC3 Prod'!$A$6:$BP$36,[2]Consolidated!AG$1)</f>
        <v>0.8330417782392695</v>
      </c>
      <c r="AH36" s="34">
        <f>VLOOKUP($B36&amp;$C36,'[1]FC3 Prod'!$A$6:$BP$36,[2]Consolidated!AH$1)</f>
        <v>494.29538546559826</v>
      </c>
      <c r="AI36" s="33">
        <f>VLOOKUP($B36&amp;$C36,'[1]FC3 Prod'!$A$6:$BP$36,[2]Consolidated!AI$1)</f>
        <v>422.03147278253664</v>
      </c>
      <c r="AJ36" s="39">
        <f>VLOOKUP($B36&amp;$C36,'[1]FC3 Prod'!$A$6:$BP$36,[2]Consolidated!AJ$1)</f>
        <v>0.30757919261385708</v>
      </c>
      <c r="AK36" s="39">
        <f>VLOOKUP($B36&amp;$C36,'[1]FC3 Prod'!$A$6:$BP$36,[2]Consolidated!AK$1)</f>
        <v>0.41178969836741403</v>
      </c>
      <c r="AL36" s="40" t="str">
        <f>VLOOKUP($B36&amp;$C36,'[1]FC3 Prod'!$A$6:$BP$36,[2]Consolidated!AL$1)</f>
        <v>25/50</v>
      </c>
      <c r="AM36" s="41">
        <f>VLOOKUP($B36&amp;$C36,'[1]FC3 Prod'!$A$6:$BP$36,[2]Consolidated!AM$1)</f>
        <v>3.5921525283227417E-2</v>
      </c>
      <c r="AN36" s="42">
        <f>VLOOKUP($B36&amp;$C36,'[1]FC3 Prod'!$A$6:$BP$36,[2]Consolidated!AN$1)</f>
        <v>141.19999999999999</v>
      </c>
      <c r="AO36" s="43">
        <f>VLOOKUP($B36&amp;$C36,'[1]FC3 Prod'!$A$6:$BP$36,[2]Consolidated!AO$1)</f>
        <v>6.2910000000000004</v>
      </c>
      <c r="AP36" s="44">
        <f>VLOOKUP($B36&amp;$C36,'[1]FC3 Prod'!$A$6:$BP$36,[2]Consolidated!AP$1)</f>
        <v>4.0754628350373032</v>
      </c>
      <c r="AQ36" s="44">
        <f>VLOOKUP($B36&amp;$C36,'[1]FC3 Prod'!$A$6:$BP$36,[2]Consolidated!AQ$1)</f>
        <v>29.284714711933233</v>
      </c>
      <c r="AR36" s="45">
        <f>VLOOKUP($B36&amp;$C36,'[1]FC3 Prod'!$A$6:$BP$36,[2]Consolidated!AR$1)</f>
        <v>0.96448087431693996</v>
      </c>
      <c r="AS36" s="46">
        <f>VLOOKUP($B36&amp;$C36,'[1]FC3 Prod'!$A$6:$BP$36,[2]Consolidated!AS$1)</f>
        <v>2.19</v>
      </c>
      <c r="AT36" s="29">
        <f>VLOOKUP($B36&amp;$C36,'[1]FC3 Prod'!$A$6:$BP$36,[2]Consolidated!AT$1)</f>
        <v>0.79271608811090399</v>
      </c>
      <c r="AU36" s="34">
        <f>VLOOKUP($B36&amp;$C36,'[1]FC3 Prod'!$A$6:$BP$36,[2]Consolidated!AU$1)</f>
        <v>569.82269503546104</v>
      </c>
      <c r="AV36" s="34">
        <f>VLOOKUP($B36&amp;$C36,'[1]FC3 Prod'!$A$6:$BP$36,[2]Consolidated!AV$1)</f>
        <v>266.66666666666669</v>
      </c>
      <c r="AW36" s="47">
        <f>VLOOKUP($B36&amp;$C36,'[1]FC3 Prod'!$A$6:$BP$36,[2]Consolidated!AW$1)</f>
        <v>27354.343741365017</v>
      </c>
      <c r="AX36" s="47">
        <f>VLOOKUP($B36&amp;$C36,'[1]FC3 Prod'!$A$6:$BP$36,[2]Consolidated!AX$1)</f>
        <v>11156.581928709589</v>
      </c>
      <c r="AY36" s="48">
        <f>VLOOKUP($B36&amp;$C36,'[1]FC3 Prod'!$A$6:$BP$36,[2]Consolidated!AY$1)</f>
        <v>1693.5617573915447</v>
      </c>
      <c r="AZ36" s="47">
        <f>VLOOKUP($B36&amp;$C36,'[1]FC3 Prod'!$A$6:$BP$36,[2]Consolidated!AZ$1)</f>
        <v>1841.5957446808513</v>
      </c>
      <c r="BA36" s="47">
        <f>VLOOKUP($B36&amp;$C36,'[1]FC3 Prod'!$A$6:$BP$36,[2]Consolidated!BA$1)</f>
        <v>23841.457584968222</v>
      </c>
      <c r="BB36" s="47">
        <f>VLOOKUP($B36&amp;$C36,'[1]FC3 Prod'!$A$6:$BP$36,[2]Consolidated!BB$1)</f>
        <v>658.87540757115232</v>
      </c>
      <c r="BC36" s="47">
        <f>VLOOKUP($B36&amp;$C36,'[1]FC3 Prod'!$A$6:$BP$36,[2]Consolidated!BC$1)</f>
        <v>7743.3793865708758</v>
      </c>
      <c r="BD36" s="49">
        <f>VLOOKUP($B36&amp;$C36,'[1]FC3 Prod'!$A$6:$BP$36,[2]Consolidated!BD$1)</f>
        <v>74289.795551257252</v>
      </c>
      <c r="BE36" s="47">
        <f>VLOOKUP($B36&amp;$C36,'[1]FC3 Prod'!$A$6:$BP$36,[2]Consolidated!BE$1)</f>
        <v>27877.171594363084</v>
      </c>
      <c r="BF36" s="47">
        <f>VLOOKUP($B36&amp;$C36,'[1]FC3 Prod'!$A$6:$BP$36,[2]Consolidated!BF$1)</f>
        <v>9751.8379662890311</v>
      </c>
      <c r="BG36" s="50">
        <f>VLOOKUP($B36&amp;$C36,'[1]FC3 Prod'!$A$6:$BP$36,[2]Consolidated!BG$1)</f>
        <v>1141.0859353412545</v>
      </c>
      <c r="BH36" s="50">
        <f>VLOOKUP($B36&amp;$C36,'[1]FC3 Prod'!$A$6:$BP$36,[2]Consolidated!BH$1)</f>
        <v>644.53148825642438</v>
      </c>
      <c r="BI36" s="50">
        <f>VLOOKUP($B36&amp;$C36,'[1]FC3 Prod'!$A$6:$BP$36,[2]Consolidated!BI$1)</f>
        <v>72841.059700469748</v>
      </c>
      <c r="BJ36" s="37" t="e">
        <f>VLOOKUP($B36&amp;$C36,'[1]FC3 Prod'!$A$6:$BP$36,[2]Consolidated!BJ$1)</f>
        <v>#REF!</v>
      </c>
      <c r="BK36" s="37" t="e">
        <f>VLOOKUP($B36&amp;$C36,'[1]FC3 Prod'!$A$6:$BP$36,[2]Consolidated!BK$1)</f>
        <v>#REF!</v>
      </c>
      <c r="BL36" s="37" t="e">
        <f>VLOOKUP($B36&amp;$C36,'[1]FC3 Prod'!$A$6:$BP$36,[2]Consolidated!BL$1)</f>
        <v>#REF!</v>
      </c>
      <c r="BM36" s="37" t="e">
        <f>VLOOKUP($B36&amp;$C36,'[1]FC3 Prod'!$A$6:$BP$36,[2]Consolidated!BM$1)</f>
        <v>#REF!</v>
      </c>
      <c r="BN36" s="37" t="e">
        <f>VLOOKUP($B36&amp;$C36,'[1]FC3 Prod'!$A$6:$BP$36,[2]Consolidated!BN$1)</f>
        <v>#REF!</v>
      </c>
      <c r="BO36" s="37" t="e">
        <f>VLOOKUP($B36&amp;$C36,'[1]FC3 Prod'!$A$6:$BP$36,[2]Consolidated!BO$1)</f>
        <v>#REF!</v>
      </c>
      <c r="BP36" s="37" t="str">
        <f>VLOOKUP($B36&amp;$C36,'[1]FC3 Prod'!$A$6:$BP$36,[2]Consolidated!BP$1)</f>
        <v>NIL</v>
      </c>
      <c r="BQ36" s="51" t="e">
        <f>VLOOKUP($B36&amp;$C36,'[1]FC3 Prod'!$A$6:$BP$36,[2]Consolidated!BQ$1)</f>
        <v>#REF!</v>
      </c>
      <c r="BR36" s="51">
        <f>VLOOKUP($B36&amp;$C36,'[1]FC3 Prod'!$A$6:$BQ$36,[2]Consolidated!BR$1)</f>
        <v>60369</v>
      </c>
      <c r="BS36" s="52">
        <f t="shared" si="39"/>
        <v>62611.553080961588</v>
      </c>
      <c r="BT36" s="32">
        <f t="shared" ref="BT36:BT37" si="41">BR36-BS36</f>
        <v>-2242.5530809615884</v>
      </c>
      <c r="BU36" s="37">
        <f t="shared" ref="BU36:BU37" si="42">E36*BT36</f>
        <v>-81157.995999999883</v>
      </c>
      <c r="BV36" s="53" t="s">
        <v>131</v>
      </c>
      <c r="BW36" s="54" cm="1">
        <f t="array" ref="BW36">IFERROR(VLOOKUP($A36,TRANSPOSE('[1]Fur 3 PLC'!$AS$1:$BX$38),8,0),0)</f>
        <v>930.89251174357571</v>
      </c>
      <c r="BX36" s="54" cm="1">
        <f t="array" ref="BX36">IFERROR(VLOOKUP($A36,TRANSPOSE('[1]Fur 3 PLC'!$AS$1:$BX$38),30,0),0)</f>
        <v>0</v>
      </c>
      <c r="BY36" s="54" cm="1">
        <f t="array" ref="BY36">IFERROR(VLOOKUP($A36,TRANSPOSE('[1]Fur 3 PLC'!$AS$1:$BX$38),14,0),0)</f>
        <v>0</v>
      </c>
      <c r="BZ36" s="54" cm="1">
        <f t="array" ref="BZ36">IFERROR(VLOOKUP($A36,TRANSPOSE('[1]Fur 3 PLC'!$AS$1:$BX$38),16,0),0)</f>
        <v>0</v>
      </c>
      <c r="CA36" s="54" cm="1">
        <f t="array" ref="CA36">IFERROR(VLOOKUP($A36,TRANSPOSE('[1]Fur 3 PLC'!$AS$1:$BX$38),9,0),0)</f>
        <v>429.78723404255322</v>
      </c>
      <c r="CB36" s="54" cm="1">
        <f t="array" ref="CB36">IFERROR(VLOOKUP($A36,TRANSPOSE('[1]Fur 3 PLC'!$AS$1:$BX$38),17,0),0)</f>
        <v>0</v>
      </c>
      <c r="CC36" s="54" cm="1">
        <f t="array" ref="CC36">IFERROR(VLOOKUP($A36,TRANSPOSE('[1]Fur 3 PLC'!$AS$1:$BX$38),20,0),0)</f>
        <v>51.119093672285167</v>
      </c>
      <c r="CD36" s="54" cm="1">
        <f t="array" ref="CD36">IFERROR(VLOOKUP($A36,TRANSPOSE('[1]Fur 3 PLC'!$AS$1:$BX$38),28,0),0)</f>
        <v>0</v>
      </c>
      <c r="CE36" s="54" cm="1">
        <f t="array" ref="CE36">IFERROR(VLOOKUP($A36,TRANSPOSE('[1]Fur 3 PLC'!$AS$1:$BX$38),13,0),0)</f>
        <v>0</v>
      </c>
      <c r="CF36" s="54" cm="1">
        <f t="array" ref="CF36">IFERROR(VLOOKUP($A36,TRANSPOSE('[1]Fur 3 PLC'!$AS$1:$BX$38),37,0),0)</f>
        <v>417.49101961867922</v>
      </c>
      <c r="CG36" s="54" cm="1">
        <f t="array" ref="CG36">IFERROR(VLOOKUP($A36,TRANSPOSE('[1]Fur 3 PLC'!$AS$1:$BX$38),6,0),0)</f>
        <v>0</v>
      </c>
      <c r="CH36" s="54" cm="1">
        <f t="array" ref="CH36">IFERROR(VLOOKUP($A36,TRANSPOSE('[1]Fur 3 PLC'!$AS$1:$BX$38),21,0),0)</f>
        <v>0</v>
      </c>
      <c r="CI36" s="54" cm="1">
        <f t="array" ref="CI36">IFERROR(VLOOKUP($A36,TRANSPOSE('[1]Fur 3 PLC'!$AS$1:$BX$38),12,0),0)</f>
        <v>0</v>
      </c>
      <c r="CJ36" s="54" cm="1">
        <f t="array" ref="CJ36">IFERROR(VLOOKUP($A36,TRANSPOSE('[1]Fur 3 PLC'!$AS$1:$BX$38),25,0),0)</f>
        <v>0</v>
      </c>
      <c r="CK36" s="54" cm="1">
        <f t="array" ref="CK36">IFERROR(VLOOKUP($A36,TRANSPOSE('[1]Fur 3 PLC'!$AS$1:$BX$38),26,0),0)</f>
        <v>420.11605415860743</v>
      </c>
      <c r="CL36" s="54" cm="1">
        <f t="array" ref="CL36">IFERROR(VLOOKUP($A36,TRANSPOSE('[1]Fur 3 PLC'!$AS$1:$BX$38),27,0),0)</f>
        <v>158.93893340701851</v>
      </c>
      <c r="CM36" s="54" cm="1">
        <f t="array" ref="CM36">IFERROR(VLOOKUP($A36,TRANSPOSE('[1]Fur 3 PLC'!$AS$1:$BX$38),22,0),0)</f>
        <v>0</v>
      </c>
      <c r="CN36" s="54"/>
      <c r="CO36" s="54" cm="1">
        <f t="array" ref="CO36">IFERROR(VLOOKUP($A36,TRANSPOSE('[1]Fur 3 PLC'!$AS$1:$BX$38),29,0),0)</f>
        <v>132.96490743299256</v>
      </c>
      <c r="CP36" s="54" cm="1">
        <f t="array" ref="CP36">IFERROR(VLOOKUP($A36,TRANSPOSE('[1]Fur 3 PLC'!$AS$1:$BX$38),10,0),0)</f>
        <v>0</v>
      </c>
      <c r="CQ36" s="54" cm="1">
        <f t="array" ref="CQ36">IFERROR(VLOOKUP($A36,TRANSPOSE('[1]Fur 3 PLC'!$AS$1:$BX$38),7,0),0)</f>
        <v>245.3716496269688</v>
      </c>
      <c r="CR36" s="54" cm="1">
        <f t="array" ref="CR36">IFERROR(VLOOKUP($A36,TRANSPOSE('[1]Fur 3 PLC'!$AS$1:$BX$38),35,0),0)</f>
        <v>5.7750759878419453</v>
      </c>
      <c r="CS36" s="54" cm="1">
        <f t="array" ref="CS36">IFERROR(VLOOKUP($A36,TRANSPOSE('[1]Fur 3 PLC'!$AS$1:$BX$38),11,0),0)</f>
        <v>0</v>
      </c>
      <c r="CT36" s="54" cm="1">
        <f t="array" ref="CT36">IFERROR(VLOOKUP($A36,TRANSPOSE('[1]Fur 3 PLC'!$AS$1:$BX$38),19,0),0)</f>
        <v>0</v>
      </c>
      <c r="CU36" s="54" cm="1">
        <f t="array" ref="CU36">IFERROR(VLOOKUP($A36,TRANSPOSE('[1]Fur 3 PLC'!$AS$1:$BX$38),18,0),0)</f>
        <v>400.13815971262784</v>
      </c>
      <c r="CV36" s="54" cm="1">
        <f t="array" ref="CV36">IFERROR(VLOOKUP($A36,TRANSPOSE('[1]Fur 3 PLC'!$AR$1:$BV$38),15,0),0)</f>
        <v>392.53937551809889</v>
      </c>
      <c r="CW36" s="54" cm="1">
        <f t="array" ref="CW36">IFERROR(VLOOKUP($A36,TRANSPOSE('[1]Fur 3 PLC'!$CK$1:$DO$38),8,0),0)</f>
        <v>455.25675675675677</v>
      </c>
      <c r="CX36" s="54" cm="1">
        <f t="array" ref="CX36">IFERROR(VLOOKUP($A36,TRANSPOSE('[1]Fur 3 PLC'!$CK$1:$DO$38),30,0),0)</f>
        <v>0</v>
      </c>
      <c r="CY36" s="54" cm="1">
        <f t="array" ref="CY36">IFERROR(VLOOKUP($A36,TRANSPOSE('[1]Fur 3 PLC'!$CK$1:$DO$38),14,0),0)</f>
        <v>0</v>
      </c>
      <c r="CZ36" s="54" cm="1">
        <f t="array" ref="CZ36">IFERROR(VLOOKUP($A36,TRANSPOSE('[1]Fur 3 PLC'!$CK$1:$DO$38),16,0),0)</f>
        <v>0</v>
      </c>
      <c r="DA36" s="54" cm="1">
        <f t="array" ref="DA36">IFERROR(VLOOKUP($A36,TRANSPOSE('[1]Fur 3 PLC'!$CK$1:$DO$38),9,0),0)</f>
        <v>210.18918918918919</v>
      </c>
      <c r="DB36" s="55" cm="1">
        <f t="array" ref="DB36">IFERROR(VLOOKUP($A36,TRANSPOSE('[1]Fur 3 PLC'!$CK$1:$DO$38),17,0),0)</f>
        <v>0</v>
      </c>
      <c r="DC36" s="55" cm="1">
        <f t="array" ref="DC36">IFERROR(VLOOKUP($A36,TRANSPOSE('[1]Fur 3 PLC'!$CK$1:$DO$38),20,0),0)</f>
        <v>25</v>
      </c>
      <c r="DD36" s="54" cm="1">
        <f t="array" ref="DD36">IFERROR(VLOOKUP($A36,TRANSPOSE('[1]Fur 3 PLC'!$CK$1:$DO$38),28,0),0)</f>
        <v>0</v>
      </c>
      <c r="DE36" s="54" cm="1">
        <f t="array" ref="DE36">IFERROR(VLOOKUP($A36,TRANSPOSE('[1]Fur 3 PLC'!$CK$1:$DO$38),13,0),0)</f>
        <v>0</v>
      </c>
      <c r="DF36" s="54" cm="1">
        <f t="array" ref="DF36">IFERROR(VLOOKUP($A36,TRANSPOSE('[1]Fur 3 PLC'!$CK$1:$DO$38),37,0),0)</f>
        <v>204.17567567567568</v>
      </c>
      <c r="DG36" s="54" cm="1">
        <f t="array" ref="DG36">IFERROR(VLOOKUP($A36,TRANSPOSE('[1]Fur 3 PLC'!$CK$1:$DO$38),6,0),0)</f>
        <v>0</v>
      </c>
      <c r="DH36" s="54" cm="1">
        <f t="array" ref="DH36">IFERROR(VLOOKUP($A36,TRANSPOSE('[1]Fur 3 PLC'!$CK$1:$DO$38),21,0),0)</f>
        <v>0</v>
      </c>
      <c r="DI36" s="54" cm="1">
        <f t="array" ref="DI36">IFERROR(VLOOKUP($A36,TRANSPOSE('[1]Fur 3 PLC'!$CK$1:$DO$38),12,0),0)</f>
        <v>0</v>
      </c>
      <c r="DJ36" s="54" cm="1">
        <f t="array" ref="DJ36">IFERROR(VLOOKUP($A36,TRANSPOSE('[1]Fur 3 PLC'!$CK$1:$DO$38),25,0),0)</f>
        <v>0</v>
      </c>
      <c r="DK36" s="54" cm="1">
        <f t="array" ref="DK36">IFERROR(VLOOKUP($A36,TRANSPOSE('[1]Fur 3 PLC'!$CK$1:$DO$38),26,0),0)</f>
        <v>205.45945945945948</v>
      </c>
      <c r="DL36" s="54" cm="1">
        <f t="array" ref="DL36">IFERROR(VLOOKUP($A36,TRANSPOSE('[1]Fur 3 PLC'!$CK$1:$DO$38),27,0),0)</f>
        <v>77.729729729729726</v>
      </c>
      <c r="DM36" s="54" cm="1">
        <f t="array" ref="DM36">IFERROR(VLOOKUP($A36,TRANSPOSE('[1]Fur 3 PLC'!$CK$1:$DO$38),22,0),0)</f>
        <v>0</v>
      </c>
      <c r="DN36" s="54" cm="1">
        <f t="array" ref="DN36">IFERROR(VLOOKUP($A36,TRANSPOSE('[1]Fur 3 PLC'!$CK$1:$DO$38),19,0),0)</f>
        <v>0</v>
      </c>
      <c r="DO36" s="54" cm="1">
        <f t="array" ref="DO36">IFERROR(VLOOKUP($A36,TRANSPOSE('[1]Fur 3 PLC'!$CK$1:$DO$38),29,0),0)</f>
        <v>65.027027027027032</v>
      </c>
      <c r="DP36" s="54" cm="1">
        <f t="array" ref="DP36">IFERROR(VLOOKUP($A36,TRANSPOSE('[1]Fur 3 PLC'!$CK$1:$DO$38),10,0),0)</f>
        <v>0</v>
      </c>
      <c r="DQ36" s="54" cm="1">
        <f t="array" ref="DQ36">IFERROR(VLOOKUP($A36,TRANSPOSE('[1]Fur 3 PLC'!$CK$1:$DO$38),7,0),0)</f>
        <v>120.00000000000001</v>
      </c>
      <c r="DR36" s="54" cm="1">
        <f t="array" ref="DR36">IFERROR(VLOOKUP($A36,TRANSPOSE('[1]Fur 3 PLC'!$CK$1:$DO$38),35,0),0)</f>
        <v>2.8243243243243246</v>
      </c>
      <c r="DS36" s="54" cm="1">
        <f t="array" ref="DS36">IFERROR(VLOOKUP($A36,TRANSPOSE('[1]Fur 3 PLC'!$CK$1:$DO$38),11,0),0)</f>
        <v>0</v>
      </c>
      <c r="DT36" s="54" cm="1">
        <f t="array" ref="DT36">IFERROR(VLOOKUP($A36,TRANSPOSE('[1]Fur 3 PLC'!$CK$1:$DO$38),19,0),0)</f>
        <v>0</v>
      </c>
      <c r="DU36" s="54" cm="1">
        <f t="array" ref="DU36">IFERROR(VLOOKUP($A36,TRANSPOSE('[1]Fur 3 PLC'!$CK$1:$DO$38),18,0),0)</f>
        <v>195.68918918918916</v>
      </c>
      <c r="DV36" s="54" cm="1">
        <f t="array" ref="DV36">IFERROR(VLOOKUP($A36,TRANSPOSE('[1]Fur 3 PLC'!$CK$1:$DO$38),15,0),0)</f>
        <v>191.97297297297297</v>
      </c>
      <c r="DW36" t="str">
        <f t="shared" si="40"/>
        <v>Dec-25</v>
      </c>
    </row>
    <row r="37" spans="1:127" x14ac:dyDescent="0.3">
      <c r="A37" s="28" t="str">
        <f t="shared" si="1"/>
        <v>F446000</v>
      </c>
      <c r="B37" s="29" t="s">
        <v>29</v>
      </c>
      <c r="C37" s="30">
        <f>C36</f>
        <v>46000</v>
      </c>
      <c r="D37" s="29" t="str">
        <f>VLOOKUP($B37&amp;$C37,'[1]FC4 Prod'!$A$6:$BP$36,[2]Consolidated!D$1)</f>
        <v>Mr.Ganesh Ghosh Ji</v>
      </c>
      <c r="E37" s="29">
        <f>VLOOKUP($B37&amp;$C37,'[1]FC4 Prod'!$A$6:$BP$36,[2]Consolidated!E$1)</f>
        <v>50.24</v>
      </c>
      <c r="F37" s="31">
        <f>VLOOKUP($B37&amp;$C37,'[1]FC4 Prod'!$A$6:$BP$36,[2]Consolidated!F$1)</f>
        <v>0.36999999999999744</v>
      </c>
      <c r="G37" s="32">
        <f>VLOOKUP($B37&amp;$C37,'[1]FC4 Prod'!$A$6:$BP$36,[2]Consolidated!G$1)</f>
        <v>50.61</v>
      </c>
      <c r="H37" s="32">
        <f>VLOOKUP($B37&amp;$C37,'[1]FC4 Prod'!$A$6:$BP$36,[2]Consolidated!H$1)</f>
        <v>20.335000000000001</v>
      </c>
      <c r="I37" s="32">
        <f>VLOOKUP($B37&amp;$C37,'[1]FC4 Prod'!$A$6:$BP$36,[2]Consolidated!I$1)</f>
        <v>10.199999999999999</v>
      </c>
      <c r="J37" s="32">
        <f>VLOOKUP($B37&amp;$C37,'[1]FC4 Prod'!$A$6:$BP$36,[2]Consolidated!J$1)</f>
        <v>40.32</v>
      </c>
      <c r="K37" s="32">
        <f>VLOOKUP($B37&amp;$C37,'[1]FC4 Prod'!$A$6:$BP$36,[2]Consolidated!K$1)</f>
        <v>1.38</v>
      </c>
      <c r="L37" s="32">
        <f>VLOOKUP($B37&amp;$C37,'[1]FC4 Prod'!$A$6:$BP$36,[2]Consolidated!L$1)</f>
        <v>22.58</v>
      </c>
      <c r="M37" s="32">
        <f>VLOOKUP($B37&amp;$C37,'[1]FC4 Prod'!$A$6:$BP$36,[2]Consolidated!M$1)</f>
        <v>4.45</v>
      </c>
      <c r="N37" s="32">
        <f>VLOOKUP($B37&amp;$C37,'[1]FC4 Prod'!$A$6:$BP$36,[2]Consolidated!N$1)</f>
        <v>17.52</v>
      </c>
      <c r="O37" s="32">
        <f>VLOOKUP($B37&amp;$C37,'[1]FC4 Prod'!$A$6:$BP$36,[2]Consolidated!O$1)</f>
        <v>0.67</v>
      </c>
      <c r="P37" s="33">
        <f>VLOOKUP($B37&amp;$C37,'[1]FC4 Prod'!$A$6:$BP$36,[2]Consolidated!P$1)</f>
        <v>8</v>
      </c>
      <c r="Q37" s="29">
        <f>VLOOKUP($B37&amp;$C37,'[1]FC4 Prod'!$A$6:$BP$36,[2]Consolidated!Q$1)</f>
        <v>93.566999999999993</v>
      </c>
      <c r="R37" s="29">
        <f>VLOOKUP($B37&amp;$C37,'[1]FC4 Prod'!$A$6:$BP$36,[2]Consolidated!R$1)</f>
        <v>30.692999999999998</v>
      </c>
      <c r="S37" s="34">
        <f>VLOOKUP($B37&amp;$C37,'[1]FC4 Prod'!$A$6:$BP$36,[2]Consolidated!S$1)</f>
        <v>43</v>
      </c>
      <c r="T37" s="34">
        <f>VLOOKUP($B37&amp;$C37,'[1]FC4 Prod'!$A$6:$BP$36,[2]Consolidated!T$1)</f>
        <v>26</v>
      </c>
      <c r="U37" s="34">
        <f>VLOOKUP($B37&amp;$C37,'[1]FC4 Prod'!$A$6:$BP$36,[2]Consolidated!U$1)</f>
        <v>25</v>
      </c>
      <c r="V37" s="34">
        <f>VLOOKUP($B37&amp;$C37,'[1]FC4 Prod'!$A$6:$BP$36,[2]Consolidated!V$1)</f>
        <v>94</v>
      </c>
      <c r="W37" s="35">
        <f>VLOOKUP($B37&amp;$C37,'[1]FC4 Prod'!$A$6:$BP$36,[2]Consolidated!W$1)</f>
        <v>1.8624004777070062</v>
      </c>
      <c r="X37" s="35">
        <f>VLOOKUP($B37&amp;$C37,'[1]FC4 Prod'!$A$6:$BP$36,[2]Consolidated!X$1)</f>
        <v>52.180000000000007</v>
      </c>
      <c r="Y37" s="36">
        <f>VLOOKUP($B37&amp;$C37,'[1]FC4 Prod'!$A$6:$BP$36,[2]Consolidated!Y$1)</f>
        <v>0.96282100421617467</v>
      </c>
      <c r="Z37" s="37" t="str">
        <f>VLOOKUP($B37&amp;$C37,'[1]FC4 Prod'!$A$6:$BP$36,[2]Consolidated!Z$1)</f>
        <v>40/8</v>
      </c>
      <c r="AA37" s="31">
        <f>VLOOKUP($B37&amp;$C37,'[1]FC4 Prod'!$A$6:$BP$36,[2]Consolidated!AA$1)</f>
        <v>37.887999999999998</v>
      </c>
      <c r="AB37" s="31">
        <f>VLOOKUP($B37&amp;$C37,'[1]FC4 Prod'!$A$6:$BP$36,[2]Consolidated!AB$1)</f>
        <v>6.4460000000000006</v>
      </c>
      <c r="AC37" s="31">
        <f>VLOOKUP($B37&amp;$C37,'[1]FC4 Prod'!$A$6:$BP$36,[2]Consolidated!AC$1)</f>
        <v>0</v>
      </c>
      <c r="AD37" s="38">
        <f>VLOOKUP($B37&amp;$C37,'[1]FC4 Prod'!$A$6:$BP$36,[2]Consolidated!AD$1)</f>
        <v>409.5244580214968</v>
      </c>
      <c r="AE37" s="38">
        <f>VLOOKUP($B37&amp;$C37,'[1]FC4 Prod'!$A$6:$BP$36,[2]Consolidated!AE$1)</f>
        <v>411.81946736066868</v>
      </c>
      <c r="AF37" s="39">
        <f>VLOOKUP($B37&amp;$C37,'[1]FC4 Prod'!$A$6:$BP$36,[2]Consolidated!AF$1)</f>
        <v>0.92517062797775995</v>
      </c>
      <c r="AG37" s="39">
        <f>VLOOKUP($B37&amp;$C37,'[1]FC4 Prod'!$A$6:$BP$36,[2]Consolidated!AG$1)</f>
        <v>0.92001478810174719</v>
      </c>
      <c r="AH37" s="34">
        <f>VLOOKUP($B37&amp;$C37,'[1]FC4 Prod'!$A$6:$BP$36,[2]Consolidated!AH$1)</f>
        <v>356.86808041401275</v>
      </c>
      <c r="AI37" s="33">
        <f>VLOOKUP($B37&amp;$C37,'[1]FC4 Prod'!$A$6:$BP$36,[2]Consolidated!AI$1)</f>
        <v>336.94219132165608</v>
      </c>
      <c r="AJ37" s="39">
        <f>VLOOKUP($B37&amp;$C37,'[1]FC4 Prod'!$A$6:$BP$36,[2]Consolidated!AJ$1)</f>
        <v>0.56637946970229036</v>
      </c>
      <c r="AK37" s="39">
        <f>VLOOKUP($B37&amp;$C37,'[1]FC4 Prod'!$A$6:$BP$36,[2]Consolidated!AK$1)</f>
        <v>0.61789164192099943</v>
      </c>
      <c r="AL37" s="40" t="str">
        <f>VLOOKUP($B37&amp;$C37,'[1]FC4 Prod'!$A$6:$BP$36,[2]Consolidated!AL$1)</f>
        <v>25/50</v>
      </c>
      <c r="AM37" s="41">
        <f>VLOOKUP($B37&amp;$C37,'[1]FC4 Prod'!$A$6:$BP$36,[2]Consolidated!AM$1)</f>
        <v>4.8168789808917194E-2</v>
      </c>
      <c r="AN37" s="42">
        <f>VLOOKUP($B37&amp;$C37,'[1]FC4 Prod'!$A$6:$BP$36,[2]Consolidated!AN$1)</f>
        <v>144.19999999999999</v>
      </c>
      <c r="AO37" s="43">
        <f>VLOOKUP($B37&amp;$C37,'[1]FC4 Prod'!$A$6:$BP$36,[2]Consolidated!AO$1)</f>
        <v>6.2910000000000004</v>
      </c>
      <c r="AP37" s="44">
        <f>VLOOKUP($B37&amp;$C37,'[1]FC4 Prod'!$A$6:$BP$36,[2]Consolidated!AP$1)</f>
        <v>2.9954418789808912</v>
      </c>
      <c r="AQ37" s="44">
        <f>VLOOKUP($B37&amp;$C37,'[1]FC4 Prod'!$A$6:$BP$36,[2]Consolidated!AQ$1)</f>
        <v>21.04911849287334</v>
      </c>
      <c r="AR37" s="45">
        <f>VLOOKUP($B37&amp;$C37,'[1]FC4 Prod'!$A$6:$BP$36,[2]Consolidated!AR$1)</f>
        <v>0.98497267759562845</v>
      </c>
      <c r="AS37" s="46">
        <f>VLOOKUP($B37&amp;$C37,'[1]FC4 Prod'!$A$6:$BP$36,[2]Consolidated!AS$1)</f>
        <v>1.9799999999999998</v>
      </c>
      <c r="AT37" s="29">
        <f>VLOOKUP($B37&amp;$C37,'[1]FC4 Prod'!$A$6:$BP$36,[2]Consolidated!AT$1)</f>
        <v>0.78772998494013213</v>
      </c>
      <c r="AU37" s="34">
        <f>VLOOKUP($B37&amp;$C37,'[1]FC4 Prod'!$A$6:$BP$36,[2]Consolidated!AU$1)</f>
        <v>613.92789598108754</v>
      </c>
      <c r="AV37" s="34">
        <f>VLOOKUP($B37&amp;$C37,'[1]FC4 Prod'!$A$6:$BP$36,[2]Consolidated!AV$1)</f>
        <v>150</v>
      </c>
      <c r="AW37" s="47">
        <f>VLOOKUP($B37&amp;$C37,'[1]FC4 Prod'!$A$6:$BP$36,[2]Consolidated!AW$1)</f>
        <v>15253.482484076432</v>
      </c>
      <c r="AX37" s="47">
        <f>VLOOKUP($B37&amp;$C37,'[1]FC4 Prod'!$A$6:$BP$36,[2]Consolidated!AX$1)</f>
        <v>7380.5115445859874</v>
      </c>
      <c r="AY37" s="48">
        <f>VLOOKUP($B37&amp;$C37,'[1]FC4 Prod'!$A$6:$BP$36,[2]Consolidated!AY$1)</f>
        <v>519.7452229299364</v>
      </c>
      <c r="AZ37" s="47">
        <f>VLOOKUP($B37&amp;$C37,'[1]FC4 Prod'!$A$6:$BP$36,[2]Consolidated!AZ$1)</f>
        <v>751.8381767515923</v>
      </c>
      <c r="BA37" s="47">
        <f>VLOOKUP($B37&amp;$C37,'[1]FC4 Prod'!$A$6:$BP$36,[2]Consolidated!BA$1)</f>
        <v>17523.334992038213</v>
      </c>
      <c r="BB37" s="47">
        <f>VLOOKUP($B37&amp;$C37,'[1]FC4 Prod'!$A$6:$BP$36,[2]Consolidated!BB$1)</f>
        <v>414.28912420382164</v>
      </c>
      <c r="BC37" s="47">
        <f>VLOOKUP($B37&amp;$C37,'[1]FC4 Prod'!$A$6:$BP$36,[2]Consolidated!BC$1)</f>
        <v>5691.3395700636929</v>
      </c>
      <c r="BD37" s="49">
        <f>VLOOKUP($B37&amp;$C37,'[1]FC4 Prod'!$A$6:$BP$36,[2]Consolidated!BD$1)</f>
        <v>47534.541114649677</v>
      </c>
      <c r="BE37" s="47">
        <f>VLOOKUP($B37&amp;$C37,'[1]FC4 Prod'!$A$6:$BP$36,[2]Consolidated!BE$1)</f>
        <v>15490.965585191083</v>
      </c>
      <c r="BF37" s="47">
        <f>VLOOKUP($B37&amp;$C37,'[1]FC4 Prod'!$A$6:$BP$36,[2]Consolidated!BF$1)</f>
        <v>7079.6859474522298</v>
      </c>
      <c r="BG37" s="50">
        <f>VLOOKUP($B37&amp;$C37,'[1]FC4 Prod'!$A$6:$BP$36,[2]Consolidated!BG$1)</f>
        <v>490.17515923566873</v>
      </c>
      <c r="BH37" s="50">
        <f>VLOOKUP($B37&amp;$C37,'[1]FC4 Prod'!$A$6:$BP$36,[2]Consolidated!BH$1)</f>
        <v>413.3599986066879</v>
      </c>
      <c r="BI37" s="50">
        <f>VLOOKUP($B37&amp;$C37,'[1]FC4 Prod'!$A$6:$BP$36,[2]Consolidated!BI$1)</f>
        <v>47440.699429339169</v>
      </c>
      <c r="BJ37" s="37" t="e">
        <f>VLOOKUP($B37&amp;$C37,'[1]FC4 Prod'!$A$6:$BP$36,[2]Consolidated!BJ$1)</f>
        <v>#REF!</v>
      </c>
      <c r="BK37" s="37" t="e">
        <f>VLOOKUP($B37&amp;$C37,'[1]FC4 Prod'!$A$6:$BP$36,[2]Consolidated!BK$1)</f>
        <v>#REF!</v>
      </c>
      <c r="BL37" s="37" t="e">
        <f>VLOOKUP($B37&amp;$C37,'[1]FC4 Prod'!$A$6:$BP$36,[2]Consolidated!BL$1)</f>
        <v>#REF!</v>
      </c>
      <c r="BM37" s="37" t="e">
        <f>VLOOKUP($B37&amp;$C37,'[1]FC4 Prod'!$A$6:$BP$36,[2]Consolidated!BM$1)</f>
        <v>#REF!</v>
      </c>
      <c r="BN37" s="37" t="e">
        <f>VLOOKUP($B37&amp;$C37,'[1]FC4 Prod'!$A$6:$BP$36,[2]Consolidated!BN$1)</f>
        <v>#REF!</v>
      </c>
      <c r="BO37" s="37" t="e">
        <f>VLOOKUP($B37&amp;$C37,'[1]FC4 Prod'!$A$6:$BP$36,[2]Consolidated!BO$1)</f>
        <v>#REF!</v>
      </c>
      <c r="BP37" s="37" t="str">
        <f>VLOOKUP($B37&amp;$C37,'[1]FC4 Prod'!$A$6:$BP$36,[2]Consolidated!BP$1)</f>
        <v>NIL</v>
      </c>
      <c r="BQ37" s="51" t="e">
        <f>VLOOKUP($B37&amp;$C37,'[1]FC4 Prod'!$A$6:$BP$36,[2]Consolidated!BQ$1)</f>
        <v>#REF!</v>
      </c>
      <c r="BR37" s="51">
        <f>VLOOKUP($B37&amp;$C37,'[1]FC4 Prod'!$A$6:$BQ$36,[2]Consolidated!BR$1)</f>
        <v>41644</v>
      </c>
      <c r="BS37" s="52">
        <f t="shared" ref="BS37" si="43">BE37+BF37*110%+BG37+BA37</f>
        <v>41292.130278662422</v>
      </c>
      <c r="BT37" s="32">
        <f t="shared" si="41"/>
        <v>351.86972133757808</v>
      </c>
      <c r="BU37" s="37">
        <f t="shared" si="42"/>
        <v>17677.934799999923</v>
      </c>
      <c r="BV37" s="53" t="s">
        <v>131</v>
      </c>
      <c r="BW37" s="54" cm="1">
        <f t="array" ref="BW37">IFERROR(VLOOKUP($A37,TRANSPOSE('[1]Fur 4 PLC'!$AR$1:$BV$39),8,0),0)</f>
        <v>0</v>
      </c>
      <c r="BX37" s="54" cm="1">
        <f t="array" ref="BX37">IFERROR(VLOOKUP($A37,TRANSPOSE('[1]Fur 4 PLC'!$AR$1:$BV$39),30,0),0)</f>
        <v>0</v>
      </c>
      <c r="BY37" s="54" cm="1">
        <f t="array" ref="BY37">IFERROR(VLOOKUP($A37,TRANSPOSE('[1]Fur 4 PLC'!$AR$1:$BV$39),14,0),0)</f>
        <v>0</v>
      </c>
      <c r="BZ37" s="54" cm="1">
        <f t="array" ref="BZ37">IFERROR(VLOOKUP($A37,TRANSPOSE('[1]Fur 4 PLC'!$AR$1:$BV$39),16,0),0)</f>
        <v>0</v>
      </c>
      <c r="CA37" s="54" cm="1">
        <f t="array" ref="CA37">IFERROR(VLOOKUP($A37,TRANSPOSE('[1]Fur 4 PLC'!$AR$1:$BV$39),9,0),0)</f>
        <v>0</v>
      </c>
      <c r="CB37" s="54" cm="1">
        <f t="array" ref="CB37">IFERROR(VLOOKUP($A37,TRANSPOSE('[1]Fur 4 PLC'!$AR$1:$BV$39),17,0),0)</f>
        <v>0</v>
      </c>
      <c r="CC37" s="54" cm="1">
        <f t="array" ref="CC37">IFERROR(VLOOKUP($A37,TRANSPOSE('[1]Fur 4 PLC'!$AR$1:$BV$39),20,0),0)</f>
        <v>577.22929936305729</v>
      </c>
      <c r="CD37" s="54" cm="1">
        <f t="array" ref="CD37">IFERROR(VLOOKUP($A37,TRANSPOSE('[1]Fur 4 PLC'!$AR$1:$BV$39),28,0),0)</f>
        <v>0</v>
      </c>
      <c r="CE37" s="54" cm="1">
        <f t="array" ref="CE37">IFERROR(VLOOKUP($A37,TRANSPOSE('[1]Fur 4 PLC'!$AR$1:$BV$39),13,0),0)</f>
        <v>93.491242038216555</v>
      </c>
      <c r="CF37" s="54" cm="1">
        <f t="array" ref="CF37">IFERROR(VLOOKUP($A37,TRANSPOSE('[1]Fur 4 PLC'!$AR$1:$BV$39),37,0),0)</f>
        <v>0</v>
      </c>
      <c r="CG37" s="54" cm="1">
        <f t="array" ref="CG37">IFERROR(VLOOKUP($A37,TRANSPOSE('[1]Fur 4 PLC'!$AR$1:$BV$39),6,0),0)</f>
        <v>0</v>
      </c>
      <c r="CH37" s="54" cm="1">
        <f t="array" ref="CH37">IFERROR(VLOOKUP($A37,TRANSPOSE('[1]Fur 4 PLC'!$AR$1:$BV$39),21,0),0)</f>
        <v>814.47054140127386</v>
      </c>
      <c r="CI37" s="54" cm="1">
        <f t="array" ref="CI37">IFERROR(VLOOKUP($A37,TRANSPOSE('[1]Fur 4 PLC'!$AR$1:$BV$39),12,0),0)</f>
        <v>0</v>
      </c>
      <c r="CJ37" s="54" cm="1">
        <f t="array" ref="CJ37">IFERROR(VLOOKUP($A37,TRANSPOSE('[1]Fur 4 PLC'!$AR$1:$BV$39),25,0),0)</f>
        <v>127.10987261146498</v>
      </c>
      <c r="CK37" s="54" cm="1">
        <f t="array" ref="CK37">IFERROR(VLOOKUP($A37,TRANSPOSE('[1]Fur 4 PLC'!$AR$1:$BV$39),26,0),0)</f>
        <v>365.10748407643314</v>
      </c>
      <c r="CL37" s="54" cm="1">
        <f t="array" ref="CL37">IFERROR(VLOOKUP($A37,TRANSPOSE('[1]Fur 4 PLC'!$AR$1:$BV$39),27,0),0)</f>
        <v>0</v>
      </c>
      <c r="CM37" s="54" cm="1">
        <f t="array" ref="CM37">IFERROR(VLOOKUP($A37,TRANSPOSE('[1]Fur 4 PLC'!$AR$1:$BV$39),22,0),0)</f>
        <v>0</v>
      </c>
      <c r="CN37" s="54"/>
      <c r="CO37" s="54" cm="1">
        <f t="array" ref="CO37">IFERROR(VLOOKUP($A37,TRANSPOSE('[1]Fur 4 PLC'!$AR$1:$BV$39),29,0),0)</f>
        <v>118.71019108280255</v>
      </c>
      <c r="CP37" s="54" cm="1">
        <f t="array" ref="CP37">IFERROR(VLOOKUP($A37,TRANSPOSE('[1]Fur 4 PLC'!$AR$1:$BV$39),10,0),0)</f>
        <v>0</v>
      </c>
      <c r="CQ37" s="54" cm="1">
        <f t="array" ref="CQ37">IFERROR(VLOOKUP($A37,TRANSPOSE('[1]Fur 4 PLC'!$AR$1:$BV$39),7,0),0)</f>
        <v>94.068471337579624</v>
      </c>
      <c r="CR37" s="54" cm="1">
        <f t="array" ref="CR37">IFERROR(VLOOKUP($A37,TRANSPOSE('[1]Fur 4 PLC'!$AR$1:$BV$39),36,0),0)</f>
        <v>204.23964968152865</v>
      </c>
      <c r="CS37" s="54" cm="1">
        <f t="array" ref="CS37">IFERROR(VLOOKUP($A37,TRANSPOSE('[1]Fur 4 PLC'!$AR$1:$BV$39),11,0),0)</f>
        <v>0</v>
      </c>
      <c r="CT37" s="54" cm="1">
        <f t="array" ref="CT37">IFERROR(VLOOKUP($A37,TRANSPOSE('[1]Fur 4 PLC'!$AR$1:$BV$39),19,0),0)</f>
        <v>78.284235668789805</v>
      </c>
      <c r="CU37" s="54" cm="1">
        <f t="array" ref="CU37">IFERROR(VLOOKUP($A37,TRANSPOSE('[1]Fur 4 PLC'!$AR$1:$BV$39),18,0),0)</f>
        <v>298.92515923566879</v>
      </c>
      <c r="CV37" s="54" cm="1">
        <f t="array" ref="CV37">IFERROR(VLOOKUP($A37,TRANSPOSE('[1]Fur 4 PLC'!$AR$1:$BV$38),15,0),0)</f>
        <v>0</v>
      </c>
      <c r="CW37" s="54" cm="1">
        <f t="array" ref="CW37">IFERROR(VLOOKUP($A37,TRANSPOSE('[1]Fur 4 PLC'!$CK$1:$DO$39),8,0),0)</f>
        <v>0</v>
      </c>
      <c r="CX37" s="54" cm="1">
        <f t="array" ref="CX37">IFERROR(VLOOKUP($A37,TRANSPOSE('[1]Fur 4 PLC'!$CK$1:$DO$39),30,0),0)</f>
        <v>0</v>
      </c>
      <c r="CY37" s="54" cm="1">
        <f t="array" ref="CY37">IFERROR(VLOOKUP($A37,TRANSPOSE('[1]Fur 4 PLC'!$CK$1:$DO$39),14,0),0)</f>
        <v>0</v>
      </c>
      <c r="CZ37" s="54" cm="1">
        <f t="array" ref="CZ37">IFERROR(VLOOKUP($A37,TRANSPOSE('[1]Fur 4 PLC'!$CK$1:$DO$39),16,0),0)</f>
        <v>0</v>
      </c>
      <c r="DA37" s="54" cm="1">
        <f t="array" ref="DA37">IFERROR(VLOOKUP($A37,TRANSPOSE('[1]Fur 4 PLC'!$CK$1:$DO$39),9,0),0)</f>
        <v>0</v>
      </c>
      <c r="DB37" s="55" cm="1">
        <f t="array" ref="DB37">IFERROR(VLOOKUP($A37,TRANSPOSE('[1]Fur 4 PLC'!$CK$1:$DO$39),17,0),0)</f>
        <v>0</v>
      </c>
      <c r="DC37" s="55" cm="1">
        <f t="array" ref="DC37">IFERROR(VLOOKUP($A37,TRANSPOSE('[1]Fur 4 PLC'!$CK$1:$DO$39),20,0),0)</f>
        <v>308.51063829787233</v>
      </c>
      <c r="DD37" s="54" cm="1">
        <f t="array" ref="DD37">IFERROR(VLOOKUP($A37,TRANSPOSE('[1]Fur 4 PLC'!$CK$1:$DO$39),28,0),0)</f>
        <v>0</v>
      </c>
      <c r="DE37" s="54" cm="1">
        <f t="array" ref="DE37">IFERROR(VLOOKUP($A37,TRANSPOSE('[1]Fur 4 PLC'!$CK$1:$DO$39),13,0),0)</f>
        <v>49.968085106382979</v>
      </c>
      <c r="DF37" s="54" cm="1">
        <f t="array" ref="DF37">IFERROR(VLOOKUP($A37,TRANSPOSE('[1]Fur 4 PLC'!$CK$1:$DO$39),37,0),0)</f>
        <v>0</v>
      </c>
      <c r="DG37" s="54" cm="1">
        <f t="array" ref="DG37">IFERROR(VLOOKUP($A37,TRANSPOSE('[1]Fur 4 PLC'!$CK$1:$DO$39),6,0),0)</f>
        <v>0</v>
      </c>
      <c r="DH37" s="54" cm="1">
        <f t="array" ref="DH37">IFERROR(VLOOKUP($A37,TRANSPOSE('[1]Fur 4 PLC'!$CK$1:$DO$39),21,0),0)</f>
        <v>435.30851063829783</v>
      </c>
      <c r="DI37" s="54" cm="1">
        <f t="array" ref="DI37">IFERROR(VLOOKUP($A37,TRANSPOSE('[1]Fur 4 PLC'!$CK$1:$DO$39),12,0),0)</f>
        <v>0</v>
      </c>
      <c r="DJ37" s="54" cm="1">
        <f t="array" ref="DJ37">IFERROR(VLOOKUP($A37,TRANSPOSE('[1]Fur 4 PLC'!$CK$1:$DO$39),25,0),0)</f>
        <v>67.936170212765958</v>
      </c>
      <c r="DK37" s="54" cm="1">
        <f t="array" ref="DK37">IFERROR(VLOOKUP($A37,TRANSPOSE('[1]Fur 4 PLC'!$CK$1:$DO$39),26,0),0)</f>
        <v>195.13829787234044</v>
      </c>
      <c r="DL37" s="54" cm="1">
        <f t="array" ref="DL37">IFERROR(VLOOKUP($A37,TRANSPOSE('[1]Fur 4 PLC'!$CK$1:$DO$39),27,0),0)</f>
        <v>0</v>
      </c>
      <c r="DM37" s="54" cm="1">
        <f t="array" ref="DM37">IFERROR(VLOOKUP($A37,TRANSPOSE('[1]Fur 4 PLC'!$CK$1:$DO$39),22,0),0)</f>
        <v>0</v>
      </c>
      <c r="DN37" s="54" cm="1">
        <f t="array" ref="DN37">IFERROR(VLOOKUP($A37,TRANSPOSE('[1]Fur 4 PLC'!$CK$1:$DO$39),19,0),0)</f>
        <v>41.840425531914896</v>
      </c>
      <c r="DO37" s="54" cm="1">
        <f t="array" ref="DO37">IFERROR(VLOOKUP($A37,TRANSPOSE('[1]Fur 4 PLC'!$CK$1:$DO$39),29,0),0)</f>
        <v>63.446808510638306</v>
      </c>
      <c r="DP37" s="54" cm="1">
        <f t="array" ref="DP37">IFERROR(VLOOKUP($A37,TRANSPOSE('[1]Fur 4 PLC'!$CK$1:$DO$39),10,0),0)</f>
        <v>0</v>
      </c>
      <c r="DQ37" s="54" cm="1">
        <f t="array" ref="DQ37">IFERROR(VLOOKUP($A37,TRANSPOSE('[1]Fur 4 PLC'!$CK$1:$DO$39),7,0),0)</f>
        <v>50.276595744680854</v>
      </c>
      <c r="DR37" s="54" cm="1">
        <f t="array" ref="DR37">IFERROR(VLOOKUP($A37,TRANSPOSE('[1]Fur 4 PLC'!$CK$1:$DO$39),36,0),0)</f>
        <v>109.1595744680851</v>
      </c>
      <c r="DS37" s="54" cm="1">
        <f t="array" ref="DS37">IFERROR(VLOOKUP($A37,TRANSPOSE('[1]Fur 4 PLC'!$CK$1:$DO$39),11,0),0)</f>
        <v>0</v>
      </c>
      <c r="DT37" s="54" cm="1">
        <f t="array" ref="DT37">IFERROR(VLOOKUP($A37,TRANSPOSE('[1]Fur 4 PLC'!$CK$1:$DO$39),19,0),0)</f>
        <v>41.840425531914896</v>
      </c>
      <c r="DU37" s="54" cm="1">
        <f t="array" ref="DU37">IFERROR(VLOOKUP($A37,TRANSPOSE('[1]Fur 4 PLC'!$CK$1:$DO$39),18,0),0)</f>
        <v>159.76595744680853</v>
      </c>
      <c r="DV37" s="54" cm="1">
        <f t="array" ref="DV37">IFERROR(VLOOKUP($A37,TRANSPOSE('[1]Fur 4 PLC'!$CK$1:$DO$39),15,0),0)</f>
        <v>0</v>
      </c>
      <c r="DW37" t="str">
        <f t="shared" si="40"/>
        <v>Dec-25</v>
      </c>
    </row>
    <row r="38" spans="1:127" x14ac:dyDescent="0.3">
      <c r="A38" s="28" t="str">
        <f t="shared" si="1"/>
        <v>F146001</v>
      </c>
      <c r="B38" s="29" t="s">
        <v>26</v>
      </c>
      <c r="C38" s="30">
        <f>C34+1</f>
        <v>46001</v>
      </c>
      <c r="D38" s="29" t="str">
        <f>VLOOKUP($B38&amp;$C38,'[1]FC1 Prod'!$A$6:$BP$36,[2]Consolidated!D$1)</f>
        <v>Raju Singh</v>
      </c>
      <c r="E38" s="29">
        <f>VLOOKUP($B38&amp;$C38,'[1]FC1 Prod'!$A$6:$BP$36,[2]Consolidated!E$1)</f>
        <v>24.82</v>
      </c>
      <c r="F38" s="31">
        <f>VLOOKUP($B38&amp;$C38,'[1]FC1 Prod'!$A$6:$BP$36,[2]Consolidated!F$1)</f>
        <v>0.23000000000000043</v>
      </c>
      <c r="G38" s="32">
        <f>VLOOKUP($B38&amp;$C38,'[1]FC1 Prod'!$A$6:$BP$36,[2]Consolidated!G$1)</f>
        <v>25.05</v>
      </c>
      <c r="H38" s="32">
        <f>VLOOKUP($B38&amp;$C38,'[1]FC1 Prod'!$A$6:$BP$36,[2]Consolidated!H$1)</f>
        <v>17.829999999999998</v>
      </c>
      <c r="I38" s="32">
        <f>VLOOKUP($B38&amp;$C38,'[1]FC1 Prod'!$A$6:$BP$36,[2]Consolidated!I$1)</f>
        <v>5.9</v>
      </c>
      <c r="J38" s="32">
        <f>VLOOKUP($B38&amp;$C38,'[1]FC1 Prod'!$A$6:$BP$36,[2]Consolidated!J$1)</f>
        <v>39.479999999999997</v>
      </c>
      <c r="K38" s="32">
        <f>VLOOKUP($B38&amp;$C38,'[1]FC1 Prod'!$A$6:$BP$36,[2]Consolidated!K$1)</f>
        <v>1.32</v>
      </c>
      <c r="L38" s="32">
        <f>VLOOKUP($B38&amp;$C38,'[1]FC1 Prod'!$A$6:$BP$36,[2]Consolidated!L$1)</f>
        <v>27.58</v>
      </c>
      <c r="M38" s="32">
        <f>VLOOKUP($B38&amp;$C38,'[1]FC1 Prod'!$A$6:$BP$36,[2]Consolidated!M$1)</f>
        <v>5.0199999999999996</v>
      </c>
      <c r="N38" s="32">
        <f>VLOOKUP($B38&amp;$C38,'[1]FC1 Prod'!$A$6:$BP$36,[2]Consolidated!N$1)</f>
        <v>17.52</v>
      </c>
      <c r="O38" s="32">
        <f>VLOOKUP($B38&amp;$C38,'[1]FC1 Prod'!$A$6:$BP$36,[2]Consolidated!O$1)</f>
        <v>0.83</v>
      </c>
      <c r="P38" s="33">
        <f>VLOOKUP($B38&amp;$C38,'[1]FC1 Prod'!$A$6:$BP$36,[2]Consolidated!P$1)</f>
        <v>8</v>
      </c>
      <c r="Q38" s="29">
        <f>VLOOKUP($B38&amp;$C38,'[1]FC1 Prod'!$A$6:$BP$36,[2]Consolidated!Q$1)</f>
        <v>43.353999999999999</v>
      </c>
      <c r="R38" s="29">
        <f>VLOOKUP($B38&amp;$C38,'[1]FC1 Prod'!$A$6:$BP$36,[2]Consolidated!R$1)</f>
        <v>13.708</v>
      </c>
      <c r="S38" s="34">
        <f>VLOOKUP($B38&amp;$C38,'[1]FC1 Prod'!$A$6:$BP$36,[2]Consolidated!S$1)</f>
        <v>23</v>
      </c>
      <c r="T38" s="34">
        <f>VLOOKUP($B38&amp;$C38,'[1]FC1 Prod'!$A$6:$BP$36,[2]Consolidated!T$1)</f>
        <v>16</v>
      </c>
      <c r="U38" s="34">
        <f>VLOOKUP($B38&amp;$C38,'[1]FC1 Prod'!$A$6:$BP$36,[2]Consolidated!U$1)</f>
        <v>16</v>
      </c>
      <c r="V38" s="34">
        <f>VLOOKUP($B38&amp;$C38,'[1]FC1 Prod'!$A$6:$BP$36,[2]Consolidated!V$1)</f>
        <v>55</v>
      </c>
      <c r="W38" s="35">
        <f>VLOOKUP($B38&amp;$C38,'[1]FC1 Prod'!$A$6:$BP$36,[2]Consolidated!W$1)</f>
        <v>1.7467365028203061</v>
      </c>
      <c r="X38" s="35">
        <f>VLOOKUP($B38&amp;$C38,'[1]FC1 Prod'!$A$6:$BP$36,[2]Consolidated!X$1)</f>
        <v>25.830000000000002</v>
      </c>
      <c r="Y38" s="36">
        <f>VLOOKUP($B38&amp;$C38,'[1]FC1 Prod'!$A$6:$BP$36,[2]Consolidated!Y$1)</f>
        <v>0.96089818041037545</v>
      </c>
      <c r="Z38" s="37" t="str">
        <f>VLOOKUP($B38&amp;$C38,'[1]FC1 Prod'!$A$6:$BP$36,[2]Consolidated!Z$1)</f>
        <v>40/22</v>
      </c>
      <c r="AA38" s="31">
        <f>VLOOKUP($B38&amp;$C38,'[1]FC1 Prod'!$A$6:$BP$36,[2]Consolidated!AA$1)</f>
        <v>40.138750000000002</v>
      </c>
      <c r="AB38" s="31">
        <f>VLOOKUP($B38&amp;$C38,'[1]FC1 Prod'!$A$6:$BP$36,[2]Consolidated!AB$1)</f>
        <v>21.24</v>
      </c>
      <c r="AC38" s="31">
        <f>VLOOKUP($B38&amp;$C38,'[1]FC1 Prod'!$A$6:$BP$36,[2]Consolidated!AC$1)</f>
        <v>0.45250000000000001</v>
      </c>
      <c r="AD38" s="38">
        <f>VLOOKUP($B38&amp;$C38,'[1]FC1 Prod'!$A$6:$BP$36,[2]Consolidated!AD$1)</f>
        <v>398.16764335213543</v>
      </c>
      <c r="AE38" s="38">
        <f>VLOOKUP($B38&amp;$C38,'[1]FC1 Prod'!$A$6:$BP$36,[2]Consolidated!AE$1)</f>
        <v>453.23018194198232</v>
      </c>
      <c r="AF38" s="39">
        <f>VLOOKUP($B38&amp;$C38,'[1]FC1 Prod'!$A$6:$BP$36,[2]Consolidated!AF$1)</f>
        <v>1.0080866858511077</v>
      </c>
      <c r="AG38" s="39">
        <f>VLOOKUP($B38&amp;$C38,'[1]FC1 Prod'!$A$6:$BP$36,[2]Consolidated!AG$1)</f>
        <v>0.88561511565745932</v>
      </c>
      <c r="AH38" s="34">
        <f>VLOOKUP($B38&amp;$C38,'[1]FC1 Prod'!$A$6:$BP$36,[2]Consolidated!AH$1)</f>
        <v>351.829170024174</v>
      </c>
      <c r="AI38" s="33">
        <f>VLOOKUP($B38&amp;$C38,'[1]FC1 Prod'!$A$6:$BP$36,[2]Consolidated!AI$1)</f>
        <v>418.49121676067688</v>
      </c>
      <c r="AJ38" s="39">
        <f>VLOOKUP($B38&amp;$C38,'[1]FC1 Prod'!$A$6:$BP$36,[2]Consolidated!AJ$1)</f>
        <v>2.1220276290961677</v>
      </c>
      <c r="AK38" s="39">
        <f>VLOOKUP($B38&amp;$C38,'[1]FC1 Prod'!$A$6:$BP$36,[2]Consolidated!AK$1)</f>
        <v>0.60571417081245971</v>
      </c>
      <c r="AL38" s="40" t="str">
        <f>VLOOKUP($B38&amp;$C38,'[1]FC1 Prod'!$A$6:$BP$36,[2]Consolidated!AL$1)</f>
        <v>10/70</v>
      </c>
      <c r="AM38" s="41">
        <f>VLOOKUP($B38&amp;$C38,'[1]FC1 Prod'!$A$6:$BP$36,[2]Consolidated!AM$1)</f>
        <v>2.6188557614826753E-2</v>
      </c>
      <c r="AN38" s="42">
        <f>VLOOKUP($B38&amp;$C38,'[1]FC1 Prod'!$A$6:$BP$36,[2]Consolidated!AN$1)</f>
        <v>105.9</v>
      </c>
      <c r="AO38" s="43">
        <f>VLOOKUP($B38&amp;$C38,'[1]FC1 Prod'!$A$6:$BP$36,[2]Consolidated!AO$1)</f>
        <v>3.8180000000000001</v>
      </c>
      <c r="AP38" s="44">
        <f>VLOOKUP($B38&amp;$C38,'[1]FC1 Prod'!$A$6:$BP$36,[2]Consolidated!AP$1)</f>
        <v>4.4205479452054792</v>
      </c>
      <c r="AQ38" s="44">
        <f>VLOOKUP($B38&amp;$C38,'[1]FC1 Prod'!$A$6:$BP$36,[2]Consolidated!AQ$1)</f>
        <v>22.762850555049678</v>
      </c>
      <c r="AR38" s="45">
        <f>VLOOKUP($B38&amp;$C38,'[1]FC1 Prod'!$A$6:$BP$36,[2]Consolidated!AR$1)</f>
        <v>1.0028409090909092</v>
      </c>
      <c r="AS38" s="46">
        <f>VLOOKUP($B38&amp;$C38,'[1]FC1 Prod'!$A$6:$BP$36,[2]Consolidated!AS$1)</f>
        <v>2.0666666666666669</v>
      </c>
      <c r="AT38" s="29">
        <f>VLOOKUP($B38&amp;$C38,'[1]FC1 Prod'!$A$6:$BP$36,[2]Consolidated!AT$1)</f>
        <v>0.79705593106007011</v>
      </c>
      <c r="AU38" s="34">
        <f>VLOOKUP($B38&amp;$C38,'[1]FC1 Prod'!$A$6:$BP$36,[2]Consolidated!AU$1)</f>
        <v>407.25830258302585</v>
      </c>
      <c r="AV38" s="34">
        <f>VLOOKUP($B38&amp;$C38,'[1]FC1 Prod'!$A$6:$BP$36,[2]Consolidated!AV$1)</f>
        <v>158.33333333333334</v>
      </c>
      <c r="AW38" s="47">
        <f>VLOOKUP($B38&amp;$C38,'[1]FC1 Prod'!$A$6:$BP$36,[2]Consolidated!AW$1)</f>
        <v>15010.973005640612</v>
      </c>
      <c r="AX38" s="47">
        <f>VLOOKUP($B38&amp;$C38,'[1]FC1 Prod'!$A$6:$BP$36,[2]Consolidated!AX$1)</f>
        <v>11110.394842868654</v>
      </c>
      <c r="AY38" s="48">
        <f>VLOOKUP($B38&amp;$C38,'[1]FC1 Prod'!$A$6:$BP$36,[2]Consolidated!AY$1)</f>
        <v>1679.9758259468167</v>
      </c>
      <c r="AZ38" s="47">
        <f>VLOOKUP($B38&amp;$C38,'[1]FC1 Prod'!$A$6:$BP$36,[2]Consolidated!AZ$1)</f>
        <v>1345.7836422240127</v>
      </c>
      <c r="BA38" s="47">
        <f>VLOOKUP($B38&amp;$C38,'[1]FC1 Prod'!$A$6:$BP$36,[2]Consolidated!BA$1)</f>
        <v>25860.205479452052</v>
      </c>
      <c r="BB38" s="47">
        <f>VLOOKUP($B38&amp;$C38,'[1]FC1 Prod'!$A$6:$BP$36,[2]Consolidated!BB$1)</f>
        <v>550.07332796132152</v>
      </c>
      <c r="BC38" s="47">
        <f>VLOOKUP($B38&amp;$C38,'[1]FC1 Prod'!$A$6:$BP$36,[2]Consolidated!BC$1)</f>
        <v>8399.0410958904104</v>
      </c>
      <c r="BD38" s="49">
        <f>VLOOKUP($B38&amp;$C38,'[1]FC1 Prod'!$A$6:$BP$36,[2]Consolidated!BD$1)</f>
        <v>63956.447219983878</v>
      </c>
      <c r="BE38" s="47">
        <f>VLOOKUP($B38&amp;$C38,'[1]FC1 Prod'!$A$6:$BP$36,[2]Consolidated!BE$1)</f>
        <v>17121.54210314263</v>
      </c>
      <c r="BF38" s="47">
        <f>VLOOKUP($B38&amp;$C38,'[1]FC1 Prod'!$A$6:$BP$36,[2]Consolidated!BF$1)</f>
        <v>12795.261885576148</v>
      </c>
      <c r="BG38" s="50">
        <f>VLOOKUP($B38&amp;$C38,'[1]FC1 Prod'!$A$6:$BP$36,[2]Consolidated!BG$1)</f>
        <v>1918.1869460112812</v>
      </c>
      <c r="BH38" s="50">
        <f>VLOOKUP($B38&amp;$C38,'[1]FC1 Prod'!$A$6:$BP$36,[2]Consolidated!BH$1)</f>
        <v>590.40980056406124</v>
      </c>
      <c r="BI38" s="50">
        <f>VLOOKUP($B38&amp;$C38,'[1]FC1 Prod'!$A$6:$BP$36,[2]Consolidated!BI$1)</f>
        <v>68030.430952860595</v>
      </c>
      <c r="BJ38" s="37" t="e">
        <f>VLOOKUP($B38&amp;$C38,'[1]FC1 Prod'!$A$6:$BP$36,[2]Consolidated!BJ$1)</f>
        <v>#REF!</v>
      </c>
      <c r="BK38" s="37" t="e">
        <f>VLOOKUP($B38&amp;$C38,'[1]FC1 Prod'!$A$6:$BP$36,[2]Consolidated!BK$1)</f>
        <v>#REF!</v>
      </c>
      <c r="BL38" s="37" t="e">
        <f>VLOOKUP($B38&amp;$C38,'[1]FC1 Prod'!$A$6:$BP$36,[2]Consolidated!BL$1)</f>
        <v>#REF!</v>
      </c>
      <c r="BM38" s="37" t="e">
        <f>VLOOKUP($B38&amp;$C38,'[1]FC1 Prod'!$A$6:$BP$36,[2]Consolidated!BM$1)</f>
        <v>#REF!</v>
      </c>
      <c r="BN38" s="37" t="e">
        <f>VLOOKUP($B38&amp;$C38,'[1]FC1 Prod'!$A$6:$BP$36,[2]Consolidated!BN$1)</f>
        <v>#REF!</v>
      </c>
      <c r="BO38" s="37" t="e">
        <f>VLOOKUP($B38&amp;$C38,'[1]FC1 Prod'!$A$6:$BP$36,[2]Consolidated!BO$1)</f>
        <v>#REF!</v>
      </c>
      <c r="BP38" s="37" t="str">
        <f>VLOOKUP($B38&amp;$C38,'[1]FC1 Prod'!$A$6:$BP$36,[2]Consolidated!BP$1)</f>
        <v>NIL</v>
      </c>
      <c r="BQ38" s="51" t="e">
        <f>VLOOKUP($B38&amp;$C38,'[1]FC1 Prod'!$A$6:$BP$36,[2]Consolidated!BQ$1)</f>
        <v>#REF!</v>
      </c>
      <c r="BR38" s="51">
        <f>VLOOKUP($B38&amp;$C38,'[1]FC1 Prod'!$A$6:$BQ$36,[2]Consolidated!BR$1)</f>
        <v>60759</v>
      </c>
      <c r="BS38" s="52">
        <f t="shared" ref="BS38:BS40" si="44">BE38+BF38+BG38+BA38</f>
        <v>57695.196414182108</v>
      </c>
      <c r="BT38" s="32">
        <f>BR38-BS38</f>
        <v>3063.8035858178919</v>
      </c>
      <c r="BU38" s="37">
        <f>E38*BT38</f>
        <v>76043.605000000083</v>
      </c>
      <c r="BV38" s="53" t="s">
        <v>131</v>
      </c>
      <c r="BW38" s="54" cm="1">
        <f t="array" ref="BW38">IFERROR(VLOOKUP($A38,TRANSPOSE('[1]Fur 1 PLC'!$AR$1:$BV$38),8,0),0)</f>
        <v>0</v>
      </c>
      <c r="BX38" s="54" cm="1">
        <f t="array" ref="BX38">IFERROR(VLOOKUP($A38,TRANSPOSE('[1]Fur 1 PLC'!$AR$1:$BV$38),30,0),0)</f>
        <v>104.51248992747783</v>
      </c>
      <c r="BY38" s="54" cm="1">
        <f t="array" ref="BY38">IFERROR(VLOOKUP($A38,TRANSPOSE('[1]Fur 1 PLC'!$AR$1:$BV$38),14,0),0)</f>
        <v>0</v>
      </c>
      <c r="BZ38" s="54" cm="1">
        <f t="array" ref="BZ38">IFERROR(VLOOKUP($A38,TRANSPOSE('[1]Fur 1 PLC'!$AR$1:$BV$38),16,0),0)</f>
        <v>0</v>
      </c>
      <c r="CA38" s="54" cm="1">
        <f t="array" ref="CA38">IFERROR(VLOOKUP($A38,TRANSPOSE('[1]Fur 1 PLC'!$AR$1:$BV$38),9,0),0)</f>
        <v>299.3150684931507</v>
      </c>
      <c r="CB38" s="54" cm="1">
        <f t="array" ref="CB38">IFERROR(VLOOKUP($A38,TRANSPOSE('[1]Fur 1 PLC'!$AR$1:$BV$38),17,0),0)</f>
        <v>0</v>
      </c>
      <c r="CC38" s="54" cm="1">
        <f t="array" ref="CC38">IFERROR(VLOOKUP($A38,TRANSPOSE('[1]Fur 1 PLC'!$AR$1:$BV$38),20,0),0)</f>
        <v>797.94520547945206</v>
      </c>
      <c r="CD38" s="54" cm="1">
        <f t="array" ref="CD38">IFERROR(VLOOKUP($A38,TRANSPOSE('[1]Fur 1 PLC'!$AR$1:$BV$38),28,0),0)</f>
        <v>0</v>
      </c>
      <c r="CE38" s="54" cm="1">
        <f t="array" ref="CE38">IFERROR(VLOOKUP($A38,TRANSPOSE('[1]Fur 1 PLC'!$AR$1:$BV$38),13,0),0)</f>
        <v>0</v>
      </c>
      <c r="CF38" s="54" cm="1">
        <f t="array" ref="CF38">IFERROR(VLOOKUP($A38,TRANSPOSE('[1]Fur 1 PLC'!$AR$1:$BV$38),37,0),0)</f>
        <v>542.86865431103945</v>
      </c>
      <c r="CG38" s="54" cm="1">
        <f t="array" ref="CG38">IFERROR(VLOOKUP($A38,TRANSPOSE('[1]Fur 1 PLC'!$AR$1:$BV$38),6,0),0)</f>
        <v>0</v>
      </c>
      <c r="CH38" s="54" cm="1">
        <f t="array" ref="CH38">IFERROR(VLOOKUP($A38,TRANSPOSE('[1]Fur 1 PLC'!$AR$1:$BV$38),21,0),0)</f>
        <v>0</v>
      </c>
      <c r="CI38" s="54" cm="1">
        <f t="array" ref="CI38">IFERROR(VLOOKUP($A38,TRANSPOSE('[1]Fur 1 PLC'!$AR$1:$BV$38),12,0),0)</f>
        <v>0</v>
      </c>
      <c r="CJ38" s="54" cm="1">
        <f t="array" ref="CJ38">IFERROR(VLOOKUP($A38,TRANSPOSE('[1]Fur 1 PLC'!$AR$1:$BV$38),25,0),0)</f>
        <v>0</v>
      </c>
      <c r="CK38" s="54" cm="1">
        <f t="array" ref="CK38">IFERROR(VLOOKUP($A38,TRANSPOSE('[1]Fur 1 PLC'!$AR$1:$BV$38),26,0),0)</f>
        <v>0</v>
      </c>
      <c r="CL38" s="54" cm="1">
        <f t="array" ref="CL38">IFERROR(VLOOKUP($A38,TRANSPOSE('[1]Fur 1 PLC'!$AR$1:$BV$38),27,0),0)</f>
        <v>447.78404512489925</v>
      </c>
      <c r="CM38" s="54" cm="1">
        <f t="array" ref="CM38">IFERROR(VLOOKUP($A38,TRANSPOSE('[1]Fur 1 PLC'!$AR$1:$BV$38),22,0),0)</f>
        <v>0</v>
      </c>
      <c r="CN38" s="54"/>
      <c r="CO38" s="54" cm="1">
        <f t="array" ref="CO38">IFERROR(VLOOKUP($A38,TRANSPOSE('[1]Fur 1 PLC'!$AR$1:$BV$38),29,0),0)</f>
        <v>0</v>
      </c>
      <c r="CP38" s="54" cm="1">
        <f t="array" ref="CP38">IFERROR(VLOOKUP($A38,TRANSPOSE('[1]Fur 1 PLC'!$AR$1:$BV$38),10,0),0)</f>
        <v>0</v>
      </c>
      <c r="CQ38" s="54" cm="1">
        <f t="array" ref="CQ38">IFERROR(VLOOKUP($A38,TRANSPOSE('[1]Fur 1 PLC'!$AR$1:$BV$38),7,0),0)</f>
        <v>244.35938759065272</v>
      </c>
      <c r="CR38" s="54" cm="1">
        <f t="array" ref="CR38">IFERROR(VLOOKUP($A38,TRANSPOSE('[1]Fur 1 PLC'!$AR$1:$BV$38),35,0),0)</f>
        <v>188.51732473811444</v>
      </c>
      <c r="CS38" s="54" cm="1">
        <f t="array" ref="CS38">IFERROR(VLOOKUP($A38,TRANSPOSE('[1]Fur 1 PLC'!$AR$1:$BV$38),11,0),0)</f>
        <v>0</v>
      </c>
      <c r="CT38" s="54" cm="1">
        <f t="array" ref="CT38">IFERROR(VLOOKUP($A38,TRANSPOSE('[1]Fur 1 PLC'!$AR$1:$BV$38),19,0),0)</f>
        <v>0</v>
      </c>
      <c r="CU38" s="54" cm="1">
        <f t="array" ref="CU38">IFERROR(VLOOKUP($A38,TRANSPOSE('[1]Fur 1 PLC'!$AR$1:$BV$38),18,0),0)</f>
        <v>498.79129734085421</v>
      </c>
      <c r="CV38" s="54" cm="1">
        <f t="array" ref="CV38">IFERROR(VLOOKUP($A38,TRANSPOSE('[1]Fur 1 PLC'!$AR$1:$BV$38),15,0),0)</f>
        <v>150.68493150684932</v>
      </c>
      <c r="CW38" s="54" cm="1">
        <f t="array" ref="CW38">IFERROR(VLOOKUP($A38,TRANSPOSE('[1]Fur 1 PLC'!$CL$1:$DP$38),8,0),0)</f>
        <v>0</v>
      </c>
      <c r="CX38" s="54" cm="1">
        <f t="array" ref="CX38">IFERROR(VLOOKUP($A38,TRANSPOSE('[1]Fur 1 PLC'!$CL$1:$DP$38),30,0),0)</f>
        <v>47.163636363636357</v>
      </c>
      <c r="CY38" s="54" cm="1">
        <f t="array" ref="CY38">IFERROR(VLOOKUP($A38,TRANSPOSE('[1]Fur 1 PLC'!$CL$1:$DP$38),14,0),0)</f>
        <v>0</v>
      </c>
      <c r="CZ38" s="54" cm="1">
        <f t="array" ref="CZ38">IFERROR(VLOOKUP($A38,TRANSPOSE('[1]Fur 1 PLC'!$CL$1:$DP$38),16,0),0)</f>
        <v>0</v>
      </c>
      <c r="DA38" s="54" cm="1">
        <f t="array" ref="DA38">IFERROR(VLOOKUP($A38,TRANSPOSE('[1]Fur 1 PLC'!$CL$1:$DP$38),9,0),0)</f>
        <v>135.07272727272729</v>
      </c>
      <c r="DB38" s="55" cm="1">
        <f t="array" ref="DB38">IFERROR(VLOOKUP($A38,TRANSPOSE('[1]Fur 1 PLC'!$CL$1:$DP$38),17,0),0)</f>
        <v>0</v>
      </c>
      <c r="DC38" s="55" cm="1">
        <f t="array" ref="DC38">IFERROR(VLOOKUP($A38,TRANSPOSE('[1]Fur 1 PLC'!$CL$1:$DP$38),20,0),0)</f>
        <v>360.09090909090907</v>
      </c>
      <c r="DD38" s="54" cm="1">
        <f t="array" ref="DD38">IFERROR(VLOOKUP($A38,TRANSPOSE('[1]Fur 1 PLC'!$CL$1:$DP$38),28,0),0)</f>
        <v>0</v>
      </c>
      <c r="DE38" s="54" cm="1">
        <f t="array" ref="DE38">IFERROR(VLOOKUP($A38,TRANSPOSE('[1]Fur 1 PLC'!$CL$1:$DP$38),13,0),0)</f>
        <v>0</v>
      </c>
      <c r="DF38" s="54" cm="1">
        <f t="array" ref="DF38">IFERROR(VLOOKUP($A38,TRANSPOSE('[1]Fur 1 PLC'!$CL$1:$DP$38),37,0),0)</f>
        <v>244.9818181818182</v>
      </c>
      <c r="DG38" s="54" cm="1">
        <f t="array" ref="DG38">IFERROR(VLOOKUP($A38,TRANSPOSE('[1]Fur 1 PLC'!$CL$1:$DP$38),6,0),0)</f>
        <v>0</v>
      </c>
      <c r="DH38" s="54" cm="1">
        <f t="array" ref="DH38">IFERROR(VLOOKUP($A38,TRANSPOSE('[1]Fur 1 PLC'!$CL$1:$DP$38),21,0),0)</f>
        <v>0</v>
      </c>
      <c r="DI38" s="54" cm="1">
        <f t="array" ref="DI38">IFERROR(VLOOKUP($A38,TRANSPOSE('[1]Fur 1 PLC'!$CL$1:$DP$38),12,0),0)</f>
        <v>0</v>
      </c>
      <c r="DJ38" s="54" cm="1">
        <f t="array" ref="DJ38">IFERROR(VLOOKUP($A38,TRANSPOSE('[1]Fur 1 PLC'!$CL$1:$DP$38),25,0),0)</f>
        <v>0</v>
      </c>
      <c r="DK38" s="54" cm="1">
        <f t="array" ref="DK38">IFERROR(VLOOKUP($A38,TRANSPOSE('[1]Fur 1 PLC'!$CL$1:$DP$38),26,0),0)</f>
        <v>0</v>
      </c>
      <c r="DL38" s="54" cm="1">
        <f t="array" ref="DL38">IFERROR(VLOOKUP($A38,TRANSPOSE('[1]Fur 1 PLC'!$CL$1:$DP$38),27,0),0)</f>
        <v>202.07272727272729</v>
      </c>
      <c r="DM38" s="54" cm="1">
        <f t="array" ref="DM38">IFERROR(VLOOKUP($A38,TRANSPOSE('[1]Fur 1 PLC'!$CL$1:$DP$38),22,0),0)</f>
        <v>0</v>
      </c>
      <c r="DN38" s="54" cm="1">
        <f t="array" ref="DN38">IFERROR(VLOOKUP($A38,TRANSPOSE('[1]Fur 1 PLC'!$CL$1:$DP$38),19,0),0)</f>
        <v>0</v>
      </c>
      <c r="DO38" s="54" cm="1">
        <f t="array" ref="DO38">IFERROR(VLOOKUP($A38,TRANSPOSE('[1]Fur 1 PLC'!$CL$1:$DP$38),29,0),0)</f>
        <v>0</v>
      </c>
      <c r="DP38" s="54" cm="1">
        <f t="array" ref="DP38">IFERROR(VLOOKUP($A38,TRANSPOSE('[1]Fur 1 PLC'!$CL$1:$DP$38),10,0),0)</f>
        <v>0</v>
      </c>
      <c r="DQ38" s="54" cm="1">
        <f t="array" ref="DQ38">IFERROR(VLOOKUP($A38,TRANSPOSE('[1]Fur 1 PLC'!$CL$1:$DP$38),7,0),0)</f>
        <v>110.27272727272728</v>
      </c>
      <c r="DR38" s="54" cm="1">
        <f t="array" ref="DR38">IFERROR(VLOOKUP($A38,TRANSPOSE('[1]Fur 1 PLC'!$CL$1:$DP$38),35,0),0)</f>
        <v>85.072727272727278</v>
      </c>
      <c r="DS38" s="54" cm="1">
        <f t="array" ref="DS38">IFERROR(VLOOKUP($A38,TRANSPOSE('[1]Fur 1 PLC'!$CL$1:$DP$38),11,0),0)</f>
        <v>0</v>
      </c>
      <c r="DT38" s="54" cm="1">
        <f t="array" ref="DT38">IFERROR(VLOOKUP($A38,TRANSPOSE('[1]Fur 1 PLC'!$CL$1:$DP$38),19,0),0)</f>
        <v>0</v>
      </c>
      <c r="DU38" s="54" cm="1">
        <f t="array" ref="DU38">IFERROR(VLOOKUP($A38,TRANSPOSE('[1]Fur 1 PLC'!$CL$1:$DP$38),18,0),0)</f>
        <v>225.09090909090909</v>
      </c>
      <c r="DV38" s="54" cm="1">
        <f t="array" ref="DV38">IFERROR(VLOOKUP($A38,TRANSPOSE('[1]Fur 1 PLC'!$CL$1:$DP$38),15,0),0)</f>
        <v>68</v>
      </c>
      <c r="DW38" t="str">
        <f>TEXT(C38,"Mmm-yy")</f>
        <v>Dec-25</v>
      </c>
    </row>
    <row r="39" spans="1:127" x14ac:dyDescent="0.3">
      <c r="A39" s="28" t="str">
        <f t="shared" si="1"/>
        <v>F246001</v>
      </c>
      <c r="B39" s="29" t="s">
        <v>27</v>
      </c>
      <c r="C39" s="30">
        <f>C38</f>
        <v>46001</v>
      </c>
      <c r="D39" s="29" t="str">
        <f>VLOOKUP($B39&amp;$C39,'[1]FC2 Prod'!$A$6:$BP$36,[2]Consolidated!D$1)</f>
        <v>Mr. Girish Malik</v>
      </c>
      <c r="E39" s="29">
        <f>VLOOKUP($B39&amp;$C39,'[1]FC2 Prod'!$A$6:$BP$36,[2]Consolidated!E$1)</f>
        <v>31.380000000000003</v>
      </c>
      <c r="F39" s="29">
        <f>VLOOKUP($B39&amp;$C39,'[1]FC2 Prod'!$A$6:$BP$36,[2]Consolidated!F$1)</f>
        <v>0.27999999999999758</v>
      </c>
      <c r="G39" s="29">
        <f>VLOOKUP($B39&amp;$C39,'[1]FC2 Prod'!$A$6:$BP$36,[2]Consolidated!G$1)</f>
        <v>31.66</v>
      </c>
      <c r="H39" s="32">
        <f>VLOOKUP($B39&amp;$C39,'[1]FC2 Prod'!$A$6:$BP$36,[2]Consolidated!H$1)</f>
        <v>24.019999999999996</v>
      </c>
      <c r="I39" s="32">
        <f>VLOOKUP($B39&amp;$C39,'[1]FC2 Prod'!$A$6:$BP$36,[2]Consolidated!I$1)</f>
        <v>6.27</v>
      </c>
      <c r="J39" s="32">
        <f>VLOOKUP($B39&amp;$C39,'[1]FC2 Prod'!$A$6:$BP$36,[2]Consolidated!J$1)</f>
        <v>40.880000000000003</v>
      </c>
      <c r="K39" s="32">
        <f>VLOOKUP($B39&amp;$C39,'[1]FC2 Prod'!$A$6:$BP$36,[2]Consolidated!K$1)</f>
        <v>1.42</v>
      </c>
      <c r="L39" s="32">
        <f>VLOOKUP($B39&amp;$C39,'[1]FC2 Prod'!$A$6:$BP$36,[2]Consolidated!L$1)</f>
        <v>28.02</v>
      </c>
      <c r="M39" s="32">
        <f>VLOOKUP($B39&amp;$C39,'[1]FC2 Prod'!$A$6:$BP$36,[2]Consolidated!M$1)</f>
        <v>4.8499999999999996</v>
      </c>
      <c r="N39" s="32">
        <f>VLOOKUP($B39&amp;$C39,'[1]FC2 Prod'!$A$6:$BP$36,[2]Consolidated!N$1)</f>
        <v>15.21</v>
      </c>
      <c r="O39" s="32">
        <f>VLOOKUP($B39&amp;$C39,'[1]FC2 Prod'!$A$6:$BP$36,[2]Consolidated!O$1)</f>
        <v>0.8</v>
      </c>
      <c r="P39" s="34">
        <f>VLOOKUP($B39&amp;$C39,'[1]FC2 Prod'!$A$6:$BP$36,[2]Consolidated!P$1)</f>
        <v>9</v>
      </c>
      <c r="Q39" s="29">
        <f>VLOOKUP($B39&amp;$C39,'[1]FC2 Prod'!$A$6:$BP$36,[2]Consolidated!Q$1)</f>
        <v>62.161000000000001</v>
      </c>
      <c r="R39" s="29">
        <f>VLOOKUP($B39&amp;$C39,'[1]FC2 Prod'!$A$6:$BP$36,[2]Consolidated!R$1)</f>
        <v>19.558</v>
      </c>
      <c r="S39" s="34">
        <f>VLOOKUP($B39&amp;$C39,'[1]FC2 Prod'!$A$6:$BP$36,[2]Consolidated!S$1)</f>
        <v>28</v>
      </c>
      <c r="T39" s="34">
        <f>VLOOKUP($B39&amp;$C39,'[1]FC2 Prod'!$A$6:$BP$36,[2]Consolidated!T$1)</f>
        <v>22</v>
      </c>
      <c r="U39" s="34">
        <f>VLOOKUP($B39&amp;$C39,'[1]FC2 Prod'!$A$6:$BP$36,[2]Consolidated!U$1)</f>
        <v>20</v>
      </c>
      <c r="V39" s="34">
        <f>VLOOKUP($B39&amp;$C39,'[1]FC2 Prod'!$A$6:$BP$36,[2]Consolidated!V$1)</f>
        <v>70</v>
      </c>
      <c r="W39" s="29">
        <f>VLOOKUP($B39&amp;$C39,'[1]FC2 Prod'!$A$6:$BP$36,[2]Consolidated!W$1)</f>
        <v>1.9809114085404715</v>
      </c>
      <c r="X39" s="35">
        <f>VLOOKUP($B39&amp;$C39,'[1]FC2 Prod'!$A$6:$BP$36,[2]Consolidated!X$1)</f>
        <v>32.64</v>
      </c>
      <c r="Y39" s="36">
        <f>VLOOKUP($B39&amp;$C39,'[1]FC2 Prod'!$A$6:$BP$36,[2]Consolidated!Y$1)</f>
        <v>0.96139705882352944</v>
      </c>
      <c r="Z39" s="37" t="str">
        <f>VLOOKUP($B39&amp;$C39,'[1]FC2 Prod'!$A$6:$BP$36,[2]Consolidated!Z$1)</f>
        <v>55/22</v>
      </c>
      <c r="AA39" s="31">
        <f>VLOOKUP($B39&amp;$C39,'[1]FC2 Prod'!$A$6:$BP$36,[2]Consolidated!AA$1)</f>
        <v>55.097777777777793</v>
      </c>
      <c r="AB39" s="31">
        <f>VLOOKUP($B39&amp;$C39,'[1]FC2 Prod'!$A$6:$BP$36,[2]Consolidated!AB$1)</f>
        <v>21.523333333333326</v>
      </c>
      <c r="AC39" s="31">
        <f>VLOOKUP($B39&amp;$C39,'[1]FC2 Prod'!$A$6:$BP$36,[2]Consolidated!AC$1)</f>
        <v>0.45444444444444443</v>
      </c>
      <c r="AD39" s="38">
        <f>VLOOKUP($B39&amp;$C39,'[1]FC2 Prod'!$A$6:$BP$36,[2]Consolidated!AD$1)</f>
        <v>725.02049069471002</v>
      </c>
      <c r="AE39" s="38">
        <f>VLOOKUP($B39&amp;$C39,'[1]FC2 Prod'!$A$6:$BP$36,[2]Consolidated!AE$1)</f>
        <v>627.84182134799232</v>
      </c>
      <c r="AF39" s="39">
        <f>VLOOKUP($B39&amp;$C39,'[1]FC2 Prod'!$A$6:$BP$36,[2]Consolidated!AF$1)</f>
        <v>0.75994787023168753</v>
      </c>
      <c r="AG39" s="39">
        <f>VLOOKUP($B39&amp;$C39,'[1]FC2 Prod'!$A$6:$BP$36,[2]Consolidated!AG$1)</f>
        <v>0.87757418993659053</v>
      </c>
      <c r="AH39" s="34">
        <f>VLOOKUP($B39&amp;$C39,'[1]FC2 Prod'!$A$6:$BP$36,[2]Consolidated!AH$1)</f>
        <v>546.94567750159331</v>
      </c>
      <c r="AI39" s="33">
        <f>VLOOKUP($B39&amp;$C39,'[1]FC2 Prod'!$A$6:$BP$36,[2]Consolidated!AI$1)</f>
        <v>459.26890452517529</v>
      </c>
      <c r="AJ39" s="39">
        <f>VLOOKUP($B39&amp;$C39,'[1]FC2 Prod'!$A$6:$BP$36,[2]Consolidated!AJ$1)</f>
        <v>0.45012306191436507</v>
      </c>
      <c r="AK39" s="39">
        <f>VLOOKUP($B39&amp;$C39,'[1]FC2 Prod'!$A$6:$BP$36,[2]Consolidated!AK$1)</f>
        <v>0.47482338754562731</v>
      </c>
      <c r="AL39" s="40" t="str">
        <f>VLOOKUP($B39&amp;$C39,'[1]FC2 Prod'!$A$6:$BP$36,[2]Consolidated!AL$1)</f>
        <v>10/70</v>
      </c>
      <c r="AM39" s="41">
        <f>VLOOKUP($B39&amp;$C39,'[1]FC2 Prod'!$A$6:$BP$36,[2]Consolidated!AM$1)</f>
        <v>2.708731676226896E-2</v>
      </c>
      <c r="AN39" s="42">
        <f>VLOOKUP($B39&amp;$C39,'[1]FC2 Prod'!$A$6:$BP$36,[2]Consolidated!AN$1)</f>
        <v>146.1</v>
      </c>
      <c r="AO39" s="43">
        <f>VLOOKUP($B39&amp;$C39,'[1]FC2 Prod'!$A$6:$BP$36,[2]Consolidated!AO$1)</f>
        <v>6.2140000000000004</v>
      </c>
      <c r="AP39" s="44">
        <f>VLOOKUP($B39&amp;$C39,'[1]FC2 Prod'!$A$6:$BP$36,[2]Consolidated!AP$1)</f>
        <v>4.853855959209687</v>
      </c>
      <c r="AQ39" s="44">
        <f>VLOOKUP($B39&amp;$C39,'[1]FC2 Prod'!$A$6:$BP$36,[2]Consolidated!AQ$1)</f>
        <v>29.06194883452325</v>
      </c>
      <c r="AR39" s="45">
        <f>VLOOKUP($B39&amp;$C39,'[1]FC2 Prod'!$A$6:$BP$36,[2]Consolidated!AR$1)</f>
        <v>0.99795081967213128</v>
      </c>
      <c r="AS39" s="46">
        <f>VLOOKUP($B39&amp;$C39,'[1]FC2 Prod'!$A$6:$BP$36,[2]Consolidated!AS$1)</f>
        <v>2.1700000000000004</v>
      </c>
      <c r="AT39" s="29">
        <f>VLOOKUP($B39&amp;$C39,'[1]FC2 Prod'!$A$6:$BP$36,[2]Consolidated!AT$1)</f>
        <v>0.780035178275157</v>
      </c>
      <c r="AU39" s="34">
        <f>VLOOKUP($B39&amp;$C39,'[1]FC2 Prod'!$A$6:$BP$36,[2]Consolidated!AU$1)</f>
        <v>505.18327183271839</v>
      </c>
      <c r="AV39" s="34">
        <f>VLOOKUP($B39&amp;$C39,'[1]FC2 Prod'!$A$6:$BP$36,[2]Consolidated!AV$1)</f>
        <v>291.66666666666669</v>
      </c>
      <c r="AW39" s="47">
        <f>VLOOKUP($B39&amp;$C39,'[1]FC2 Prod'!$A$6:$BP$36,[2]Consolidated!AW$1)</f>
        <v>28622.474506054808</v>
      </c>
      <c r="AX39" s="47">
        <f>VLOOKUP($B39&amp;$C39,'[1]FC2 Prod'!$A$6:$BP$36,[2]Consolidated!AX$1)</f>
        <v>16734.990439770554</v>
      </c>
      <c r="AY39" s="48">
        <f>VLOOKUP($B39&amp;$C39,'[1]FC2 Prod'!$A$6:$BP$36,[2]Consolidated!AY$1)</f>
        <v>1890.344168260038</v>
      </c>
      <c r="AZ39" s="47">
        <f>VLOOKUP($B39&amp;$C39,'[1]FC2 Prod'!$A$6:$BP$36,[2]Consolidated!AZ$1)</f>
        <v>1399.0551306564689</v>
      </c>
      <c r="BA39" s="47">
        <f>VLOOKUP($B39&amp;$C39,'[1]FC2 Prod'!$A$6:$BP$36,[2]Consolidated!BA$1)</f>
        <v>28395.057361376668</v>
      </c>
      <c r="BB39" s="47">
        <f>VLOOKUP($B39&amp;$C39,'[1]FC2 Prod'!$A$6:$BP$36,[2]Consolidated!BB$1)</f>
        <v>770.41921606118535</v>
      </c>
      <c r="BC39" s="47">
        <f>VLOOKUP($B39&amp;$C39,'[1]FC2 Prod'!$A$6:$BP$36,[2]Consolidated!BC$1)</f>
        <v>9222.3263224984057</v>
      </c>
      <c r="BD39" s="49">
        <f>VLOOKUP($B39&amp;$C39,'[1]FC2 Prod'!$A$6:$BP$36,[2]Consolidated!BD$1)</f>
        <v>87034.667144678126</v>
      </c>
      <c r="BE39" s="47">
        <f>VLOOKUP($B39&amp;$C39,'[1]FC2 Prod'!$A$6:$BP$36,[2]Consolidated!BE$1)</f>
        <v>24761.660803059269</v>
      </c>
      <c r="BF39" s="47">
        <f>VLOOKUP($B39&amp;$C39,'[1]FC2 Prod'!$A$6:$BP$36,[2]Consolidated!BF$1)</f>
        <v>14091.956660293179</v>
      </c>
      <c r="BG39" s="50">
        <f>VLOOKUP($B39&amp;$C39,'[1]FC2 Prod'!$A$6:$BP$36,[2]Consolidated!BG$1)</f>
        <v>1828.3938814531548</v>
      </c>
      <c r="BH39" s="50">
        <f>VLOOKUP($B39&amp;$C39,'[1]FC2 Prod'!$A$6:$BP$36,[2]Consolidated!BH$1)</f>
        <v>704.76123836838747</v>
      </c>
      <c r="BI39" s="50">
        <f>VLOOKUP($B39&amp;$C39,'[1]FC2 Prod'!$A$6:$BP$36,[2]Consolidated!BI$1)</f>
        <v>80403.211397705541</v>
      </c>
      <c r="BJ39" s="37" t="e">
        <f>VLOOKUP($B39&amp;$C39,'[1]FC2 Prod'!$A$6:$BP$36,[2]Consolidated!BJ$1)</f>
        <v>#REF!</v>
      </c>
      <c r="BK39" s="37" t="e">
        <f>VLOOKUP($B39&amp;$C39,'[1]FC2 Prod'!$A$6:$BP$36,[2]Consolidated!BK$1)</f>
        <v>#REF!</v>
      </c>
      <c r="BL39" s="37" t="e">
        <f>VLOOKUP($B39&amp;$C39,'[1]FC2 Prod'!$A$6:$BP$36,[2]Consolidated!BL$1)</f>
        <v>#REF!</v>
      </c>
      <c r="BM39" s="37" t="e">
        <f>VLOOKUP($B39&amp;$C39,'[1]FC2 Prod'!$A$6:$BP$36,[2]Consolidated!BM$1)</f>
        <v>#REF!</v>
      </c>
      <c r="BN39" s="37" t="e">
        <f>VLOOKUP($B39&amp;$C39,'[1]FC2 Prod'!$A$6:$BP$36,[2]Consolidated!BN$1)</f>
        <v>#REF!</v>
      </c>
      <c r="BO39" s="37" t="e">
        <f>VLOOKUP($B39&amp;$C39,'[1]FC2 Prod'!$A$6:$BP$36,[2]Consolidated!BO$1)</f>
        <v>#REF!</v>
      </c>
      <c r="BP39" s="37" t="str">
        <f>VLOOKUP($B39&amp;$C39,'[1]FC2 Prod'!$A$6:$BP$36,[2]Consolidated!BP$1)</f>
        <v>NIL</v>
      </c>
      <c r="BQ39" s="29" t="e">
        <f>VLOOKUP($B39&amp;$C39,'[1]FC2 Prod'!$A$6:$BP$36,[2]Consolidated!BQ$1)</f>
        <v>#REF!</v>
      </c>
      <c r="BR39" s="51">
        <f>VLOOKUP($B39&amp;$C39,'[1]FC2 Prod'!$A$6:$BQ$36,[2]Consolidated!BR$1)</f>
        <v>69902</v>
      </c>
      <c r="BS39" s="52">
        <f t="shared" si="44"/>
        <v>69077.068706182268</v>
      </c>
      <c r="BT39" s="32">
        <f>BR39-BS39</f>
        <v>824.93129381773178</v>
      </c>
      <c r="BU39" s="37">
        <f>E39*BT39</f>
        <v>25886.344000000427</v>
      </c>
      <c r="BV39" s="53" t="s">
        <v>131</v>
      </c>
      <c r="BW39" s="54" cm="1">
        <f t="array" ref="BW39">IFERROR(VLOOKUP($A39,TRANSPOSE('[1]Fur 2 PLC'!$AR$1:$BV$38),8,0),0)</f>
        <v>0</v>
      </c>
      <c r="BX39" s="54" cm="1">
        <f t="array" ref="BX39">IFERROR(VLOOKUP($A39,TRANSPOSE('[1]Fur 2 PLC'!$AR$1:$BV$38),30,0),0)</f>
        <v>0</v>
      </c>
      <c r="BY39" s="54" cm="1">
        <f t="array" ref="BY39">IFERROR(VLOOKUP($A39,TRANSPOSE('[1]Fur 2 PLC'!$AR$1:$BV$38),14,0),0)</f>
        <v>0</v>
      </c>
      <c r="BZ39" s="54" cm="1">
        <f t="array" ref="BZ39">IFERROR(VLOOKUP($A39,TRANSPOSE('[1]Fur 2 PLC'!$AR$1:$BV$38),16,0),0)</f>
        <v>0</v>
      </c>
      <c r="CA39" s="54" cm="1">
        <f t="array" ref="CA39">IFERROR(VLOOKUP($A39,TRANSPOSE('[1]Fur 2 PLC'!$AR$1:$BV$38),9,0),0)</f>
        <v>504.65264499681319</v>
      </c>
      <c r="CB39" s="54" cm="1">
        <f t="array" ref="CB39">IFERROR(VLOOKUP($A39,TRANSPOSE('[1]Fur 2 PLC'!$AR$1:$BV$38),17,0),0)</f>
        <v>401.68897386870617</v>
      </c>
      <c r="CC39" s="54" cm="1">
        <f t="array" ref="CC39">IFERROR(VLOOKUP($A39,TRANSPOSE('[1]Fur 2 PLC'!$AR$1:$BV$38),20,0),0)</f>
        <v>0</v>
      </c>
      <c r="CD39" s="54" cm="1">
        <f t="array" ref="CD39">IFERROR(VLOOKUP($A39,TRANSPOSE('[1]Fur 2 PLC'!$AR$1:$BV$38),28,0),0)</f>
        <v>127.40599107711917</v>
      </c>
      <c r="CE39" s="54" cm="1">
        <f t="array" ref="CE39">IFERROR(VLOOKUP($A39,TRANSPOSE('[1]Fur 2 PLC'!$AR$1:$BV$38),13,0),0)</f>
        <v>0</v>
      </c>
      <c r="CF39" s="54" cm="1">
        <f t="array" ref="CF39">IFERROR(VLOOKUP($A39,TRANSPOSE('[1]Fur 2 PLC'!$AR$1:$BV$38),37,0),0)</f>
        <v>677.18291905672402</v>
      </c>
      <c r="CG39" s="54" cm="1">
        <f t="array" ref="CG39">IFERROR(VLOOKUP($A39,TRANSPOSE('[1]Fur 2 PLC'!$AR$1:$BV$38),6,0),0)</f>
        <v>0</v>
      </c>
      <c r="CH39" s="54" cm="1">
        <f t="array" ref="CH39">IFERROR(VLOOKUP($A39,TRANSPOSE('[1]Fur 2 PLC'!$AR$1:$BV$38),21,0),0)</f>
        <v>0</v>
      </c>
      <c r="CI39" s="54" cm="1">
        <f t="array" ref="CI39">IFERROR(VLOOKUP($A39,TRANSPOSE('[1]Fur 2 PLC'!$AR$1:$BV$38),12,0),0)</f>
        <v>0</v>
      </c>
      <c r="CJ39" s="54" cm="1">
        <f t="array" ref="CJ39">IFERROR(VLOOKUP($A39,TRANSPOSE('[1]Fur 2 PLC'!$AR$1:$BV$38),25,0),0)</f>
        <v>0</v>
      </c>
      <c r="CK39" s="54" cm="1">
        <f t="array" ref="CK39">IFERROR(VLOOKUP($A39,TRANSPOSE('[1]Fur 2 PLC'!$AR$1:$BV$38),26,0),0)</f>
        <v>0</v>
      </c>
      <c r="CL39" s="54" cm="1">
        <f t="array" ref="CL39">IFERROR(VLOOKUP($A39,TRANSPOSE('[1]Fur 2 PLC'!$AR$1:$BV$38),27,0),0)</f>
        <v>495.8572339069471</v>
      </c>
      <c r="CM39" s="54" cm="1">
        <f t="array" ref="CM39">IFERROR(VLOOKUP($A39,TRANSPOSE('[1]Fur 2 PLC'!$AR$1:$BV$38),22,0),0)</f>
        <v>0</v>
      </c>
      <c r="CN39" s="54"/>
      <c r="CO39" s="54" cm="1">
        <f t="array" ref="CO39">IFERROR(VLOOKUP($A39,TRANSPOSE('[1]Fur 2 PLC'!$AR$1:$BV$38),29,0),0)</f>
        <v>0</v>
      </c>
      <c r="CP39" s="54" cm="1">
        <f t="array" ref="CP39">IFERROR(VLOOKUP($A39,TRANSPOSE('[1]Fur 2 PLC'!$AR$1:$BV$38),10,0),0)</f>
        <v>0</v>
      </c>
      <c r="CQ39" s="54" cm="1">
        <f t="array" ref="CQ39">IFERROR(VLOOKUP($A39,TRANSPOSE('[1]Fur 2 PLC'!$AR$1:$BV$38),7,0),0)</f>
        <v>179.44550669216062</v>
      </c>
      <c r="CR39" s="54" cm="1">
        <f t="array" ref="CR39">IFERROR(VLOOKUP($A39,TRANSPOSE('[1]Fur 2 PLC'!$AR$1:$BV$38),35,0),0)</f>
        <v>0</v>
      </c>
      <c r="CS39" s="54" cm="1">
        <f t="array" ref="CS39">IFERROR(VLOOKUP($A39,TRANSPOSE('[1]Fur 2 PLC'!$AR$1:$BV$38),11,0),0)</f>
        <v>733.84321223709355</v>
      </c>
      <c r="CT39" s="54" cm="1">
        <f t="array" ref="CT39">IFERROR(VLOOKUP($A39,TRANSPOSE('[1]Fur 2 PLC'!$AR$1:$BV$38),19,0),0)</f>
        <v>0</v>
      </c>
      <c r="CU39" s="54" cm="1">
        <f t="array" ref="CU39">IFERROR(VLOOKUP($A39,TRANSPOSE('[1]Fur 2 PLC'!$AR$1:$BV$38),18,0),0)</f>
        <v>0</v>
      </c>
      <c r="CV39" s="54" cm="1">
        <f t="array" ref="CV39">IFERROR(VLOOKUP($A39,TRANSPOSE('[1]Fur 2 PLC'!$AR$1:$BV$38),15,0),0)</f>
        <v>340.72657743785851</v>
      </c>
      <c r="CW39" s="54" cm="1">
        <f t="array" ref="CW39">IFERROR(VLOOKUP($A39,TRANSPOSE('[1]Fur 2 PLC'!$CI$1:$DM$38),8,0),0)</f>
        <v>0</v>
      </c>
      <c r="CX39" s="54" cm="1">
        <f t="array" ref="CX39">IFERROR(VLOOKUP($A39,TRANSPOSE('[1]Fur 2 PLC'!$CI$1:$DM$38),30,0),0)</f>
        <v>0</v>
      </c>
      <c r="CY39" s="54" cm="1">
        <f t="array" ref="CY39">IFERROR(VLOOKUP($A39,TRANSPOSE('[1]Fur 2 PLC'!$CI$1:$DM$38),14,0),0)</f>
        <v>0</v>
      </c>
      <c r="CZ39" s="54" cm="1">
        <f t="array" ref="CZ39">IFERROR(VLOOKUP($A39,TRANSPOSE('[1]Fur 2 PLC'!$CI$1:$DM$38),16,0),0)</f>
        <v>0</v>
      </c>
      <c r="DA39" s="54" cm="1">
        <f t="array" ref="DA39">IFERROR(VLOOKUP($A39,TRANSPOSE('[1]Fur 2 PLC'!$CI$1:$DM$38),9,0),0)</f>
        <v>226.22857142857146</v>
      </c>
      <c r="DB39" s="55" cm="1">
        <f t="array" ref="DB39">IFERROR(VLOOKUP($A39,TRANSPOSE('[1]Fur 2 PLC'!$CI$1:$DM$38),17,0),0)</f>
        <v>180.07142857142858</v>
      </c>
      <c r="DC39" s="55" cm="1">
        <f t="array" ref="DC39">IFERROR(VLOOKUP($A39,TRANSPOSE('[1]Fur 2 PLC'!$CI$1:$DM$38),20,0),0)</f>
        <v>0</v>
      </c>
      <c r="DD39" s="54" cm="1">
        <f t="array" ref="DD39">IFERROR(VLOOKUP($A39,TRANSPOSE('[1]Fur 2 PLC'!$CI$1:$DM$38),28,0),0)</f>
        <v>57.114285714285714</v>
      </c>
      <c r="DE39" s="54" cm="1">
        <f t="array" ref="DE39">IFERROR(VLOOKUP($A39,TRANSPOSE('[1]Fur 2 PLC'!$CI$1:$DM$38),13,0),0)</f>
        <v>0</v>
      </c>
      <c r="DF39" s="54" cm="1">
        <f t="array" ref="DF39">IFERROR(VLOOKUP($A39,TRANSPOSE('[1]Fur 2 PLC'!$CI$1:$DM$38),37,0),0)</f>
        <v>303.57142857142856</v>
      </c>
      <c r="DG39" s="54" cm="1">
        <f t="array" ref="DG39">IFERROR(VLOOKUP($A39,TRANSPOSE('[1]Fur 2 PLC'!$CI$1:$DM$38),6,0),0)</f>
        <v>0</v>
      </c>
      <c r="DH39" s="54" cm="1">
        <f t="array" ref="DH39">IFERROR(VLOOKUP($A39,TRANSPOSE('[1]Fur 2 PLC'!$CI$1:$DM$38),21,0),0)</f>
        <v>0</v>
      </c>
      <c r="DI39" s="54" cm="1">
        <f t="array" ref="DI39">IFERROR(VLOOKUP($A39,TRANSPOSE('[1]Fur 2 PLC'!$CI$1:$DM$38),12,0),0)</f>
        <v>0</v>
      </c>
      <c r="DJ39" s="54" cm="1">
        <f t="array" ref="DJ39">IFERROR(VLOOKUP($A39,TRANSPOSE('[1]Fur 2 PLC'!$CI$1:$DM$38),25,0),0)</f>
        <v>0</v>
      </c>
      <c r="DK39" s="54" cm="1">
        <f t="array" ref="DK39">IFERROR(VLOOKUP($A39,TRANSPOSE('[1]Fur 2 PLC'!$CI$1:$DM$38),26,0),0)</f>
        <v>0</v>
      </c>
      <c r="DL39" s="54" cm="1">
        <f t="array" ref="DL39">IFERROR(VLOOKUP($A39,TRANSPOSE('[1]Fur 2 PLC'!$CI$1:$DM$38),27,0),0)</f>
        <v>222.28571428571428</v>
      </c>
      <c r="DM39" s="54" cm="1">
        <f t="array" ref="DM39">IFERROR(VLOOKUP($A39,TRANSPOSE('[1]Fur 2 PLC'!$CI$1:$DM$38),22,0),0)</f>
        <v>0</v>
      </c>
      <c r="DN39" s="54" cm="1">
        <f t="array" ref="DN39">IFERROR(VLOOKUP($A39,TRANSPOSE('[1]Fur 2 PLC'!$CI$1:$DM$38),19,0),0)</f>
        <v>0</v>
      </c>
      <c r="DO39" s="54" cm="1">
        <f t="array" ref="DO39">IFERROR(VLOOKUP($A39,TRANSPOSE('[1]Fur 2 PLC'!$CI$1:$DM$38),29,0),0)</f>
        <v>0</v>
      </c>
      <c r="DP39" s="54" cm="1">
        <f t="array" ref="DP39">IFERROR(VLOOKUP($A39,TRANSPOSE('[1]Fur 2 PLC'!$CI$1:$DM$38),10,0),0)</f>
        <v>0</v>
      </c>
      <c r="DQ39" s="54" cm="1">
        <f t="array" ref="DQ39">IFERROR(VLOOKUP($A39,TRANSPOSE('[1]Fur 2 PLC'!$CI$1:$DM$38),7,0),0)</f>
        <v>80.44285714285715</v>
      </c>
      <c r="DR39" s="54" cm="1">
        <f t="array" ref="DR39">IFERROR(VLOOKUP($A39,TRANSPOSE('[1]Fur 2 PLC'!$CI$1:$DM$38),35,0),0)</f>
        <v>0</v>
      </c>
      <c r="DS39" s="54" cm="1">
        <f t="array" ref="DS39">IFERROR(VLOOKUP($A39,TRANSPOSE('[1]Fur 2 PLC'!$CI$1:$DM$38),11,0),0)</f>
        <v>328.97142857142853</v>
      </c>
      <c r="DT39" s="54" cm="1">
        <f t="array" ref="DT39">IFERROR(VLOOKUP($A39,TRANSPOSE('[1]Fur 2 PLC'!$CI$1:$DM$38),19,0),0)</f>
        <v>0</v>
      </c>
      <c r="DU39" s="54" cm="1">
        <f t="array" ref="DU39">IFERROR(VLOOKUP($A39,TRANSPOSE('[1]Fur 2 PLC'!$CI$1:$DM$38),18,0),0)</f>
        <v>0</v>
      </c>
      <c r="DV39" s="54" cm="1">
        <f t="array" ref="DV39">IFERROR(VLOOKUP($A39,TRANSPOSE('[1]Fur 2 PLC'!$CI$1:$DM$38),15,0),0)</f>
        <v>152.74285714285716</v>
      </c>
      <c r="DW39" t="str">
        <f t="shared" ref="DW39:DW41" si="45">TEXT(C39,"Mmm-yy")</f>
        <v>Dec-25</v>
      </c>
    </row>
    <row r="40" spans="1:127" x14ac:dyDescent="0.3">
      <c r="A40" s="28" t="str">
        <f t="shared" si="1"/>
        <v>F346001</v>
      </c>
      <c r="B40" s="29" t="s">
        <v>28</v>
      </c>
      <c r="C40" s="30">
        <f>C39</f>
        <v>46001</v>
      </c>
      <c r="D40" s="29" t="str">
        <f>VLOOKUP($B40&amp;$C40,'[1]FC3 Prod'!$A$6:$BP$36,[2]Consolidated!D$1)</f>
        <v>Mr. Ajay Singh</v>
      </c>
      <c r="E40" s="29">
        <f>VLOOKUP($B40&amp;$C40,'[1]FC3 Prod'!$A$6:$BP$36,[2]Consolidated!E$1)</f>
        <v>36.959999999999994</v>
      </c>
      <c r="F40" s="31">
        <f>VLOOKUP($B40&amp;$C40,'[1]FC3 Prod'!$A$6:$BP$36,[2]Consolidated!F$1)</f>
        <v>0.29000000000000625</v>
      </c>
      <c r="G40" s="32">
        <f>VLOOKUP($B40&amp;$C40,'[1]FC3 Prod'!$A$6:$BP$36,[2]Consolidated!G$1)</f>
        <v>37.25</v>
      </c>
      <c r="H40" s="32">
        <f>VLOOKUP($B40&amp;$C40,'[1]FC3 Prod'!$A$6:$BP$36,[2]Consolidated!H$1)</f>
        <v>28.637000000000004</v>
      </c>
      <c r="I40" s="32">
        <f>VLOOKUP($B40&amp;$C40,'[1]FC3 Prod'!$A$6:$BP$36,[2]Consolidated!I$1)</f>
        <v>10.37</v>
      </c>
      <c r="J40" s="32">
        <f>VLOOKUP($B40&amp;$C40,'[1]FC3 Prod'!$A$6:$BP$36,[2]Consolidated!J$1)</f>
        <v>38.68</v>
      </c>
      <c r="K40" s="32">
        <f>VLOOKUP($B40&amp;$C40,'[1]FC3 Prod'!$A$6:$BP$36,[2]Consolidated!K$1)</f>
        <v>1.38</v>
      </c>
      <c r="L40" s="32">
        <f>VLOOKUP($B40&amp;$C40,'[1]FC3 Prod'!$A$6:$BP$36,[2]Consolidated!L$1)</f>
        <v>25.82</v>
      </c>
      <c r="M40" s="32">
        <f>VLOOKUP($B40&amp;$C40,'[1]FC3 Prod'!$A$6:$BP$36,[2]Consolidated!M$1)</f>
        <v>4.66</v>
      </c>
      <c r="N40" s="32">
        <f>VLOOKUP($B40&amp;$C40,'[1]FC3 Prod'!$A$6:$BP$36,[2]Consolidated!N$1)</f>
        <v>15.82</v>
      </c>
      <c r="O40" s="32">
        <f>VLOOKUP($B40&amp;$C40,'[1]FC3 Prod'!$A$6:$BP$36,[2]Consolidated!O$1)</f>
        <v>0.79</v>
      </c>
      <c r="P40" s="33">
        <f>VLOOKUP($B40&amp;$C40,'[1]FC3 Prod'!$A$6:$BP$36,[2]Consolidated!P$1)</f>
        <v>8</v>
      </c>
      <c r="Q40" s="29">
        <f>VLOOKUP($B40&amp;$C40,'[1]FC3 Prod'!$A$6:$BP$36,[2]Consolidated!Q$1)</f>
        <v>76.384</v>
      </c>
      <c r="R40" s="29">
        <f>VLOOKUP($B40&amp;$C40,'[1]FC3 Prod'!$A$6:$BP$36,[2]Consolidated!R$1)</f>
        <v>25.606000000000002</v>
      </c>
      <c r="S40" s="34">
        <f>VLOOKUP($B40&amp;$C40,'[1]FC3 Prod'!$A$6:$BP$36,[2]Consolidated!S$1)</f>
        <v>34</v>
      </c>
      <c r="T40" s="34">
        <f>VLOOKUP($B40&amp;$C40,'[1]FC3 Prod'!$A$6:$BP$36,[2]Consolidated!T$1)</f>
        <v>24</v>
      </c>
      <c r="U40" s="34">
        <f>VLOOKUP($B40&amp;$C40,'[1]FC3 Prod'!$A$6:$BP$36,[2]Consolidated!U$1)</f>
        <v>14</v>
      </c>
      <c r="V40" s="34">
        <f>VLOOKUP($B40&amp;$C40,'[1]FC3 Prod'!$A$6:$BP$36,[2]Consolidated!V$1)</f>
        <v>72</v>
      </c>
      <c r="W40" s="35">
        <f>VLOOKUP($B40&amp;$C40,'[1]FC3 Prod'!$A$6:$BP$36,[2]Consolidated!W$1)</f>
        <v>2.0666666666666669</v>
      </c>
      <c r="X40" s="35">
        <f>VLOOKUP($B40&amp;$C40,'[1]FC3 Prod'!$A$6:$BP$36,[2]Consolidated!X$1)</f>
        <v>38.4</v>
      </c>
      <c r="Y40" s="36">
        <f>VLOOKUP($B40&amp;$C40,'[1]FC3 Prod'!$A$6:$BP$36,[2]Consolidated!Y$1)</f>
        <v>0.96249999999999991</v>
      </c>
      <c r="Z40" s="37" t="str">
        <f>VLOOKUP($B40&amp;$C40,'[1]FC3 Prod'!$A$6:$BP$36,[2]Consolidated!Z$1)</f>
        <v>60/15</v>
      </c>
      <c r="AA40" s="31">
        <f>VLOOKUP($B40&amp;$C40,'[1]FC3 Prod'!$A$6:$BP$36,[2]Consolidated!AA$1)</f>
        <v>59.641249999999999</v>
      </c>
      <c r="AB40" s="31">
        <f>VLOOKUP($B40&amp;$C40,'[1]FC3 Prod'!$A$6:$BP$36,[2]Consolidated!AB$1)</f>
        <v>15.257499999999999</v>
      </c>
      <c r="AC40" s="31" t="e">
        <f>VLOOKUP($B40&amp;$C40,'[1]FC3 Prod'!$A$6:$BP$36,[2]Consolidated!AC$1)</f>
        <v>#REF!</v>
      </c>
      <c r="AD40" s="38">
        <f>VLOOKUP($B40&amp;$C40,'[1]FC3 Prod'!$A$6:$BP$36,[2]Consolidated!AD$1)</f>
        <v>672.82950102813868</v>
      </c>
      <c r="AE40" s="38">
        <f>VLOOKUP($B40&amp;$C40,'[1]FC3 Prod'!$A$6:$BP$36,[2]Consolidated!AE$1)</f>
        <v>672.78852971861488</v>
      </c>
      <c r="AF40" s="39">
        <f>VLOOKUP($B40&amp;$C40,'[1]FC3 Prod'!$A$6:$BP$36,[2]Consolidated!AF$1)</f>
        <v>0.88642441969121855</v>
      </c>
      <c r="AG40" s="39">
        <f>VLOOKUP($B40&amp;$C40,'[1]FC3 Prod'!$A$6:$BP$36,[2]Consolidated!AG$1)</f>
        <v>0.88647840094634456</v>
      </c>
      <c r="AH40" s="34">
        <f>VLOOKUP($B40&amp;$C40,'[1]FC3 Prod'!$A$6:$BP$36,[2]Consolidated!AH$1)</f>
        <v>313.27306547619054</v>
      </c>
      <c r="AI40" s="33">
        <f>VLOOKUP($B40&amp;$C40,'[1]FC3 Prod'!$A$6:$BP$36,[2]Consolidated!AI$1)</f>
        <v>409.27819940476195</v>
      </c>
      <c r="AJ40" s="39">
        <f>VLOOKUP($B40&amp;$C40,'[1]FC3 Prod'!$A$6:$BP$36,[2]Consolidated!AJ$1)</f>
        <v>0.53266395275402922</v>
      </c>
      <c r="AK40" s="39">
        <f>VLOOKUP($B40&amp;$C40,'[1]FC3 Prod'!$A$6:$BP$36,[2]Consolidated!AK$1)</f>
        <v>0.46295899266595686</v>
      </c>
      <c r="AL40" s="40" t="str">
        <f>VLOOKUP($B40&amp;$C40,'[1]FC3 Prod'!$A$6:$BP$36,[2]Consolidated!AL$1)</f>
        <v>25/50</v>
      </c>
      <c r="AM40" s="41">
        <f>VLOOKUP($B40&amp;$C40,'[1]FC3 Prod'!$A$6:$BP$36,[2]Consolidated!AM$1)</f>
        <v>3.5984848484848495E-2</v>
      </c>
      <c r="AN40" s="42">
        <f>VLOOKUP($B40&amp;$C40,'[1]FC3 Prod'!$A$6:$BP$36,[2]Consolidated!AN$1)</f>
        <v>144.30000000000001</v>
      </c>
      <c r="AO40" s="43">
        <f>VLOOKUP($B40&amp;$C40,'[1]FC3 Prod'!$A$6:$BP$36,[2]Consolidated!AO$1)</f>
        <v>6.2140000000000004</v>
      </c>
      <c r="AP40" s="44">
        <f>VLOOKUP($B40&amp;$C40,'[1]FC3 Prod'!$A$6:$BP$36,[2]Consolidated!AP$1)</f>
        <v>4.0723484848484857</v>
      </c>
      <c r="AQ40" s="44">
        <f>VLOOKUP($B40&amp;$C40,'[1]FC3 Prod'!$A$6:$BP$36,[2]Consolidated!AQ$1)</f>
        <v>29.243419016840726</v>
      </c>
      <c r="AR40" s="45">
        <f>VLOOKUP($B40&amp;$C40,'[1]FC3 Prod'!$A$6:$BP$36,[2]Consolidated!AR$1)</f>
        <v>0.98565573770491821</v>
      </c>
      <c r="AS40" s="46">
        <f>VLOOKUP($B40&amp;$C40,'[1]FC3 Prod'!$A$6:$BP$36,[2]Consolidated!AS$1)</f>
        <v>2.1433333333333331</v>
      </c>
      <c r="AT40" s="29">
        <f>VLOOKUP($B40&amp;$C40,'[1]FC3 Prod'!$A$6:$BP$36,[2]Consolidated!AT$1)</f>
        <v>0.79036849527863751</v>
      </c>
      <c r="AU40" s="34">
        <f>VLOOKUP($B40&amp;$C40,'[1]FC3 Prod'!$A$6:$BP$36,[2]Consolidated!AU$1)</f>
        <v>509.97908979089789</v>
      </c>
      <c r="AV40" s="34">
        <f>VLOOKUP($B40&amp;$C40,'[1]FC3 Prod'!$A$6:$BP$36,[2]Consolidated!AV$1)</f>
        <v>216.66666666666666</v>
      </c>
      <c r="AW40" s="47">
        <f>VLOOKUP($B40&amp;$C40,'[1]FC3 Prod'!$A$6:$BP$36,[2]Consolidated!AW$1)</f>
        <v>25992.003517316025</v>
      </c>
      <c r="AX40" s="47">
        <f>VLOOKUP($B40&amp;$C40,'[1]FC3 Prod'!$A$6:$BP$36,[2]Consolidated!AX$1)</f>
        <v>7206.9318181818198</v>
      </c>
      <c r="AY40" s="48">
        <f>VLOOKUP($B40&amp;$C40,'[1]FC3 Prod'!$A$6:$BP$36,[2]Consolidated!AY$1)</f>
        <v>848.13311688311705</v>
      </c>
      <c r="AZ40" s="47">
        <f>VLOOKUP($B40&amp;$C40,'[1]FC3 Prod'!$A$6:$BP$36,[2]Consolidated!AZ$1)</f>
        <v>2340.2468885281387</v>
      </c>
      <c r="BA40" s="47">
        <f>VLOOKUP($B40&amp;$C40,'[1]FC3 Prod'!$A$6:$BP$36,[2]Consolidated!BA$1)</f>
        <v>23823.23863636364</v>
      </c>
      <c r="BB40" s="47">
        <f>VLOOKUP($B40&amp;$C40,'[1]FC3 Prod'!$A$6:$BP$36,[2]Consolidated!BB$1)</f>
        <v>602.10553977272741</v>
      </c>
      <c r="BC40" s="47">
        <f>VLOOKUP($B40&amp;$C40,'[1]FC3 Prod'!$A$6:$BP$36,[2]Consolidated!BC$1)</f>
        <v>7737.4621212121228</v>
      </c>
      <c r="BD40" s="49">
        <f>VLOOKUP($B40&amp;$C40,'[1]FC3 Prod'!$A$6:$BP$36,[2]Consolidated!BD$1)</f>
        <v>68550.121638257595</v>
      </c>
      <c r="BE40" s="47">
        <f>VLOOKUP($B40&amp;$C40,'[1]FC3 Prod'!$A$6:$BP$36,[2]Consolidated!BE$1)</f>
        <v>26131.276920995675</v>
      </c>
      <c r="BF40" s="47">
        <f>VLOOKUP($B40&amp;$C40,'[1]FC3 Prod'!$A$6:$BP$36,[2]Consolidated!BF$1)</f>
        <v>9399.6466450216467</v>
      </c>
      <c r="BG40" s="50">
        <f>VLOOKUP($B40&amp;$C40,'[1]FC3 Prod'!$A$6:$BP$36,[2]Consolidated!BG$1)</f>
        <v>1053.8474025974026</v>
      </c>
      <c r="BH40" s="50">
        <f>VLOOKUP($B40&amp;$C40,'[1]FC3 Prod'!$A$6:$BP$36,[2]Consolidated!BH$1)</f>
        <v>627.48256493506506</v>
      </c>
      <c r="BI40" s="50">
        <f>VLOOKUP($B40&amp;$C40,'[1]FC3 Prod'!$A$6:$BP$36,[2]Consolidated!BI$1)</f>
        <v>71113.201179653697</v>
      </c>
      <c r="BJ40" s="37" t="e">
        <f>VLOOKUP($B40&amp;$C40,'[1]FC3 Prod'!$A$6:$BP$36,[2]Consolidated!BJ$1)</f>
        <v>#REF!</v>
      </c>
      <c r="BK40" s="37" t="e">
        <f>VLOOKUP($B40&amp;$C40,'[1]FC3 Prod'!$A$6:$BP$36,[2]Consolidated!BK$1)</f>
        <v>#REF!</v>
      </c>
      <c r="BL40" s="37" t="e">
        <f>VLOOKUP($B40&amp;$C40,'[1]FC3 Prod'!$A$6:$BP$36,[2]Consolidated!BL$1)</f>
        <v>#REF!</v>
      </c>
      <c r="BM40" s="37" t="e">
        <f>VLOOKUP($B40&amp;$C40,'[1]FC3 Prod'!$A$6:$BP$36,[2]Consolidated!BM$1)</f>
        <v>#REF!</v>
      </c>
      <c r="BN40" s="37" t="e">
        <f>VLOOKUP($B40&amp;$C40,'[1]FC3 Prod'!$A$6:$BP$36,[2]Consolidated!BN$1)</f>
        <v>#REF!</v>
      </c>
      <c r="BO40" s="37" t="e">
        <f>VLOOKUP($B40&amp;$C40,'[1]FC3 Prod'!$A$6:$BP$36,[2]Consolidated!BO$1)</f>
        <v>#REF!</v>
      </c>
      <c r="BP40" s="37" t="str">
        <f>VLOOKUP($B40&amp;$C40,'[1]FC3 Prod'!$A$6:$BP$36,[2]Consolidated!BP$1)</f>
        <v>NIL</v>
      </c>
      <c r="BQ40" s="51" t="e">
        <f>VLOOKUP($B40&amp;$C40,'[1]FC3 Prod'!$A$6:$BP$36,[2]Consolidated!BQ$1)</f>
        <v>#REF!</v>
      </c>
      <c r="BR40" s="51">
        <f>VLOOKUP($B40&amp;$C40,'[1]FC3 Prod'!$A$6:$BQ$36,[2]Consolidated!BR$1)</f>
        <v>60369</v>
      </c>
      <c r="BS40" s="52">
        <f t="shared" si="44"/>
        <v>60408.009604978361</v>
      </c>
      <c r="BT40" s="32">
        <f t="shared" ref="BT40:BT41" si="46">BR40-BS40</f>
        <v>-39.009604978360585</v>
      </c>
      <c r="BU40" s="37">
        <f t="shared" ref="BU40:BU41" si="47">E40*BT40</f>
        <v>-1441.795000000207</v>
      </c>
      <c r="BV40" s="53" t="s">
        <v>131</v>
      </c>
      <c r="BW40" s="54" cm="1">
        <f t="array" ref="BW40">IFERROR(VLOOKUP($A40,TRANSPOSE('[1]Fur 3 PLC'!$AS$1:$BX$38),8,0),0)</f>
        <v>886.5800865800868</v>
      </c>
      <c r="BX40" s="54" cm="1">
        <f t="array" ref="BX40">IFERROR(VLOOKUP($A40,TRANSPOSE('[1]Fur 3 PLC'!$AS$1:$BX$38),30,0),0)</f>
        <v>0</v>
      </c>
      <c r="BY40" s="54" cm="1">
        <f t="array" ref="BY40">IFERROR(VLOOKUP($A40,TRANSPOSE('[1]Fur 3 PLC'!$AS$1:$BX$38),14,0),0)</f>
        <v>0</v>
      </c>
      <c r="BZ40" s="54" cm="1">
        <f t="array" ref="BZ40">IFERROR(VLOOKUP($A40,TRANSPOSE('[1]Fur 3 PLC'!$AS$1:$BX$38),16,0),0)</f>
        <v>0</v>
      </c>
      <c r="CA40" s="54" cm="1">
        <f t="array" ref="CA40">IFERROR(VLOOKUP($A40,TRANSPOSE('[1]Fur 3 PLC'!$AS$1:$BX$38),9,0),0)</f>
        <v>409.11796536796544</v>
      </c>
      <c r="CB40" s="54" cm="1">
        <f t="array" ref="CB40">IFERROR(VLOOKUP($A40,TRANSPOSE('[1]Fur 3 PLC'!$AS$1:$BX$38),17,0),0)</f>
        <v>0</v>
      </c>
      <c r="CC40" s="54" cm="1">
        <f t="array" ref="CC40">IFERROR(VLOOKUP($A40,TRANSPOSE('[1]Fur 3 PLC'!$AS$1:$BX$38),20,0),0)</f>
        <v>48.944805194805198</v>
      </c>
      <c r="CD40" s="54" cm="1">
        <f t="array" ref="CD40">IFERROR(VLOOKUP($A40,TRANSPOSE('[1]Fur 3 PLC'!$AS$1:$BX$38),28,0),0)</f>
        <v>0</v>
      </c>
      <c r="CE40" s="54" cm="1">
        <f t="array" ref="CE40">IFERROR(VLOOKUP($A40,TRANSPOSE('[1]Fur 3 PLC'!$AS$1:$BX$38),13,0),0)</f>
        <v>0</v>
      </c>
      <c r="CF40" s="54" cm="1">
        <f t="array" ref="CF40">IFERROR(VLOOKUP($A40,TRANSPOSE('[1]Fur 3 PLC'!$AS$1:$BX$38),37,0),0)</f>
        <v>390.31385281385292</v>
      </c>
      <c r="CG40" s="54" cm="1">
        <f t="array" ref="CG40">IFERROR(VLOOKUP($A40,TRANSPOSE('[1]Fur 3 PLC'!$AS$1:$BX$38),6,0),0)</f>
        <v>0</v>
      </c>
      <c r="CH40" s="54" cm="1">
        <f t="array" ref="CH40">IFERROR(VLOOKUP($A40,TRANSPOSE('[1]Fur 3 PLC'!$AS$1:$BX$38),21,0),0)</f>
        <v>0</v>
      </c>
      <c r="CI40" s="54" cm="1">
        <f t="array" ref="CI40">IFERROR(VLOOKUP($A40,TRANSPOSE('[1]Fur 3 PLC'!$AS$1:$BX$38),12,0),0)</f>
        <v>0</v>
      </c>
      <c r="CJ40" s="54" cm="1">
        <f t="array" ref="CJ40">IFERROR(VLOOKUP($A40,TRANSPOSE('[1]Fur 3 PLC'!$AS$1:$BX$38),25,0),0)</f>
        <v>0</v>
      </c>
      <c r="CK40" s="54" cm="1">
        <f t="array" ref="CK40">IFERROR(VLOOKUP($A40,TRANSPOSE('[1]Fur 3 PLC'!$AS$1:$BX$38),26,0),0)</f>
        <v>413.6904761904762</v>
      </c>
      <c r="CL40" s="54" cm="1">
        <f t="array" ref="CL40">IFERROR(VLOOKUP($A40,TRANSPOSE('[1]Fur 3 PLC'!$AS$1:$BX$38),27,0),0)</f>
        <v>147.32142857142861</v>
      </c>
      <c r="CM40" s="54" cm="1">
        <f t="array" ref="CM40">IFERROR(VLOOKUP($A40,TRANSPOSE('[1]Fur 3 PLC'!$AS$1:$BX$38),22,0),0)</f>
        <v>0</v>
      </c>
      <c r="CN40" s="54"/>
      <c r="CO40" s="54" cm="1">
        <f t="array" ref="CO40">IFERROR(VLOOKUP($A40,TRANSPOSE('[1]Fur 3 PLC'!$AS$1:$BX$38),29,0),0)</f>
        <v>131.79112554112558</v>
      </c>
      <c r="CP40" s="54" cm="1">
        <f t="array" ref="CP40">IFERROR(VLOOKUP($A40,TRANSPOSE('[1]Fur 3 PLC'!$AS$1:$BX$38),10,0),0)</f>
        <v>0</v>
      </c>
      <c r="CQ40" s="54" cm="1">
        <f t="array" ref="CQ40">IFERROR(VLOOKUP($A40,TRANSPOSE('[1]Fur 3 PLC'!$AS$1:$BX$38),7,0),0)</f>
        <v>233.98268398268402</v>
      </c>
      <c r="CR40" s="54" cm="1">
        <f t="array" ref="CR40">IFERROR(VLOOKUP($A40,TRANSPOSE('[1]Fur 3 PLC'!$AS$1:$BX$38),35,0),0)</f>
        <v>0</v>
      </c>
      <c r="CS40" s="54" cm="1">
        <f t="array" ref="CS40">IFERROR(VLOOKUP($A40,TRANSPOSE('[1]Fur 3 PLC'!$AS$1:$BX$38),11,0),0)</f>
        <v>0</v>
      </c>
      <c r="CT40" s="54" cm="1">
        <f t="array" ref="CT40">IFERROR(VLOOKUP($A40,TRANSPOSE('[1]Fur 3 PLC'!$AS$1:$BX$38),19,0),0)</f>
        <v>0</v>
      </c>
      <c r="CU40" s="54" cm="1">
        <f t="array" ref="CU40">IFERROR(VLOOKUP($A40,TRANSPOSE('[1]Fur 3 PLC'!$AS$1:$BX$38),18,0),0)</f>
        <v>341.93722943722946</v>
      </c>
      <c r="CV40" s="54" cm="1">
        <f t="array" ref="CV40">IFERROR(VLOOKUP($A40,TRANSPOSE('[1]Fur 3 PLC'!$AR$1:$BV$38),15,0),0)</f>
        <v>380.08658008658011</v>
      </c>
      <c r="CW40" s="54" cm="1">
        <f t="array" ref="CW40">IFERROR(VLOOKUP($A40,TRANSPOSE('[1]Fur 3 PLC'!$CK$1:$DO$38),8,0),0)</f>
        <v>455.11111111111114</v>
      </c>
      <c r="CX40" s="54" cm="1">
        <f t="array" ref="CX40">IFERROR(VLOOKUP($A40,TRANSPOSE('[1]Fur 3 PLC'!$CK$1:$DO$38),30,0),0)</f>
        <v>0</v>
      </c>
      <c r="CY40" s="54" cm="1">
        <f t="array" ref="CY40">IFERROR(VLOOKUP($A40,TRANSPOSE('[1]Fur 3 PLC'!$CK$1:$DO$38),14,0),0)</f>
        <v>0</v>
      </c>
      <c r="CZ40" s="54" cm="1">
        <f t="array" ref="CZ40">IFERROR(VLOOKUP($A40,TRANSPOSE('[1]Fur 3 PLC'!$CK$1:$DO$38),16,0),0)</f>
        <v>0</v>
      </c>
      <c r="DA40" s="54" cm="1">
        <f t="array" ref="DA40">IFERROR(VLOOKUP($A40,TRANSPOSE('[1]Fur 3 PLC'!$CK$1:$DO$38),9,0),0)</f>
        <v>210.01388888888889</v>
      </c>
      <c r="DB40" s="55" cm="1">
        <f t="array" ref="DB40">IFERROR(VLOOKUP($A40,TRANSPOSE('[1]Fur 3 PLC'!$CK$1:$DO$38),17,0),0)</f>
        <v>0</v>
      </c>
      <c r="DC40" s="55" cm="1">
        <f t="array" ref="DC40">IFERROR(VLOOKUP($A40,TRANSPOSE('[1]Fur 3 PLC'!$CK$1:$DO$38),20,0),0)</f>
        <v>25.124999999999996</v>
      </c>
      <c r="DD40" s="54" cm="1">
        <f t="array" ref="DD40">IFERROR(VLOOKUP($A40,TRANSPOSE('[1]Fur 3 PLC'!$CK$1:$DO$38),28,0),0)</f>
        <v>0</v>
      </c>
      <c r="DE40" s="54" cm="1">
        <f t="array" ref="DE40">IFERROR(VLOOKUP($A40,TRANSPOSE('[1]Fur 3 PLC'!$CK$1:$DO$38),13,0),0)</f>
        <v>0</v>
      </c>
      <c r="DF40" s="54" cm="1">
        <f t="array" ref="DF40">IFERROR(VLOOKUP($A40,TRANSPOSE('[1]Fur 3 PLC'!$CK$1:$DO$38),37,0),0)</f>
        <v>200.36111111111111</v>
      </c>
      <c r="DG40" s="54" cm="1">
        <f t="array" ref="DG40">IFERROR(VLOOKUP($A40,TRANSPOSE('[1]Fur 3 PLC'!$CK$1:$DO$38),6,0),0)</f>
        <v>0</v>
      </c>
      <c r="DH40" s="54" cm="1">
        <f t="array" ref="DH40">IFERROR(VLOOKUP($A40,TRANSPOSE('[1]Fur 3 PLC'!$CK$1:$DO$38),21,0),0)</f>
        <v>0</v>
      </c>
      <c r="DI40" s="54" cm="1">
        <f t="array" ref="DI40">IFERROR(VLOOKUP($A40,TRANSPOSE('[1]Fur 3 PLC'!$CK$1:$DO$38),12,0),0)</f>
        <v>0</v>
      </c>
      <c r="DJ40" s="54" cm="1">
        <f t="array" ref="DJ40">IFERROR(VLOOKUP($A40,TRANSPOSE('[1]Fur 3 PLC'!$CK$1:$DO$38),25,0),0)</f>
        <v>0</v>
      </c>
      <c r="DK40" s="54" cm="1">
        <f t="array" ref="DK40">IFERROR(VLOOKUP($A40,TRANSPOSE('[1]Fur 3 PLC'!$CK$1:$DO$38),26,0),0)</f>
        <v>212.36111111111111</v>
      </c>
      <c r="DL40" s="54" cm="1">
        <f t="array" ref="DL40">IFERROR(VLOOKUP($A40,TRANSPOSE('[1]Fur 3 PLC'!$CK$1:$DO$38),27,0),0)</f>
        <v>75.625</v>
      </c>
      <c r="DM40" s="54" cm="1">
        <f t="array" ref="DM40">IFERROR(VLOOKUP($A40,TRANSPOSE('[1]Fur 3 PLC'!$CK$1:$DO$38),22,0),0)</f>
        <v>0</v>
      </c>
      <c r="DN40" s="54" cm="1">
        <f t="array" ref="DN40">IFERROR(VLOOKUP($A40,TRANSPOSE('[1]Fur 3 PLC'!$CK$1:$DO$38),19,0),0)</f>
        <v>0</v>
      </c>
      <c r="DO40" s="54" cm="1">
        <f t="array" ref="DO40">IFERROR(VLOOKUP($A40,TRANSPOSE('[1]Fur 3 PLC'!$CK$1:$DO$38),29,0),0)</f>
        <v>67.652777777777786</v>
      </c>
      <c r="DP40" s="54" cm="1">
        <f t="array" ref="DP40">IFERROR(VLOOKUP($A40,TRANSPOSE('[1]Fur 3 PLC'!$CK$1:$DO$38),10,0),0)</f>
        <v>0</v>
      </c>
      <c r="DQ40" s="54" cm="1">
        <f t="array" ref="DQ40">IFERROR(VLOOKUP($A40,TRANSPOSE('[1]Fur 3 PLC'!$CK$1:$DO$38),7,0),0)</f>
        <v>120.11111111111111</v>
      </c>
      <c r="DR40" s="54" cm="1">
        <f t="array" ref="DR40">IFERROR(VLOOKUP($A40,TRANSPOSE('[1]Fur 3 PLC'!$CK$1:$DO$38),35,0),0)</f>
        <v>0</v>
      </c>
      <c r="DS40" s="54" cm="1">
        <f t="array" ref="DS40">IFERROR(VLOOKUP($A40,TRANSPOSE('[1]Fur 3 PLC'!$CK$1:$DO$38),11,0),0)</f>
        <v>0</v>
      </c>
      <c r="DT40" s="54" cm="1">
        <f t="array" ref="DT40">IFERROR(VLOOKUP($A40,TRANSPOSE('[1]Fur 3 PLC'!$CK$1:$DO$38),19,0),0)</f>
        <v>0</v>
      </c>
      <c r="DU40" s="54" cm="1">
        <f t="array" ref="DU40">IFERROR(VLOOKUP($A40,TRANSPOSE('[1]Fur 3 PLC'!$CK$1:$DO$38),18,0),0)</f>
        <v>175.52777777777777</v>
      </c>
      <c r="DV40" s="54" cm="1">
        <f t="array" ref="DV40">IFERROR(VLOOKUP($A40,TRANSPOSE('[1]Fur 3 PLC'!$CK$1:$DO$38),15,0),0)</f>
        <v>195.11111111111111</v>
      </c>
      <c r="DW40" t="str">
        <f t="shared" si="45"/>
        <v>Dec-25</v>
      </c>
    </row>
    <row r="41" spans="1:127" x14ac:dyDescent="0.3">
      <c r="A41" s="28" t="str">
        <f t="shared" si="1"/>
        <v>F446001</v>
      </c>
      <c r="B41" s="29" t="s">
        <v>29</v>
      </c>
      <c r="C41" s="30">
        <f>C40</f>
        <v>46001</v>
      </c>
      <c r="D41" s="29" t="str">
        <f>VLOOKUP($B41&amp;$C41,'[1]FC4 Prod'!$A$6:$BP$36,[2]Consolidated!D$1)</f>
        <v>Mr.Ganesh Ghosh Ji</v>
      </c>
      <c r="E41" s="29">
        <f>VLOOKUP($B41&amp;$C41,'[1]FC4 Prod'!$A$6:$BP$36,[2]Consolidated!E$1)</f>
        <v>52.550000000000004</v>
      </c>
      <c r="F41" s="31">
        <f>VLOOKUP($B41&amp;$C41,'[1]FC4 Prod'!$A$6:$BP$36,[2]Consolidated!F$1)</f>
        <v>0.38999999999999346</v>
      </c>
      <c r="G41" s="32">
        <f>VLOOKUP($B41&amp;$C41,'[1]FC4 Prod'!$A$6:$BP$36,[2]Consolidated!G$1)</f>
        <v>52.94</v>
      </c>
      <c r="H41" s="32">
        <f>VLOOKUP($B41&amp;$C41,'[1]FC4 Prod'!$A$6:$BP$36,[2]Consolidated!H$1)</f>
        <v>21.625</v>
      </c>
      <c r="I41" s="32">
        <f>VLOOKUP($B41&amp;$C41,'[1]FC4 Prod'!$A$6:$BP$36,[2]Consolidated!I$1)</f>
        <v>9.77</v>
      </c>
      <c r="J41" s="32">
        <f>VLOOKUP($B41&amp;$C41,'[1]FC4 Prod'!$A$6:$BP$36,[2]Consolidated!J$1)</f>
        <v>40.21</v>
      </c>
      <c r="K41" s="32">
        <f>VLOOKUP($B41&amp;$C41,'[1]FC4 Prod'!$A$6:$BP$36,[2]Consolidated!K$1)</f>
        <v>1.34</v>
      </c>
      <c r="L41" s="32">
        <f>VLOOKUP($B41&amp;$C41,'[1]FC4 Prod'!$A$6:$BP$36,[2]Consolidated!L$1)</f>
        <v>21.88</v>
      </c>
      <c r="M41" s="32">
        <f>VLOOKUP($B41&amp;$C41,'[1]FC4 Prod'!$A$6:$BP$36,[2]Consolidated!M$1)</f>
        <v>5.08</v>
      </c>
      <c r="N41" s="32">
        <f>VLOOKUP($B41&amp;$C41,'[1]FC4 Prod'!$A$6:$BP$36,[2]Consolidated!N$1)</f>
        <v>17.82</v>
      </c>
      <c r="O41" s="32">
        <f>VLOOKUP($B41&amp;$C41,'[1]FC4 Prod'!$A$6:$BP$36,[2]Consolidated!O$1)</f>
        <v>0.67</v>
      </c>
      <c r="P41" s="33">
        <f>VLOOKUP($B41&amp;$C41,'[1]FC4 Prod'!$A$6:$BP$36,[2]Consolidated!P$1)</f>
        <v>8</v>
      </c>
      <c r="Q41" s="29">
        <f>VLOOKUP($B41&amp;$C41,'[1]FC4 Prod'!$A$6:$BP$36,[2]Consolidated!Q$1)</f>
        <v>94.165999999999997</v>
      </c>
      <c r="R41" s="29">
        <f>VLOOKUP($B41&amp;$C41,'[1]FC4 Prod'!$A$6:$BP$36,[2]Consolidated!R$1)</f>
        <v>30.845999999999997</v>
      </c>
      <c r="S41" s="34">
        <f>VLOOKUP($B41&amp;$C41,'[1]FC4 Prod'!$A$6:$BP$36,[2]Consolidated!S$1)</f>
        <v>38</v>
      </c>
      <c r="T41" s="34">
        <f>VLOOKUP($B41&amp;$C41,'[1]FC4 Prod'!$A$6:$BP$36,[2]Consolidated!T$1)</f>
        <v>29</v>
      </c>
      <c r="U41" s="34">
        <f>VLOOKUP($B41&amp;$C41,'[1]FC4 Prod'!$A$6:$BP$36,[2]Consolidated!U$1)</f>
        <v>29</v>
      </c>
      <c r="V41" s="34">
        <f>VLOOKUP($B41&amp;$C41,'[1]FC4 Prod'!$A$6:$BP$36,[2]Consolidated!V$1)</f>
        <v>96</v>
      </c>
      <c r="W41" s="35">
        <f>VLOOKUP($B41&amp;$C41,'[1]FC4 Prod'!$A$6:$BP$36,[2]Consolidated!W$1)</f>
        <v>1.7919314938154136</v>
      </c>
      <c r="X41" s="35">
        <f>VLOOKUP($B41&amp;$C41,'[1]FC4 Prod'!$A$6:$BP$36,[2]Consolidated!X$1)</f>
        <v>54.58</v>
      </c>
      <c r="Y41" s="36">
        <f>VLOOKUP($B41&amp;$C41,'[1]FC4 Prod'!$A$6:$BP$36,[2]Consolidated!Y$1)</f>
        <v>0.96280688897031885</v>
      </c>
      <c r="Z41" s="37" t="str">
        <f>VLOOKUP($B41&amp;$C41,'[1]FC4 Prod'!$A$6:$BP$36,[2]Consolidated!Z$1)</f>
        <v>40/8</v>
      </c>
      <c r="AA41" s="31">
        <f>VLOOKUP($B41&amp;$C41,'[1]FC4 Prod'!$A$6:$BP$36,[2]Consolidated!AA$1)</f>
        <v>37.206000000000003</v>
      </c>
      <c r="AB41" s="31">
        <f>VLOOKUP($B41&amp;$C41,'[1]FC4 Prod'!$A$6:$BP$36,[2]Consolidated!AB$1)</f>
        <v>5.7860000000000005</v>
      </c>
      <c r="AC41" s="31">
        <f>VLOOKUP($B41&amp;$C41,'[1]FC4 Prod'!$A$6:$BP$36,[2]Consolidated!AC$1)</f>
        <v>0</v>
      </c>
      <c r="AD41" s="38">
        <f>VLOOKUP($B41&amp;$C41,'[1]FC4 Prod'!$A$6:$BP$36,[2]Consolidated!AD$1)</f>
        <v>390.35683956232162</v>
      </c>
      <c r="AE41" s="38">
        <f>VLOOKUP($B41&amp;$C41,'[1]FC4 Prod'!$A$6:$BP$36,[2]Consolidated!AE$1)</f>
        <v>383.00213058991432</v>
      </c>
      <c r="AF41" s="39">
        <f>VLOOKUP($B41&amp;$C41,'[1]FC4 Prod'!$A$6:$BP$36,[2]Consolidated!AF$1)</f>
        <v>0.95312791346800396</v>
      </c>
      <c r="AG41" s="39">
        <f>VLOOKUP($B41&amp;$C41,'[1]FC4 Prod'!$A$6:$BP$36,[2]Consolidated!AG$1)</f>
        <v>0.97143062736214858</v>
      </c>
      <c r="AH41" s="34">
        <f>VLOOKUP($B41&amp;$C41,'[1]FC4 Prod'!$A$6:$BP$36,[2]Consolidated!AH$1)</f>
        <v>438.51705118934353</v>
      </c>
      <c r="AI41" s="33">
        <f>VLOOKUP($B41&amp;$C41,'[1]FC4 Prod'!$A$6:$BP$36,[2]Consolidated!AI$1)</f>
        <v>321.93647840152232</v>
      </c>
      <c r="AJ41" s="39">
        <f>VLOOKUP($B41&amp;$C41,'[1]FC4 Prod'!$A$6:$BP$36,[2]Consolidated!AJ$1)</f>
        <v>0.58351717387072877</v>
      </c>
      <c r="AK41" s="39">
        <f>VLOOKUP($B41&amp;$C41,'[1]FC4 Prod'!$A$6:$BP$36,[2]Consolidated!AK$1)</f>
        <v>0.52443872888943666</v>
      </c>
      <c r="AL41" s="40" t="str">
        <f>VLOOKUP($B41&amp;$C41,'[1]FC4 Prod'!$A$6:$BP$36,[2]Consolidated!AL$1)</f>
        <v>25/50</v>
      </c>
      <c r="AM41" s="41">
        <f>VLOOKUP($B41&amp;$C41,'[1]FC4 Prod'!$A$6:$BP$36,[2]Consolidated!AM$1)</f>
        <v>4.7383444338725024E-2</v>
      </c>
      <c r="AN41" s="42">
        <f>VLOOKUP($B41&amp;$C41,'[1]FC4 Prod'!$A$6:$BP$36,[2]Consolidated!AN$1)</f>
        <v>146.69999999999999</v>
      </c>
      <c r="AO41" s="43">
        <f>VLOOKUP($B41&amp;$C41,'[1]FC4 Prod'!$A$6:$BP$36,[2]Consolidated!AO$1)</f>
        <v>6.2140000000000004</v>
      </c>
      <c r="AP41" s="44">
        <f>VLOOKUP($B41&amp;$C41,'[1]FC4 Prod'!$A$6:$BP$36,[2]Consolidated!AP$1)</f>
        <v>2.9098763082778301</v>
      </c>
      <c r="AQ41" s="44">
        <f>VLOOKUP($B41&amp;$C41,'[1]FC4 Prod'!$A$6:$BP$36,[2]Consolidated!AQ$1)</f>
        <v>20.317338598554439</v>
      </c>
      <c r="AR41" s="45">
        <f>VLOOKUP($B41&amp;$C41,'[1]FC4 Prod'!$A$6:$BP$36,[2]Consolidated!AR$1)</f>
        <v>1.0020491803278688</v>
      </c>
      <c r="AS41" s="46">
        <f>VLOOKUP($B41&amp;$C41,'[1]FC4 Prod'!$A$6:$BP$36,[2]Consolidated!AS$1)</f>
        <v>2.1433333333333335</v>
      </c>
      <c r="AT41" s="29">
        <f>VLOOKUP($B41&amp;$C41,'[1]FC4 Prod'!$A$6:$BP$36,[2]Consolidated!AT$1)</f>
        <v>0.78874432312045784</v>
      </c>
      <c r="AU41" s="34">
        <f>VLOOKUP($B41&amp;$C41,'[1]FC4 Prod'!$A$6:$BP$36,[2]Consolidated!AU$1)</f>
        <v>543.24600246002467</v>
      </c>
      <c r="AV41" s="34">
        <f>VLOOKUP($B41&amp;$C41,'[1]FC4 Prod'!$A$6:$BP$36,[2]Consolidated!AV$1)</f>
        <v>225</v>
      </c>
      <c r="AW41" s="47">
        <f>VLOOKUP($B41&amp;$C41,'[1]FC4 Prod'!$A$6:$BP$36,[2]Consolidated!AW$1)</f>
        <v>15143.71550903901</v>
      </c>
      <c r="AX41" s="47">
        <f>VLOOKUP($B41&amp;$C41,'[1]FC4 Prod'!$A$6:$BP$36,[2]Consolidated!AX$1)</f>
        <v>9210.5400570884867</v>
      </c>
      <c r="AY41" s="48">
        <f>VLOOKUP($B41&amp;$C41,'[1]FC4 Prod'!$A$6:$BP$36,[2]Consolidated!AY$1)</f>
        <v>427.47859181731678</v>
      </c>
      <c r="AZ41" s="47">
        <f>VLOOKUP($B41&amp;$C41,'[1]FC4 Prod'!$A$6:$BP$36,[2]Consolidated!AZ$1)</f>
        <v>726.94862036156042</v>
      </c>
      <c r="BA41" s="47">
        <f>VLOOKUP($B41&amp;$C41,'[1]FC4 Prod'!$A$6:$BP$36,[2]Consolidated!BA$1)</f>
        <v>17022.776403425305</v>
      </c>
      <c r="BB41" s="47">
        <f>VLOOKUP($B41&amp;$C41,'[1]FC4 Prod'!$A$6:$BP$36,[2]Consolidated!BB$1)</f>
        <v>425.31459181731685</v>
      </c>
      <c r="BC41" s="47">
        <f>VLOOKUP($B41&amp;$C41,'[1]FC4 Prod'!$A$6:$BP$36,[2]Consolidated!BC$1)</f>
        <v>5528.7649857278775</v>
      </c>
      <c r="BD41" s="49">
        <f>VLOOKUP($B41&amp;$C41,'[1]FC4 Prod'!$A$6:$BP$36,[2]Consolidated!BD$1)</f>
        <v>48485.538759276882</v>
      </c>
      <c r="BE41" s="47">
        <f>VLOOKUP($B41&amp;$C41,'[1]FC4 Prod'!$A$6:$BP$36,[2]Consolidated!BE$1)</f>
        <v>14483.957297811607</v>
      </c>
      <c r="BF41" s="47">
        <f>VLOOKUP($B41&amp;$C41,'[1]FC4 Prod'!$A$6:$BP$36,[2]Consolidated!BF$1)</f>
        <v>6725.5190865842051</v>
      </c>
      <c r="BG41" s="50">
        <f>VLOOKUP($B41&amp;$C41,'[1]FC4 Prod'!$A$6:$BP$36,[2]Consolidated!BG$1)</f>
        <v>496.71455756422455</v>
      </c>
      <c r="BH41" s="50">
        <f>VLOOKUP($B41&amp;$C41,'[1]FC4 Prod'!$A$6:$BP$36,[2]Consolidated!BH$1)</f>
        <v>394.55915965746902</v>
      </c>
      <c r="BI41" s="50">
        <f>VLOOKUP($B41&amp;$C41,'[1]FC4 Prod'!$A$6:$BP$36,[2]Consolidated!BI$1)</f>
        <v>45379.240111132254</v>
      </c>
      <c r="BJ41" s="37" t="e">
        <f>VLOOKUP($B41&amp;$C41,'[1]FC4 Prod'!$A$6:$BP$36,[2]Consolidated!BJ$1)</f>
        <v>#REF!</v>
      </c>
      <c r="BK41" s="37" t="e">
        <f>VLOOKUP($B41&amp;$C41,'[1]FC4 Prod'!$A$6:$BP$36,[2]Consolidated!BK$1)</f>
        <v>#REF!</v>
      </c>
      <c r="BL41" s="37" t="e">
        <f>VLOOKUP($B41&amp;$C41,'[1]FC4 Prod'!$A$6:$BP$36,[2]Consolidated!BL$1)</f>
        <v>#REF!</v>
      </c>
      <c r="BM41" s="37" t="e">
        <f>VLOOKUP($B41&amp;$C41,'[1]FC4 Prod'!$A$6:$BP$36,[2]Consolidated!BM$1)</f>
        <v>#REF!</v>
      </c>
      <c r="BN41" s="37" t="e">
        <f>VLOOKUP($B41&amp;$C41,'[1]FC4 Prod'!$A$6:$BP$36,[2]Consolidated!BN$1)</f>
        <v>#REF!</v>
      </c>
      <c r="BO41" s="37" t="e">
        <f>VLOOKUP($B41&amp;$C41,'[1]FC4 Prod'!$A$6:$BP$36,[2]Consolidated!BO$1)</f>
        <v>#REF!</v>
      </c>
      <c r="BP41" s="37" t="str">
        <f>VLOOKUP($B41&amp;$C41,'[1]FC4 Prod'!$A$6:$BP$36,[2]Consolidated!BP$1)</f>
        <v>NIL</v>
      </c>
      <c r="BQ41" s="51" t="e">
        <f>VLOOKUP($B41&amp;$C41,'[1]FC4 Prod'!$A$6:$BP$36,[2]Consolidated!BQ$1)</f>
        <v>#REF!</v>
      </c>
      <c r="BR41" s="51">
        <f>VLOOKUP($B41&amp;$C41,'[1]FC4 Prod'!$A$6:$BQ$36,[2]Consolidated!BR$1)</f>
        <v>41644</v>
      </c>
      <c r="BS41" s="52">
        <f t="shared" ref="BS41" si="48">BE41+BF41*110%+BG41+BA41</f>
        <v>39401.519254043757</v>
      </c>
      <c r="BT41" s="32">
        <f t="shared" si="46"/>
        <v>2242.4807459562435</v>
      </c>
      <c r="BU41" s="37">
        <f t="shared" si="47"/>
        <v>117842.3632000006</v>
      </c>
      <c r="BV41" s="53" t="s">
        <v>131</v>
      </c>
      <c r="BW41" s="54" cm="1">
        <f t="array" ref="BW41">IFERROR(VLOOKUP($A41,TRANSPOSE('[1]Fur 4 PLC'!$AR$1:$BV$39),8,0),0)</f>
        <v>0</v>
      </c>
      <c r="BX41" s="54" cm="1">
        <f t="array" ref="BX41">IFERROR(VLOOKUP($A41,TRANSPOSE('[1]Fur 4 PLC'!$AR$1:$BV$39),30,0),0)</f>
        <v>0</v>
      </c>
      <c r="BY41" s="54" cm="1">
        <f t="array" ref="BY41">IFERROR(VLOOKUP($A41,TRANSPOSE('[1]Fur 4 PLC'!$AR$1:$BV$39),14,0),0)</f>
        <v>0</v>
      </c>
      <c r="BZ41" s="54" cm="1">
        <f t="array" ref="BZ41">IFERROR(VLOOKUP($A41,TRANSPOSE('[1]Fur 4 PLC'!$AR$1:$BV$39),16,0),0)</f>
        <v>0</v>
      </c>
      <c r="CA41" s="54" cm="1">
        <f t="array" ref="CA41">IFERROR(VLOOKUP($A41,TRANSPOSE('[1]Fur 4 PLC'!$AR$1:$BV$39),9,0),0)</f>
        <v>0</v>
      </c>
      <c r="CB41" s="54" cm="1">
        <f t="array" ref="CB41">IFERROR(VLOOKUP($A41,TRANSPOSE('[1]Fur 4 PLC'!$AR$1:$BV$39),17,0),0)</f>
        <v>0</v>
      </c>
      <c r="CC41" s="54" cm="1">
        <f t="array" ref="CC41">IFERROR(VLOOKUP($A41,TRANSPOSE('[1]Fur 4 PLC'!$AR$1:$BV$39),20,0),0)</f>
        <v>0</v>
      </c>
      <c r="CD41" s="54" cm="1">
        <f t="array" ref="CD41">IFERROR(VLOOKUP($A41,TRANSPOSE('[1]Fur 4 PLC'!$AR$1:$BV$39),28,0),0)</f>
        <v>0</v>
      </c>
      <c r="CE41" s="54" cm="1">
        <f t="array" ref="CE41">IFERROR(VLOOKUP($A41,TRANSPOSE('[1]Fur 4 PLC'!$AR$1:$BV$39),13,0),0)</f>
        <v>91.284490960989515</v>
      </c>
      <c r="CF41" s="54" cm="1">
        <f t="array" ref="CF41">IFERROR(VLOOKUP($A41,TRANSPOSE('[1]Fur 4 PLC'!$AR$1:$BV$39),37,0),0)</f>
        <v>31.303520456707894</v>
      </c>
      <c r="CG41" s="54" cm="1">
        <f t="array" ref="CG41">IFERROR(VLOOKUP($A41,TRANSPOSE('[1]Fur 4 PLC'!$AR$1:$BV$39),6,0),0)</f>
        <v>0</v>
      </c>
      <c r="CH41" s="54" cm="1">
        <f t="array" ref="CH41">IFERROR(VLOOKUP($A41,TRANSPOSE('[1]Fur 4 PLC'!$AR$1:$BV$39),21,0),0)</f>
        <v>1361.1417697431018</v>
      </c>
      <c r="CI41" s="54" cm="1">
        <f t="array" ref="CI41">IFERROR(VLOOKUP($A41,TRANSPOSE('[1]Fur 4 PLC'!$AR$1:$BV$39),12,0),0)</f>
        <v>0</v>
      </c>
      <c r="CJ41" s="54" cm="1">
        <f t="array" ref="CJ41">IFERROR(VLOOKUP($A41,TRANSPOSE('[1]Fur 4 PLC'!$AR$1:$BV$39),25,0),0)</f>
        <v>119.31493815413889</v>
      </c>
      <c r="CK41" s="54" cm="1">
        <f t="array" ref="CK41">IFERROR(VLOOKUP($A41,TRANSPOSE('[1]Fur 4 PLC'!$AR$1:$BV$39),26,0),0)</f>
        <v>358.17316841103707</v>
      </c>
      <c r="CL41" s="54" cm="1">
        <f t="array" ref="CL41">IFERROR(VLOOKUP($A41,TRANSPOSE('[1]Fur 4 PLC'!$AR$1:$BV$39),27,0),0)</f>
        <v>0</v>
      </c>
      <c r="CM41" s="54" cm="1">
        <f t="array" ref="CM41">IFERROR(VLOOKUP($A41,TRANSPOSE('[1]Fur 4 PLC'!$AR$1:$BV$39),22,0),0)</f>
        <v>0</v>
      </c>
      <c r="CN41" s="54"/>
      <c r="CO41" s="54" cm="1">
        <f t="array" ref="CO41">IFERROR(VLOOKUP($A41,TRANSPOSE('[1]Fur 4 PLC'!$AR$1:$BV$39),29,0),0)</f>
        <v>109.49571836346335</v>
      </c>
      <c r="CP41" s="54" cm="1">
        <f t="array" ref="CP41">IFERROR(VLOOKUP($A41,TRANSPOSE('[1]Fur 4 PLC'!$AR$1:$BV$39),10,0),0)</f>
        <v>0</v>
      </c>
      <c r="CQ41" s="54" cm="1">
        <f t="array" ref="CQ41">IFERROR(VLOOKUP($A41,TRANSPOSE('[1]Fur 4 PLC'!$AR$1:$BV$39),7,0),0)</f>
        <v>93.168411037107504</v>
      </c>
      <c r="CR41" s="54" cm="1">
        <f t="array" ref="CR41">IFERROR(VLOOKUP($A41,TRANSPOSE('[1]Fur 4 PLC'!$AR$1:$BV$39),36,0),0)</f>
        <v>199.790675547098</v>
      </c>
      <c r="CS41" s="54" cm="1">
        <f t="array" ref="CS41">IFERROR(VLOOKUP($A41,TRANSPOSE('[1]Fur 4 PLC'!$AR$1:$BV$39),11,0),0)</f>
        <v>0</v>
      </c>
      <c r="CT41" s="54" cm="1">
        <f t="array" ref="CT41">IFERROR(VLOOKUP($A41,TRANSPOSE('[1]Fur 4 PLC'!$AR$1:$BV$39),19,0),0)</f>
        <v>46.051379638439577</v>
      </c>
      <c r="CU41" s="54" cm="1">
        <f t="array" ref="CU41">IFERROR(VLOOKUP($A41,TRANSPOSE('[1]Fur 4 PLC'!$AR$1:$BV$39),18,0),0)</f>
        <v>293.45385347288294</v>
      </c>
      <c r="CV41" s="54" cm="1">
        <f t="array" ref="CV41">IFERROR(VLOOKUP($A41,TRANSPOSE('[1]Fur 4 PLC'!$AR$1:$BV$38),15,0),0)</f>
        <v>0</v>
      </c>
      <c r="CW41" s="54" cm="1">
        <f t="array" ref="CW41">IFERROR(VLOOKUP($A41,TRANSPOSE('[1]Fur 4 PLC'!$CK$1:$DO$39),8,0),0)</f>
        <v>0</v>
      </c>
      <c r="CX41" s="54" cm="1">
        <f t="array" ref="CX41">IFERROR(VLOOKUP($A41,TRANSPOSE('[1]Fur 4 PLC'!$CK$1:$DO$39),30,0),0)</f>
        <v>0</v>
      </c>
      <c r="CY41" s="54" cm="1">
        <f t="array" ref="CY41">IFERROR(VLOOKUP($A41,TRANSPOSE('[1]Fur 4 PLC'!$CK$1:$DO$39),14,0),0)</f>
        <v>0</v>
      </c>
      <c r="CZ41" s="54" cm="1">
        <f t="array" ref="CZ41">IFERROR(VLOOKUP($A41,TRANSPOSE('[1]Fur 4 PLC'!$CK$1:$DO$39),16,0),0)</f>
        <v>0</v>
      </c>
      <c r="DA41" s="54" cm="1">
        <f t="array" ref="DA41">IFERROR(VLOOKUP($A41,TRANSPOSE('[1]Fur 4 PLC'!$CK$1:$DO$39),9,0),0)</f>
        <v>0</v>
      </c>
      <c r="DB41" s="55" cm="1">
        <f t="array" ref="DB41">IFERROR(VLOOKUP($A41,TRANSPOSE('[1]Fur 4 PLC'!$CK$1:$DO$39),17,0),0)</f>
        <v>0</v>
      </c>
      <c r="DC41" s="55" cm="1">
        <f t="array" ref="DC41">IFERROR(VLOOKUP($A41,TRANSPOSE('[1]Fur 4 PLC'!$CK$1:$DO$39),20,0),0)</f>
        <v>0</v>
      </c>
      <c r="DD41" s="54" cm="1">
        <f t="array" ref="DD41">IFERROR(VLOOKUP($A41,TRANSPOSE('[1]Fur 4 PLC'!$CK$1:$DO$39),28,0),0)</f>
        <v>0</v>
      </c>
      <c r="DE41" s="54" cm="1">
        <f t="array" ref="DE41">IFERROR(VLOOKUP($A41,TRANSPOSE('[1]Fur 4 PLC'!$CK$1:$DO$39),13,0),0)</f>
        <v>49.96875</v>
      </c>
      <c r="DF41" s="54" cm="1">
        <f t="array" ref="DF41">IFERROR(VLOOKUP($A41,TRANSPOSE('[1]Fur 4 PLC'!$CK$1:$DO$39),37,0),0)</f>
        <v>17.135416666666668</v>
      </c>
      <c r="DG41" s="54" cm="1">
        <f t="array" ref="DG41">IFERROR(VLOOKUP($A41,TRANSPOSE('[1]Fur 4 PLC'!$CK$1:$DO$39),6,0),0)</f>
        <v>0</v>
      </c>
      <c r="DH41" s="54" cm="1">
        <f t="array" ref="DH41">IFERROR(VLOOKUP($A41,TRANSPOSE('[1]Fur 4 PLC'!$CK$1:$DO$39),21,0),0)</f>
        <v>745.08333333333348</v>
      </c>
      <c r="DI41" s="54" cm="1">
        <f t="array" ref="DI41">IFERROR(VLOOKUP($A41,TRANSPOSE('[1]Fur 4 PLC'!$CK$1:$DO$39),12,0),0)</f>
        <v>0</v>
      </c>
      <c r="DJ41" s="54" cm="1">
        <f t="array" ref="DJ41">IFERROR(VLOOKUP($A41,TRANSPOSE('[1]Fur 4 PLC'!$CK$1:$DO$39),25,0),0)</f>
        <v>65.3125</v>
      </c>
      <c r="DK41" s="54" cm="1">
        <f t="array" ref="DK41">IFERROR(VLOOKUP($A41,TRANSPOSE('[1]Fur 4 PLC'!$CK$1:$DO$39),26,0),0)</f>
        <v>196.0625</v>
      </c>
      <c r="DL41" s="54" cm="1">
        <f t="array" ref="DL41">IFERROR(VLOOKUP($A41,TRANSPOSE('[1]Fur 4 PLC'!$CK$1:$DO$39),27,0),0)</f>
        <v>0</v>
      </c>
      <c r="DM41" s="54" cm="1">
        <f t="array" ref="DM41">IFERROR(VLOOKUP($A41,TRANSPOSE('[1]Fur 4 PLC'!$CK$1:$DO$39),22,0),0)</f>
        <v>0</v>
      </c>
      <c r="DN41" s="54" cm="1">
        <f t="array" ref="DN41">IFERROR(VLOOKUP($A41,TRANSPOSE('[1]Fur 4 PLC'!$CK$1:$DO$39),19,0),0)</f>
        <v>25.208333333333332</v>
      </c>
      <c r="DO41" s="54" cm="1">
        <f t="array" ref="DO41">IFERROR(VLOOKUP($A41,TRANSPOSE('[1]Fur 4 PLC'!$CK$1:$DO$39),29,0),0)</f>
        <v>59.9375</v>
      </c>
      <c r="DP41" s="54" cm="1">
        <f t="array" ref="DP41">IFERROR(VLOOKUP($A41,TRANSPOSE('[1]Fur 4 PLC'!$CK$1:$DO$39),10,0),0)</f>
        <v>0</v>
      </c>
      <c r="DQ41" s="54" cm="1">
        <f t="array" ref="DQ41">IFERROR(VLOOKUP($A41,TRANSPOSE('[1]Fur 4 PLC'!$CK$1:$DO$39),7,0),0)</f>
        <v>51</v>
      </c>
      <c r="DR41" s="54" cm="1">
        <f t="array" ref="DR41">IFERROR(VLOOKUP($A41,TRANSPOSE('[1]Fur 4 PLC'!$CK$1:$DO$39),36,0),0)</f>
        <v>109.36458333333333</v>
      </c>
      <c r="DS41" s="54" cm="1">
        <f t="array" ref="DS41">IFERROR(VLOOKUP($A41,TRANSPOSE('[1]Fur 4 PLC'!$CK$1:$DO$39),11,0),0)</f>
        <v>0</v>
      </c>
      <c r="DT41" s="54" cm="1">
        <f t="array" ref="DT41">IFERROR(VLOOKUP($A41,TRANSPOSE('[1]Fur 4 PLC'!$CK$1:$DO$39),19,0),0)</f>
        <v>25.208333333333332</v>
      </c>
      <c r="DU41" s="54" cm="1">
        <f t="array" ref="DU41">IFERROR(VLOOKUP($A41,TRANSPOSE('[1]Fur 4 PLC'!$CK$1:$DO$39),18,0),0)</f>
        <v>160.63541666666666</v>
      </c>
      <c r="DV41" s="54" cm="1">
        <f t="array" ref="DV41">IFERROR(VLOOKUP($A41,TRANSPOSE('[1]Fur 4 PLC'!$CK$1:$DO$39),15,0),0)</f>
        <v>0</v>
      </c>
      <c r="DW41" t="str">
        <f t="shared" si="45"/>
        <v>Dec-25</v>
      </c>
    </row>
    <row r="42" spans="1:127" x14ac:dyDescent="0.3">
      <c r="A42" s="28" t="str">
        <f t="shared" si="1"/>
        <v>F146002</v>
      </c>
      <c r="B42" s="29" t="s">
        <v>26</v>
      </c>
      <c r="C42" s="30">
        <f>C38+1</f>
        <v>46002</v>
      </c>
      <c r="D42" s="29" t="str">
        <f>VLOOKUP($B42&amp;$C42,'[1]FC1 Prod'!$A$6:$BP$36,[2]Consolidated!D$1)</f>
        <v>Raju Singh</v>
      </c>
      <c r="E42" s="29">
        <f>VLOOKUP($B42&amp;$C42,'[1]FC1 Prod'!$A$6:$BP$36,[2]Consolidated!E$1)</f>
        <v>23.16</v>
      </c>
      <c r="F42" s="31">
        <f>VLOOKUP($B42&amp;$C42,'[1]FC1 Prod'!$A$6:$BP$36,[2]Consolidated!F$1)</f>
        <v>0</v>
      </c>
      <c r="G42" s="32">
        <f>VLOOKUP($B42&amp;$C42,'[1]FC1 Prod'!$A$6:$BP$36,[2]Consolidated!G$1)</f>
        <v>23.16</v>
      </c>
      <c r="H42" s="32">
        <f>VLOOKUP($B42&amp;$C42,'[1]FC1 Prod'!$A$6:$BP$36,[2]Consolidated!H$1)</f>
        <v>18</v>
      </c>
      <c r="I42" s="32">
        <f>VLOOKUP($B42&amp;$C42,'[1]FC1 Prod'!$A$6:$BP$36,[2]Consolidated!I$1)</f>
        <v>5.72</v>
      </c>
      <c r="J42" s="32">
        <f>VLOOKUP($B42&amp;$C42,'[1]FC1 Prod'!$A$6:$BP$36,[2]Consolidated!J$1)</f>
        <v>39.520000000000003</v>
      </c>
      <c r="K42" s="32">
        <f>VLOOKUP($B42&amp;$C42,'[1]FC1 Prod'!$A$6:$BP$36,[2]Consolidated!K$1)</f>
        <v>1.33</v>
      </c>
      <c r="L42" s="32">
        <f>VLOOKUP($B42&amp;$C42,'[1]FC1 Prod'!$A$6:$BP$36,[2]Consolidated!L$1)</f>
        <v>28.88</v>
      </c>
      <c r="M42" s="32">
        <f>VLOOKUP($B42&amp;$C42,'[1]FC1 Prod'!$A$6:$BP$36,[2]Consolidated!M$1)</f>
        <v>4.88</v>
      </c>
      <c r="N42" s="32">
        <f>VLOOKUP($B42&amp;$C42,'[1]FC1 Prod'!$A$6:$BP$36,[2]Consolidated!N$1)</f>
        <v>16.559999999999999</v>
      </c>
      <c r="O42" s="32">
        <f>VLOOKUP($B42&amp;$C42,'[1]FC1 Prod'!$A$6:$BP$36,[2]Consolidated!O$1)</f>
        <v>0.85</v>
      </c>
      <c r="P42" s="33">
        <f>VLOOKUP($B42&amp;$C42,'[1]FC1 Prod'!$A$6:$BP$36,[2]Consolidated!P$1)</f>
        <v>8</v>
      </c>
      <c r="Q42" s="29">
        <f>VLOOKUP($B42&amp;$C42,'[1]FC1 Prod'!$A$6:$BP$36,[2]Consolidated!Q$1)</f>
        <v>42.63</v>
      </c>
      <c r="R42" s="29">
        <f>VLOOKUP($B42&amp;$C42,'[1]FC1 Prod'!$A$6:$BP$36,[2]Consolidated!R$1)</f>
        <v>14.504</v>
      </c>
      <c r="S42" s="34">
        <f>VLOOKUP($B42&amp;$C42,'[1]FC1 Prod'!$A$6:$BP$36,[2]Consolidated!S$1)</f>
        <v>22</v>
      </c>
      <c r="T42" s="34">
        <f>VLOOKUP($B42&amp;$C42,'[1]FC1 Prod'!$A$6:$BP$36,[2]Consolidated!T$1)</f>
        <v>14</v>
      </c>
      <c r="U42" s="34">
        <f>VLOOKUP($B42&amp;$C42,'[1]FC1 Prod'!$A$6:$BP$36,[2]Consolidated!U$1)</f>
        <v>18</v>
      </c>
      <c r="V42" s="34">
        <f>VLOOKUP($B42&amp;$C42,'[1]FC1 Prod'!$A$6:$BP$36,[2]Consolidated!V$1)</f>
        <v>54</v>
      </c>
      <c r="W42" s="35">
        <f>VLOOKUP($B42&amp;$C42,'[1]FC1 Prod'!$A$6:$BP$36,[2]Consolidated!W$1)</f>
        <v>1.8406735751295338</v>
      </c>
      <c r="X42" s="35">
        <f>VLOOKUP($B42&amp;$C42,'[1]FC1 Prod'!$A$6:$BP$36,[2]Consolidated!X$1)</f>
        <v>23.88</v>
      </c>
      <c r="Y42" s="36">
        <f>VLOOKUP($B42&amp;$C42,'[1]FC1 Prod'!$A$6:$BP$36,[2]Consolidated!Y$1)</f>
        <v>0.96984924623115587</v>
      </c>
      <c r="Z42" s="37" t="str">
        <f>VLOOKUP($B42&amp;$C42,'[1]FC1 Prod'!$A$6:$BP$36,[2]Consolidated!Z$1)</f>
        <v>40/22</v>
      </c>
      <c r="AA42" s="31">
        <f>VLOOKUP($B42&amp;$C42,'[1]FC1 Prod'!$A$6:$BP$36,[2]Consolidated!AA$1)</f>
        <v>39.928750000000001</v>
      </c>
      <c r="AB42" s="31">
        <f>VLOOKUP($B42&amp;$C42,'[1]FC1 Prod'!$A$6:$BP$36,[2]Consolidated!AB$1)</f>
        <v>20.64</v>
      </c>
      <c r="AC42" s="31">
        <f>VLOOKUP($B42&amp;$C42,'[1]FC1 Prod'!$A$6:$BP$36,[2]Consolidated!AC$1)</f>
        <v>0.51</v>
      </c>
      <c r="AD42" s="38">
        <f>VLOOKUP($B42&amp;$C42,'[1]FC1 Prod'!$A$6:$BP$36,[2]Consolidated!AD$1)</f>
        <v>540.28361515544043</v>
      </c>
      <c r="AE42" s="38">
        <f>VLOOKUP($B42&amp;$C42,'[1]FC1 Prod'!$A$6:$BP$36,[2]Consolidated!AE$1)</f>
        <v>477.51629738773744</v>
      </c>
      <c r="AF42" s="39">
        <f>VLOOKUP($B42&amp;$C42,'[1]FC1 Prod'!$A$6:$BP$36,[2]Consolidated!AF$1)</f>
        <v>0.73903314629507011</v>
      </c>
      <c r="AG42" s="39">
        <f>VLOOKUP($B42&amp;$C42,'[1]FC1 Prod'!$A$6:$BP$36,[2]Consolidated!AG$1)</f>
        <v>0.83617564925911503</v>
      </c>
      <c r="AH42" s="34">
        <f>VLOOKUP($B42&amp;$C42,'[1]FC1 Prod'!$A$6:$BP$36,[2]Consolidated!AH$1)</f>
        <v>519.13126079447318</v>
      </c>
      <c r="AI42" s="33">
        <f>VLOOKUP($B42&amp;$C42,'[1]FC1 Prod'!$A$6:$BP$36,[2]Consolidated!AI$1)</f>
        <v>474.59101899827294</v>
      </c>
      <c r="AJ42" s="39">
        <f>VLOOKUP($B42&amp;$C42,'[1]FC1 Prod'!$A$6:$BP$36,[2]Consolidated!AJ$1)</f>
        <v>1.5730891374204272</v>
      </c>
      <c r="AK42" s="39">
        <f>VLOOKUP($B42&amp;$C42,'[1]FC1 Prod'!$A$6:$BP$36,[2]Consolidated!AK$1)</f>
        <v>0.54830392080025059</v>
      </c>
      <c r="AL42" s="40" t="str">
        <f>VLOOKUP($B42&amp;$C42,'[1]FC1 Prod'!$A$6:$BP$36,[2]Consolidated!AL$1)</f>
        <v>10/70</v>
      </c>
      <c r="AM42" s="41">
        <f>VLOOKUP($B42&amp;$C42,'[1]FC1 Prod'!$A$6:$BP$36,[2]Consolidated!AM$1)</f>
        <v>2.3747841105354061E-2</v>
      </c>
      <c r="AN42" s="42">
        <f>VLOOKUP($B42&amp;$C42,'[1]FC1 Prod'!$A$6:$BP$36,[2]Consolidated!AN$1)</f>
        <v>104</v>
      </c>
      <c r="AO42" s="43">
        <f>VLOOKUP($B42&amp;$C42,'[1]FC1 Prod'!$A$6:$BP$36,[2]Consolidated!AO$1)</f>
        <v>3.7519999999999998</v>
      </c>
      <c r="AP42" s="44">
        <f>VLOOKUP($B42&amp;$C42,'[1]FC1 Prod'!$A$6:$BP$36,[2]Consolidated!AP$1)</f>
        <v>4.6525043177892913</v>
      </c>
      <c r="AQ42" s="44">
        <f>VLOOKUP($B42&amp;$C42,'[1]FC1 Prod'!$A$6:$BP$36,[2]Consolidated!AQ$1)</f>
        <v>22.746354272932948</v>
      </c>
      <c r="AR42" s="45">
        <f>VLOOKUP($B42&amp;$C42,'[1]FC1 Prod'!$A$6:$BP$36,[2]Consolidated!AR$1)</f>
        <v>0.98484848484848475</v>
      </c>
      <c r="AS42" s="46">
        <f>VLOOKUP($B42&amp;$C42,'[1]FC1 Prod'!$A$6:$BP$36,[2]Consolidated!AS$1)</f>
        <v>2.13</v>
      </c>
      <c r="AT42" s="29">
        <f>VLOOKUP($B42&amp;$C42,'[1]FC1 Prod'!$A$6:$BP$36,[2]Consolidated!AT$1)</f>
        <v>0.80638161570661593</v>
      </c>
      <c r="AU42" s="34">
        <f>VLOOKUP($B42&amp;$C42,'[1]FC1 Prod'!$A$6:$BP$36,[2]Consolidated!AU$1)</f>
        <v>352.38552188552194</v>
      </c>
      <c r="AV42" s="34">
        <f>VLOOKUP($B42&amp;$C42,'[1]FC1 Prod'!$A$6:$BP$36,[2]Consolidated!AV$1)</f>
        <v>275</v>
      </c>
      <c r="AW42" s="47">
        <f>VLOOKUP($B42&amp;$C42,'[1]FC1 Prod'!$A$6:$BP$36,[2]Consolidated!AW$1)</f>
        <v>20240.295768566495</v>
      </c>
      <c r="AX42" s="47">
        <f>VLOOKUP($B42&amp;$C42,'[1]FC1 Prod'!$A$6:$BP$36,[2]Consolidated!AX$1)</f>
        <v>15732.124352331606</v>
      </c>
      <c r="AY42" s="48">
        <f>VLOOKUP($B42&amp;$C42,'[1]FC1 Prod'!$A$6:$BP$36,[2]Consolidated!AY$1)</f>
        <v>1907.5129533678755</v>
      </c>
      <c r="AZ42" s="47">
        <f>VLOOKUP($B42&amp;$C42,'[1]FC1 Prod'!$A$6:$BP$36,[2]Consolidated!AZ$1)</f>
        <v>1618.719775474957</v>
      </c>
      <c r="BA42" s="47">
        <f>VLOOKUP($B42&amp;$C42,'[1]FC1 Prod'!$A$6:$BP$36,[2]Consolidated!BA$1)</f>
        <v>27217.150259067355</v>
      </c>
      <c r="BB42" s="47">
        <f>VLOOKUP($B42&amp;$C42,'[1]FC1 Prod'!$A$6:$BP$36,[2]Consolidated!BB$1)</f>
        <v>667.15803108808291</v>
      </c>
      <c r="BC42" s="47">
        <f>VLOOKUP($B42&amp;$C42,'[1]FC1 Prod'!$A$6:$BP$36,[2]Consolidated!BC$1)</f>
        <v>8839.7582037996526</v>
      </c>
      <c r="BD42" s="49">
        <f>VLOOKUP($B42&amp;$C42,'[1]FC1 Prod'!$A$6:$BP$36,[2]Consolidated!BD$1)</f>
        <v>76222.719343696022</v>
      </c>
      <c r="BE42" s="47">
        <f>VLOOKUP($B42&amp;$C42,'[1]FC1 Prod'!$A$6:$BP$36,[2]Consolidated!BE$1)</f>
        <v>18038.367659758202</v>
      </c>
      <c r="BF42" s="47">
        <f>VLOOKUP($B42&amp;$C42,'[1]FC1 Prod'!$A$6:$BP$36,[2]Consolidated!BF$1)</f>
        <v>14531.157167530224</v>
      </c>
      <c r="BG42" s="50">
        <f>VLOOKUP($B42&amp;$C42,'[1]FC1 Prod'!$A$6:$BP$36,[2]Consolidated!BG$1)</f>
        <v>2052.9404145077719</v>
      </c>
      <c r="BH42" s="50">
        <f>VLOOKUP($B42&amp;$C42,'[1]FC1 Prod'!$A$6:$BP$36,[2]Consolidated!BH$1)</f>
        <v>634.58335276338516</v>
      </c>
      <c r="BI42" s="50">
        <f>VLOOKUP($B42&amp;$C42,'[1]FC1 Prod'!$A$6:$BP$36,[2]Consolidated!BI$1)</f>
        <v>72932.676832901547</v>
      </c>
      <c r="BJ42" s="37" t="e">
        <f>VLOOKUP($B42&amp;$C42,'[1]FC1 Prod'!$A$6:$BP$36,[2]Consolidated!BJ$1)</f>
        <v>#REF!</v>
      </c>
      <c r="BK42" s="37" t="e">
        <f>VLOOKUP($B42&amp;$C42,'[1]FC1 Prod'!$A$6:$BP$36,[2]Consolidated!BK$1)</f>
        <v>#REF!</v>
      </c>
      <c r="BL42" s="37" t="e">
        <f>VLOOKUP($B42&amp;$C42,'[1]FC1 Prod'!$A$6:$BP$36,[2]Consolidated!BL$1)</f>
        <v>#REF!</v>
      </c>
      <c r="BM42" s="37" t="e">
        <f>VLOOKUP($B42&amp;$C42,'[1]FC1 Prod'!$A$6:$BP$36,[2]Consolidated!BM$1)</f>
        <v>#REF!</v>
      </c>
      <c r="BN42" s="37" t="e">
        <f>VLOOKUP($B42&amp;$C42,'[1]FC1 Prod'!$A$6:$BP$36,[2]Consolidated!BN$1)</f>
        <v>#REF!</v>
      </c>
      <c r="BO42" s="37" t="e">
        <f>VLOOKUP($B42&amp;$C42,'[1]FC1 Prod'!$A$6:$BP$36,[2]Consolidated!BO$1)</f>
        <v>#REF!</v>
      </c>
      <c r="BP42" s="37" t="str">
        <f>VLOOKUP($B42&amp;$C42,'[1]FC1 Prod'!$A$6:$BP$36,[2]Consolidated!BP$1)</f>
        <v>NIL</v>
      </c>
      <c r="BQ42" s="51" t="e">
        <f>VLOOKUP($B42&amp;$C42,'[1]FC1 Prod'!$A$6:$BP$36,[2]Consolidated!BQ$1)</f>
        <v>#REF!</v>
      </c>
      <c r="BR42" s="51">
        <f>VLOOKUP($B42&amp;$C42,'[1]FC1 Prod'!$A$6:$BQ$36,[2]Consolidated!BR$1)</f>
        <v>60759</v>
      </c>
      <c r="BS42" s="52">
        <f t="shared" ref="BS42:BS44" si="49">BE42+BF42+BG42+BA42</f>
        <v>61839.615500863554</v>
      </c>
      <c r="BT42" s="32">
        <f>BR42-BS42</f>
        <v>-1080.6155008635542</v>
      </c>
      <c r="BU42" s="37">
        <f>E42*BT42</f>
        <v>-25027.054999999917</v>
      </c>
      <c r="BV42" s="53" t="s">
        <v>131</v>
      </c>
      <c r="BW42" s="54" cm="1">
        <f t="array" ref="BW42">IFERROR(VLOOKUP($A42,TRANSPOSE('[1]Fur 1 PLC'!$AR$1:$BV$38),8,0),0)</f>
        <v>0</v>
      </c>
      <c r="BX42" s="54" cm="1">
        <f t="array" ref="BX42">IFERROR(VLOOKUP($A42,TRANSPOSE('[1]Fur 1 PLC'!$AR$1:$BV$38),30,0),0)</f>
        <v>113.38514680483591</v>
      </c>
      <c r="BY42" s="54" cm="1">
        <f t="array" ref="BY42">IFERROR(VLOOKUP($A42,TRANSPOSE('[1]Fur 1 PLC'!$AR$1:$BV$38),14,0),0)</f>
        <v>0</v>
      </c>
      <c r="BZ42" s="54" cm="1">
        <f t="array" ref="BZ42">IFERROR(VLOOKUP($A42,TRANSPOSE('[1]Fur 1 PLC'!$AR$1:$BV$38),16,0),0)</f>
        <v>0</v>
      </c>
      <c r="CA42" s="54" cm="1">
        <f t="array" ref="CA42">IFERROR(VLOOKUP($A42,TRANSPOSE('[1]Fur 1 PLC'!$AR$1:$BV$38),9,0),0)</f>
        <v>315.71675302245251</v>
      </c>
      <c r="CB42" s="54" cm="1">
        <f t="array" ref="CB42">IFERROR(VLOOKUP($A42,TRANSPOSE('[1]Fur 1 PLC'!$AR$1:$BV$38),17,0),0)</f>
        <v>0</v>
      </c>
      <c r="CC42" s="54" cm="1">
        <f t="array" ref="CC42">IFERROR(VLOOKUP($A42,TRANSPOSE('[1]Fur 1 PLC'!$AR$1:$BV$38),20,0),0)</f>
        <v>840.88946459412784</v>
      </c>
      <c r="CD42" s="54" cm="1">
        <f t="array" ref="CD42">IFERROR(VLOOKUP($A42,TRANSPOSE('[1]Fur 1 PLC'!$AR$1:$BV$38),28,0),0)</f>
        <v>0</v>
      </c>
      <c r="CE42" s="54" cm="1">
        <f t="array" ref="CE42">IFERROR(VLOOKUP($A42,TRANSPOSE('[1]Fur 1 PLC'!$AR$1:$BV$38),13,0),0)</f>
        <v>0</v>
      </c>
      <c r="CF42" s="54" cm="1">
        <f t="array" ref="CF42">IFERROR(VLOOKUP($A42,TRANSPOSE('[1]Fur 1 PLC'!$AR$1:$BV$38),37,0),0)</f>
        <v>583.37651122625209</v>
      </c>
      <c r="CG42" s="54" cm="1">
        <f t="array" ref="CG42">IFERROR(VLOOKUP($A42,TRANSPOSE('[1]Fur 1 PLC'!$AR$1:$BV$38),6,0),0)</f>
        <v>0</v>
      </c>
      <c r="CH42" s="54" cm="1">
        <f t="array" ref="CH42">IFERROR(VLOOKUP($A42,TRANSPOSE('[1]Fur 1 PLC'!$AR$1:$BV$38),21,0),0)</f>
        <v>0</v>
      </c>
      <c r="CI42" s="54" cm="1">
        <f t="array" ref="CI42">IFERROR(VLOOKUP($A42,TRANSPOSE('[1]Fur 1 PLC'!$AR$1:$BV$38),12,0),0)</f>
        <v>0</v>
      </c>
      <c r="CJ42" s="54" cm="1">
        <f t="array" ref="CJ42">IFERROR(VLOOKUP($A42,TRANSPOSE('[1]Fur 1 PLC'!$AR$1:$BV$38),25,0),0)</f>
        <v>0</v>
      </c>
      <c r="CK42" s="54" cm="1">
        <f t="array" ref="CK42">IFERROR(VLOOKUP($A42,TRANSPOSE('[1]Fur 1 PLC'!$AR$1:$BV$38),26,0),0)</f>
        <v>0</v>
      </c>
      <c r="CL42" s="54" cm="1">
        <f t="array" ref="CL42">IFERROR(VLOOKUP($A42,TRANSPOSE('[1]Fur 1 PLC'!$AR$1:$BV$38),27,0),0)</f>
        <v>512.86701208981003</v>
      </c>
      <c r="CM42" s="54" cm="1">
        <f t="array" ref="CM42">IFERROR(VLOOKUP($A42,TRANSPOSE('[1]Fur 1 PLC'!$AR$1:$BV$38),22,0),0)</f>
        <v>0</v>
      </c>
      <c r="CN42" s="54"/>
      <c r="CO42" s="54" cm="1">
        <f t="array" ref="CO42">IFERROR(VLOOKUP($A42,TRANSPOSE('[1]Fur 1 PLC'!$AR$1:$BV$38),29,0),0)</f>
        <v>0</v>
      </c>
      <c r="CP42" s="54" cm="1">
        <f t="array" ref="CP42">IFERROR(VLOOKUP($A42,TRANSPOSE('[1]Fur 1 PLC'!$AR$1:$BV$38),10,0),0)</f>
        <v>0</v>
      </c>
      <c r="CQ42" s="54" cm="1">
        <f t="array" ref="CQ42">IFERROR(VLOOKUP($A42,TRANSPOSE('[1]Fur 1 PLC'!$AR$1:$BV$38),7,0),0)</f>
        <v>258.63557858376515</v>
      </c>
      <c r="CR42" s="54" cm="1">
        <f t="array" ref="CR42">IFERROR(VLOOKUP($A42,TRANSPOSE('[1]Fur 1 PLC'!$AR$1:$BV$38),35,0),0)</f>
        <v>199.09326424870466</v>
      </c>
      <c r="CS42" s="54" cm="1">
        <f t="array" ref="CS42">IFERROR(VLOOKUP($A42,TRANSPOSE('[1]Fur 1 PLC'!$AR$1:$BV$38),11,0),0)</f>
        <v>0</v>
      </c>
      <c r="CT42" s="54" cm="1">
        <f t="array" ref="CT42">IFERROR(VLOOKUP($A42,TRANSPOSE('[1]Fur 1 PLC'!$AR$1:$BV$38),19,0),0)</f>
        <v>0</v>
      </c>
      <c r="CU42" s="54" cm="1">
        <f t="array" ref="CU42">IFERROR(VLOOKUP($A42,TRANSPOSE('[1]Fur 1 PLC'!$AR$1:$BV$38),18,0),0)</f>
        <v>525.7772020725389</v>
      </c>
      <c r="CV42" s="54" cm="1">
        <f t="array" ref="CV42">IFERROR(VLOOKUP($A42,TRANSPOSE('[1]Fur 1 PLC'!$AR$1:$BV$38),15,0),0)</f>
        <v>158.29015544041451</v>
      </c>
      <c r="CW42" s="54" cm="1">
        <f t="array" ref="CW42">IFERROR(VLOOKUP($A42,TRANSPOSE('[1]Fur 1 PLC'!$CL$1:$DP$38),8,0),0)</f>
        <v>0</v>
      </c>
      <c r="CX42" s="54" cm="1">
        <f t="array" ref="CX42">IFERROR(VLOOKUP($A42,TRANSPOSE('[1]Fur 1 PLC'!$CL$1:$DP$38),30,0),0)</f>
        <v>48.629629629629626</v>
      </c>
      <c r="CY42" s="54" cm="1">
        <f t="array" ref="CY42">IFERROR(VLOOKUP($A42,TRANSPOSE('[1]Fur 1 PLC'!$CL$1:$DP$38),14,0),0)</f>
        <v>0</v>
      </c>
      <c r="CZ42" s="54" cm="1">
        <f t="array" ref="CZ42">IFERROR(VLOOKUP($A42,TRANSPOSE('[1]Fur 1 PLC'!$CL$1:$DP$38),16,0),0)</f>
        <v>0</v>
      </c>
      <c r="DA42" s="54" cm="1">
        <f t="array" ref="DA42">IFERROR(VLOOKUP($A42,TRANSPOSE('[1]Fur 1 PLC'!$CL$1:$DP$38),9,0),0)</f>
        <v>135.40740740740742</v>
      </c>
      <c r="DB42" s="55" cm="1">
        <f t="array" ref="DB42">IFERROR(VLOOKUP($A42,TRANSPOSE('[1]Fur 1 PLC'!$CL$1:$DP$38),17,0),0)</f>
        <v>0</v>
      </c>
      <c r="DC42" s="55" cm="1">
        <f t="array" ref="DC42">IFERROR(VLOOKUP($A42,TRANSPOSE('[1]Fur 1 PLC'!$CL$1:$DP$38),20,0),0)</f>
        <v>360.64814814814815</v>
      </c>
      <c r="DD42" s="54" cm="1">
        <f t="array" ref="DD42">IFERROR(VLOOKUP($A42,TRANSPOSE('[1]Fur 1 PLC'!$CL$1:$DP$38),28,0),0)</f>
        <v>0</v>
      </c>
      <c r="DE42" s="54" cm="1">
        <f t="array" ref="DE42">IFERROR(VLOOKUP($A42,TRANSPOSE('[1]Fur 1 PLC'!$CL$1:$DP$38),13,0),0)</f>
        <v>0</v>
      </c>
      <c r="DF42" s="54" cm="1">
        <f t="array" ref="DF42">IFERROR(VLOOKUP($A42,TRANSPOSE('[1]Fur 1 PLC'!$CL$1:$DP$38),37,0),0)</f>
        <v>250.2037037037037</v>
      </c>
      <c r="DG42" s="54" cm="1">
        <f t="array" ref="DG42">IFERROR(VLOOKUP($A42,TRANSPOSE('[1]Fur 1 PLC'!$CL$1:$DP$38),6,0),0)</f>
        <v>0</v>
      </c>
      <c r="DH42" s="54" cm="1">
        <f t="array" ref="DH42">IFERROR(VLOOKUP($A42,TRANSPOSE('[1]Fur 1 PLC'!$CL$1:$DP$38),21,0),0)</f>
        <v>0</v>
      </c>
      <c r="DI42" s="54" cm="1">
        <f t="array" ref="DI42">IFERROR(VLOOKUP($A42,TRANSPOSE('[1]Fur 1 PLC'!$CL$1:$DP$38),12,0),0)</f>
        <v>0</v>
      </c>
      <c r="DJ42" s="54" cm="1">
        <f t="array" ref="DJ42">IFERROR(VLOOKUP($A42,TRANSPOSE('[1]Fur 1 PLC'!$CL$1:$DP$38),25,0),0)</f>
        <v>0</v>
      </c>
      <c r="DK42" s="54" cm="1">
        <f t="array" ref="DK42">IFERROR(VLOOKUP($A42,TRANSPOSE('[1]Fur 1 PLC'!$CL$1:$DP$38),26,0),0)</f>
        <v>0</v>
      </c>
      <c r="DL42" s="54" cm="1">
        <f t="array" ref="DL42">IFERROR(VLOOKUP($A42,TRANSPOSE('[1]Fur 1 PLC'!$CL$1:$DP$38),27,0),0)</f>
        <v>219.96296296296296</v>
      </c>
      <c r="DM42" s="54" cm="1">
        <f t="array" ref="DM42">IFERROR(VLOOKUP($A42,TRANSPOSE('[1]Fur 1 PLC'!$CL$1:$DP$38),22,0),0)</f>
        <v>0</v>
      </c>
      <c r="DN42" s="54" cm="1">
        <f t="array" ref="DN42">IFERROR(VLOOKUP($A42,TRANSPOSE('[1]Fur 1 PLC'!$CL$1:$DP$38),19,0),0)</f>
        <v>0</v>
      </c>
      <c r="DO42" s="54" cm="1">
        <f t="array" ref="DO42">IFERROR(VLOOKUP($A42,TRANSPOSE('[1]Fur 1 PLC'!$CL$1:$DP$38),29,0),0)</f>
        <v>0</v>
      </c>
      <c r="DP42" s="54" cm="1">
        <f t="array" ref="DP42">IFERROR(VLOOKUP($A42,TRANSPOSE('[1]Fur 1 PLC'!$CL$1:$DP$38),10,0),0)</f>
        <v>0</v>
      </c>
      <c r="DQ42" s="54" cm="1">
        <f t="array" ref="DQ42">IFERROR(VLOOKUP($A42,TRANSPOSE('[1]Fur 1 PLC'!$CL$1:$DP$38),7,0),0)</f>
        <v>110.92592592592592</v>
      </c>
      <c r="DR42" s="54" cm="1">
        <f t="array" ref="DR42">IFERROR(VLOOKUP($A42,TRANSPOSE('[1]Fur 1 PLC'!$CL$1:$DP$38),35,0),0)</f>
        <v>85.388888888888886</v>
      </c>
      <c r="DS42" s="54" cm="1">
        <f t="array" ref="DS42">IFERROR(VLOOKUP($A42,TRANSPOSE('[1]Fur 1 PLC'!$CL$1:$DP$38),11,0),0)</f>
        <v>0</v>
      </c>
      <c r="DT42" s="54" cm="1">
        <f t="array" ref="DT42">IFERROR(VLOOKUP($A42,TRANSPOSE('[1]Fur 1 PLC'!$CL$1:$DP$38),19,0),0)</f>
        <v>0</v>
      </c>
      <c r="DU42" s="54" cm="1">
        <f t="array" ref="DU42">IFERROR(VLOOKUP($A42,TRANSPOSE('[1]Fur 1 PLC'!$CL$1:$DP$38),18,0),0)</f>
        <v>225.5</v>
      </c>
      <c r="DV42" s="54" cm="1">
        <f t="array" ref="DV42">IFERROR(VLOOKUP($A42,TRANSPOSE('[1]Fur 1 PLC'!$CL$1:$DP$38),15,0),0)</f>
        <v>67.888888888888886</v>
      </c>
      <c r="DW42" t="str">
        <f>TEXT(C42,"Mmm-yy")</f>
        <v>Dec-25</v>
      </c>
    </row>
    <row r="43" spans="1:127" x14ac:dyDescent="0.3">
      <c r="A43" s="28" t="str">
        <f t="shared" si="1"/>
        <v>F246002</v>
      </c>
      <c r="B43" s="29" t="s">
        <v>27</v>
      </c>
      <c r="C43" s="30">
        <f>C42</f>
        <v>46002</v>
      </c>
      <c r="D43" s="29" t="str">
        <f>VLOOKUP($B43&amp;$C43,'[1]FC2 Prod'!$A$6:$BP$36,[2]Consolidated!D$1)</f>
        <v>Mr. Girish Malik</v>
      </c>
      <c r="E43" s="29">
        <f>VLOOKUP($B43&amp;$C43,'[1]FC2 Prod'!$A$6:$BP$36,[2]Consolidated!E$1)</f>
        <v>29.39</v>
      </c>
      <c r="F43" s="29">
        <f>VLOOKUP($B43&amp;$C43,'[1]FC2 Prod'!$A$6:$BP$36,[2]Consolidated!F$1)</f>
        <v>0.25499999999999901</v>
      </c>
      <c r="G43" s="29">
        <f>VLOOKUP($B43&amp;$C43,'[1]FC2 Prod'!$A$6:$BP$36,[2]Consolidated!G$1)</f>
        <v>29.645</v>
      </c>
      <c r="H43" s="32">
        <f>VLOOKUP($B43&amp;$C43,'[1]FC2 Prod'!$A$6:$BP$36,[2]Consolidated!H$1)</f>
        <v>21.07</v>
      </c>
      <c r="I43" s="32">
        <f>VLOOKUP($B43&amp;$C43,'[1]FC2 Prod'!$A$6:$BP$36,[2]Consolidated!I$1)</f>
        <v>6.08</v>
      </c>
      <c r="J43" s="32">
        <f>VLOOKUP($B43&amp;$C43,'[1]FC2 Prod'!$A$6:$BP$36,[2]Consolidated!J$1)</f>
        <v>40.21</v>
      </c>
      <c r="K43" s="32">
        <f>VLOOKUP($B43&amp;$C43,'[1]FC2 Prod'!$A$6:$BP$36,[2]Consolidated!K$1)</f>
        <v>1.34</v>
      </c>
      <c r="L43" s="32">
        <f>VLOOKUP($B43&amp;$C43,'[1]FC2 Prod'!$A$6:$BP$36,[2]Consolidated!L$1)</f>
        <v>28.32</v>
      </c>
      <c r="M43" s="32">
        <f>VLOOKUP($B43&amp;$C43,'[1]FC2 Prod'!$A$6:$BP$36,[2]Consolidated!M$1)</f>
        <v>4.6500000000000004</v>
      </c>
      <c r="N43" s="32">
        <f>VLOOKUP($B43&amp;$C43,'[1]FC2 Prod'!$A$6:$BP$36,[2]Consolidated!N$1)</f>
        <v>15.52</v>
      </c>
      <c r="O43" s="32">
        <f>VLOOKUP($B43&amp;$C43,'[1]FC2 Prod'!$A$6:$BP$36,[2]Consolidated!O$1)</f>
        <v>0.82</v>
      </c>
      <c r="P43" s="34">
        <f>VLOOKUP($B43&amp;$C43,'[1]FC2 Prod'!$A$6:$BP$36,[2]Consolidated!P$1)</f>
        <v>9</v>
      </c>
      <c r="Q43" s="29">
        <f>VLOOKUP($B43&amp;$C43,'[1]FC2 Prod'!$A$6:$BP$36,[2]Consolidated!Q$1)</f>
        <v>60.383000000000003</v>
      </c>
      <c r="R43" s="29">
        <f>VLOOKUP($B43&amp;$C43,'[1]FC2 Prod'!$A$6:$BP$36,[2]Consolidated!R$1)</f>
        <v>18.567</v>
      </c>
      <c r="S43" s="34">
        <f>VLOOKUP($B43&amp;$C43,'[1]FC2 Prod'!$A$6:$BP$36,[2]Consolidated!S$1)</f>
        <v>24</v>
      </c>
      <c r="T43" s="34">
        <f>VLOOKUP($B43&amp;$C43,'[1]FC2 Prod'!$A$6:$BP$36,[2]Consolidated!T$1)</f>
        <v>22</v>
      </c>
      <c r="U43" s="34">
        <f>VLOOKUP($B43&amp;$C43,'[1]FC2 Prod'!$A$6:$BP$36,[2]Consolidated!U$1)</f>
        <v>22</v>
      </c>
      <c r="V43" s="34">
        <f>VLOOKUP($B43&amp;$C43,'[1]FC2 Prod'!$A$6:$BP$36,[2]Consolidated!V$1)</f>
        <v>68</v>
      </c>
      <c r="W43" s="29">
        <f>VLOOKUP($B43&amp;$C43,'[1]FC2 Prod'!$A$6:$BP$36,[2]Consolidated!W$1)</f>
        <v>2.054542361347397</v>
      </c>
      <c r="X43" s="35">
        <f>VLOOKUP($B43&amp;$C43,'[1]FC2 Prod'!$A$6:$BP$36,[2]Consolidated!X$1)</f>
        <v>30.559999999999995</v>
      </c>
      <c r="Y43" s="36">
        <f>VLOOKUP($B43&amp;$C43,'[1]FC2 Prod'!$A$6:$BP$36,[2]Consolidated!Y$1)</f>
        <v>0.961714659685864</v>
      </c>
      <c r="Z43" s="37" t="str">
        <f>VLOOKUP($B43&amp;$C43,'[1]FC2 Prod'!$A$6:$BP$36,[2]Consolidated!Z$1)</f>
        <v>55/22</v>
      </c>
      <c r="AA43" s="31">
        <f>VLOOKUP($B43&amp;$C43,'[1]FC2 Prod'!$A$6:$BP$36,[2]Consolidated!AA$1)</f>
        <v>54.818888888888893</v>
      </c>
      <c r="AB43" s="31">
        <f>VLOOKUP($B43&amp;$C43,'[1]FC2 Prod'!$A$6:$BP$36,[2]Consolidated!AB$1)</f>
        <v>22.125555555555554</v>
      </c>
      <c r="AC43" s="31">
        <f>VLOOKUP($B43&amp;$C43,'[1]FC2 Prod'!$A$6:$BP$36,[2]Consolidated!AC$1)</f>
        <v>0.40999999999999992</v>
      </c>
      <c r="AD43" s="38">
        <f>VLOOKUP($B43&amp;$C43,'[1]FC2 Prod'!$A$6:$BP$36,[2]Consolidated!AD$1)</f>
        <v>563.29892249064312</v>
      </c>
      <c r="AE43" s="38">
        <f>VLOOKUP($B43&amp;$C43,'[1]FC2 Prod'!$A$6:$BP$36,[2]Consolidated!AE$1)</f>
        <v>651.24343544062617</v>
      </c>
      <c r="AF43" s="39">
        <f>VLOOKUP($B43&amp;$C43,'[1]FC2 Prod'!$A$6:$BP$36,[2]Consolidated!AF$1)</f>
        <v>0.97317581660738006</v>
      </c>
      <c r="AG43" s="39">
        <f>VLOOKUP($B43&amp;$C43,'[1]FC2 Prod'!$A$6:$BP$36,[2]Consolidated!AG$1)</f>
        <v>0.84175725858639738</v>
      </c>
      <c r="AH43" s="34">
        <f>VLOOKUP($B43&amp;$C43,'[1]FC2 Prod'!$A$6:$BP$36,[2]Consolidated!AH$1)</f>
        <v>506.81678666212991</v>
      </c>
      <c r="AI43" s="33">
        <f>VLOOKUP($B43&amp;$C43,'[1]FC2 Prod'!$A$6:$BP$36,[2]Consolidated!AI$1)</f>
        <v>465.20148567539979</v>
      </c>
      <c r="AJ43" s="39">
        <f>VLOOKUP($B43&amp;$C43,'[1]FC2 Prod'!$A$6:$BP$36,[2]Consolidated!AJ$1)</f>
        <v>0.41934991827976387</v>
      </c>
      <c r="AK43" s="39">
        <f>VLOOKUP($B43&amp;$C43,'[1]FC2 Prod'!$A$6:$BP$36,[2]Consolidated!AK$1)</f>
        <v>0.47734261996814126</v>
      </c>
      <c r="AL43" s="40" t="str">
        <f>VLOOKUP($B43&amp;$C43,'[1]FC2 Prod'!$A$6:$BP$36,[2]Consolidated!AL$1)</f>
        <v>10/70</v>
      </c>
      <c r="AM43" s="41">
        <f>VLOOKUP($B43&amp;$C43,'[1]FC2 Prod'!$A$6:$BP$36,[2]Consolidated!AM$1)</f>
        <v>2.7220142905750255E-2</v>
      </c>
      <c r="AN43" s="42">
        <f>VLOOKUP($B43&amp;$C43,'[1]FC2 Prod'!$A$6:$BP$36,[2]Consolidated!AN$1)</f>
        <v>143.19999999999999</v>
      </c>
      <c r="AO43" s="43">
        <f>VLOOKUP($B43&amp;$C43,'[1]FC2 Prod'!$A$6:$BP$36,[2]Consolidated!AO$1)</f>
        <v>6.1059999999999999</v>
      </c>
      <c r="AP43" s="44">
        <f>VLOOKUP($B43&amp;$C43,'[1]FC2 Prod'!$A$6:$BP$36,[2]Consolidated!AP$1)</f>
        <v>5.0801633208574337</v>
      </c>
      <c r="AQ43" s="44">
        <f>VLOOKUP($B43&amp;$C43,'[1]FC2 Prod'!$A$6:$BP$36,[2]Consolidated!AQ$1)</f>
        <v>29.075840930303215</v>
      </c>
      <c r="AR43" s="45">
        <f>VLOOKUP($B43&amp;$C43,'[1]FC2 Prod'!$A$6:$BP$36,[2]Consolidated!AR$1)</f>
        <v>0.97814207650273233</v>
      </c>
      <c r="AS43" s="46">
        <f>VLOOKUP($B43&amp;$C43,'[1]FC2 Prod'!$A$6:$BP$36,[2]Consolidated!AS$1)</f>
        <v>2.1533333333333329</v>
      </c>
      <c r="AT43" s="29">
        <f>VLOOKUP($B43&amp;$C43,'[1]FC2 Prod'!$A$6:$BP$36,[2]Consolidated!AT$1)</f>
        <v>0.78210985974122949</v>
      </c>
      <c r="AU43" s="34">
        <f>VLOOKUP($B43&amp;$C43,'[1]FC2 Prod'!$A$6:$BP$36,[2]Consolidated!AU$1)</f>
        <v>496.95791245791247</v>
      </c>
      <c r="AV43" s="34">
        <f>VLOOKUP($B43&amp;$C43,'[1]FC2 Prod'!$A$6:$BP$36,[2]Consolidated!AV$1)</f>
        <v>216.66666666666666</v>
      </c>
      <c r="AW43" s="47">
        <f>VLOOKUP($B43&amp;$C43,'[1]FC2 Prod'!$A$6:$BP$36,[2]Consolidated!AW$1)</f>
        <v>21460.234773732562</v>
      </c>
      <c r="AX43" s="47">
        <f>VLOOKUP($B43&amp;$C43,'[1]FC2 Prod'!$A$6:$BP$36,[2]Consolidated!AX$1)</f>
        <v>15568.696835658387</v>
      </c>
      <c r="AY43" s="48">
        <f>VLOOKUP($B43&amp;$C43,'[1]FC2 Prod'!$A$6:$BP$36,[2]Consolidated!AY$1)</f>
        <v>2043.1439265056138</v>
      </c>
      <c r="AZ43" s="47">
        <f>VLOOKUP($B43&amp;$C43,'[1]FC2 Prod'!$A$6:$BP$36,[2]Consolidated!AZ$1)</f>
        <v>2079.4334807757741</v>
      </c>
      <c r="BA43" s="47">
        <f>VLOOKUP($B43&amp;$C43,'[1]FC2 Prod'!$A$6:$BP$36,[2]Consolidated!BA$1)</f>
        <v>29718.955427015986</v>
      </c>
      <c r="BB43" s="47">
        <f>VLOOKUP($B43&amp;$C43,'[1]FC2 Prod'!$A$6:$BP$36,[2]Consolidated!BB$1)</f>
        <v>708.70464443688331</v>
      </c>
      <c r="BC43" s="47">
        <f>VLOOKUP($B43&amp;$C43,'[1]FC2 Prod'!$A$6:$BP$36,[2]Consolidated!BC$1)</f>
        <v>9652.3103096291234</v>
      </c>
      <c r="BD43" s="49">
        <f>VLOOKUP($B43&amp;$C43,'[1]FC2 Prod'!$A$6:$BP$36,[2]Consolidated!BD$1)</f>
        <v>81231.47939775433</v>
      </c>
      <c r="BE43" s="47">
        <f>VLOOKUP($B43&amp;$C43,'[1]FC2 Prod'!$A$6:$BP$36,[2]Consolidated!BE$1)</f>
        <v>25684.96437563797</v>
      </c>
      <c r="BF43" s="47">
        <f>VLOOKUP($B43&amp;$C43,'[1]FC2 Prod'!$A$6:$BP$36,[2]Consolidated!BF$1)</f>
        <v>14264.634229329702</v>
      </c>
      <c r="BG43" s="50">
        <f>VLOOKUP($B43&amp;$C43,'[1]FC2 Prod'!$A$6:$BP$36,[2]Consolidated!BG$1)</f>
        <v>1861.2453215379383</v>
      </c>
      <c r="BH43" s="50">
        <f>VLOOKUP($B43&amp;$C43,'[1]FC2 Prod'!$A$6:$BP$36,[2]Consolidated!BH$1)</f>
        <v>736.09232834297381</v>
      </c>
      <c r="BI43" s="50">
        <f>VLOOKUP($B43&amp;$C43,'[1]FC2 Prod'!$A$6:$BP$36,[2]Consolidated!BI$1)</f>
        <v>83997.635472269467</v>
      </c>
      <c r="BJ43" s="37" t="e">
        <f>VLOOKUP($B43&amp;$C43,'[1]FC2 Prod'!$A$6:$BP$36,[2]Consolidated!BJ$1)</f>
        <v>#REF!</v>
      </c>
      <c r="BK43" s="37" t="e">
        <f>VLOOKUP($B43&amp;$C43,'[1]FC2 Prod'!$A$6:$BP$36,[2]Consolidated!BK$1)</f>
        <v>#REF!</v>
      </c>
      <c r="BL43" s="37" t="e">
        <f>VLOOKUP($B43&amp;$C43,'[1]FC2 Prod'!$A$6:$BP$36,[2]Consolidated!BL$1)</f>
        <v>#REF!</v>
      </c>
      <c r="BM43" s="37" t="e">
        <f>VLOOKUP($B43&amp;$C43,'[1]FC2 Prod'!$A$6:$BP$36,[2]Consolidated!BM$1)</f>
        <v>#REF!</v>
      </c>
      <c r="BN43" s="37" t="e">
        <f>VLOOKUP($B43&amp;$C43,'[1]FC2 Prod'!$A$6:$BP$36,[2]Consolidated!BN$1)</f>
        <v>#REF!</v>
      </c>
      <c r="BO43" s="37" t="e">
        <f>VLOOKUP($B43&amp;$C43,'[1]FC2 Prod'!$A$6:$BP$36,[2]Consolidated!BO$1)</f>
        <v>#REF!</v>
      </c>
      <c r="BP43" s="37" t="str">
        <f>VLOOKUP($B43&amp;$C43,'[1]FC2 Prod'!$A$6:$BP$36,[2]Consolidated!BP$1)</f>
        <v>NIL</v>
      </c>
      <c r="BQ43" s="29" t="e">
        <f>VLOOKUP($B43&amp;$C43,'[1]FC2 Prod'!$A$6:$BP$36,[2]Consolidated!BQ$1)</f>
        <v>#REF!</v>
      </c>
      <c r="BR43" s="51">
        <f>VLOOKUP($B43&amp;$C43,'[1]FC2 Prod'!$A$6:$BQ$36,[2]Consolidated!BR$1)</f>
        <v>69902</v>
      </c>
      <c r="BS43" s="52">
        <f t="shared" si="49"/>
        <v>71529.799353521594</v>
      </c>
      <c r="BT43" s="32">
        <f>BR43-BS43</f>
        <v>-1627.7993535215937</v>
      </c>
      <c r="BU43" s="37">
        <f>E43*BT43</f>
        <v>-47841.022999999637</v>
      </c>
      <c r="BV43" s="53" t="s">
        <v>131</v>
      </c>
      <c r="BW43" s="54" cm="1">
        <f t="array" ref="BW43">IFERROR(VLOOKUP($A43,TRANSPOSE('[1]Fur 2 PLC'!$AR$1:$BV$38),8,0),0)</f>
        <v>0</v>
      </c>
      <c r="BX43" s="54" cm="1">
        <f t="array" ref="BX43">IFERROR(VLOOKUP($A43,TRANSPOSE('[1]Fur 2 PLC'!$AR$1:$BV$38),30,0),0)</f>
        <v>0</v>
      </c>
      <c r="BY43" s="54" cm="1">
        <f t="array" ref="BY43">IFERROR(VLOOKUP($A43,TRANSPOSE('[1]Fur 2 PLC'!$AR$1:$BV$38),14,0),0)</f>
        <v>0</v>
      </c>
      <c r="BZ43" s="54" cm="1">
        <f t="array" ref="BZ43">IFERROR(VLOOKUP($A43,TRANSPOSE('[1]Fur 2 PLC'!$AR$1:$BV$38),16,0),0)</f>
        <v>0</v>
      </c>
      <c r="CA43" s="54" cm="1">
        <f t="array" ref="CA43">IFERROR(VLOOKUP($A43,TRANSPOSE('[1]Fur 2 PLC'!$AR$1:$BV$38),9,0),0)</f>
        <v>523.20517182715207</v>
      </c>
      <c r="CB43" s="54" cm="1">
        <f t="array" ref="CB43">IFERROR(VLOOKUP($A43,TRANSPOSE('[1]Fur 2 PLC'!$AR$1:$BV$38),17,0),0)</f>
        <v>416.4681864579789</v>
      </c>
      <c r="CC43" s="54" cm="1">
        <f t="array" ref="CC43">IFERROR(VLOOKUP($A43,TRANSPOSE('[1]Fur 2 PLC'!$AR$1:$BV$38),20,0),0)</f>
        <v>0</v>
      </c>
      <c r="CD43" s="54" cm="1">
        <f t="array" ref="CD43">IFERROR(VLOOKUP($A43,TRANSPOSE('[1]Fur 2 PLC'!$AR$1:$BV$38),28,0),0)</f>
        <v>131.94964273562437</v>
      </c>
      <c r="CE43" s="54" cm="1">
        <f t="array" ref="CE43">IFERROR(VLOOKUP($A43,TRANSPOSE('[1]Fur 2 PLC'!$AR$1:$BV$38),13,0),0)</f>
        <v>0</v>
      </c>
      <c r="CF43" s="54" cm="1">
        <f t="array" ref="CF43">IFERROR(VLOOKUP($A43,TRANSPOSE('[1]Fur 2 PLC'!$AR$1:$BV$38),37,0),0)</f>
        <v>689.35011908812521</v>
      </c>
      <c r="CG43" s="54" cm="1">
        <f t="array" ref="CG43">IFERROR(VLOOKUP($A43,TRANSPOSE('[1]Fur 2 PLC'!$AR$1:$BV$38),6,0),0)</f>
        <v>0</v>
      </c>
      <c r="CH43" s="54" cm="1">
        <f t="array" ref="CH43">IFERROR(VLOOKUP($A43,TRANSPOSE('[1]Fur 2 PLC'!$AR$1:$BV$38),21,0),0)</f>
        <v>0</v>
      </c>
      <c r="CI43" s="54" cm="1">
        <f t="array" ref="CI43">IFERROR(VLOOKUP($A43,TRANSPOSE('[1]Fur 2 PLC'!$AR$1:$BV$38),12,0),0)</f>
        <v>0</v>
      </c>
      <c r="CJ43" s="54" cm="1">
        <f t="array" ref="CJ43">IFERROR(VLOOKUP($A43,TRANSPOSE('[1]Fur 2 PLC'!$AR$1:$BV$38),25,0),0)</f>
        <v>0</v>
      </c>
      <c r="CK43" s="54" cm="1">
        <f t="array" ref="CK43">IFERROR(VLOOKUP($A43,TRANSPOSE('[1]Fur 2 PLC'!$AR$1:$BV$38),26,0),0)</f>
        <v>0</v>
      </c>
      <c r="CL43" s="54" cm="1">
        <f t="array" ref="CL43">IFERROR(VLOOKUP($A43,TRANSPOSE('[1]Fur 2 PLC'!$AR$1:$BV$38),27,0),0)</f>
        <v>499.79584892820691</v>
      </c>
      <c r="CM43" s="54" cm="1">
        <f t="array" ref="CM43">IFERROR(VLOOKUP($A43,TRANSPOSE('[1]Fur 2 PLC'!$AR$1:$BV$38),22,0),0)</f>
        <v>0</v>
      </c>
      <c r="CN43" s="54"/>
      <c r="CO43" s="54" cm="1">
        <f t="array" ref="CO43">IFERROR(VLOOKUP($A43,TRANSPOSE('[1]Fur 2 PLC'!$AR$1:$BV$38),29,0),0)</f>
        <v>0</v>
      </c>
      <c r="CP43" s="54" cm="1">
        <f t="array" ref="CP43">IFERROR(VLOOKUP($A43,TRANSPOSE('[1]Fur 2 PLC'!$AR$1:$BV$38),10,0),0)</f>
        <v>0</v>
      </c>
      <c r="CQ43" s="54" cm="1">
        <f t="array" ref="CQ43">IFERROR(VLOOKUP($A43,TRANSPOSE('[1]Fur 2 PLC'!$AR$1:$BV$38),7,0),0)</f>
        <v>185.26709765226269</v>
      </c>
      <c r="CR43" s="54" cm="1">
        <f t="array" ref="CR43">IFERROR(VLOOKUP($A43,TRANSPOSE('[1]Fur 2 PLC'!$AR$1:$BV$38),35,0),0)</f>
        <v>0</v>
      </c>
      <c r="CS43" s="54" cm="1">
        <f t="array" ref="CS43">IFERROR(VLOOKUP($A43,TRANSPOSE('[1]Fur 2 PLC'!$AR$1:$BV$38),11,0),0)</f>
        <v>761.10922082340926</v>
      </c>
      <c r="CT43" s="54" cm="1">
        <f t="array" ref="CT43">IFERROR(VLOOKUP($A43,TRANSPOSE('[1]Fur 2 PLC'!$AR$1:$BV$38),19,0),0)</f>
        <v>0</v>
      </c>
      <c r="CU43" s="54" cm="1">
        <f t="array" ref="CU43">IFERROR(VLOOKUP($A43,TRANSPOSE('[1]Fur 2 PLC'!$AR$1:$BV$38),18,0),0)</f>
        <v>0</v>
      </c>
      <c r="CV43" s="54" cm="1">
        <f t="array" ref="CV43">IFERROR(VLOOKUP($A43,TRANSPOSE('[1]Fur 2 PLC'!$AR$1:$BV$38),15,0),0)</f>
        <v>353.75978223885676</v>
      </c>
      <c r="CW43" s="54" cm="1">
        <f t="array" ref="CW43">IFERROR(VLOOKUP($A43,TRANSPOSE('[1]Fur 2 PLC'!$CI$1:$DM$38),8,0),0)</f>
        <v>0</v>
      </c>
      <c r="CX43" s="54" cm="1">
        <f t="array" ref="CX43">IFERROR(VLOOKUP($A43,TRANSPOSE('[1]Fur 2 PLC'!$CI$1:$DM$38),30,0),0)</f>
        <v>0</v>
      </c>
      <c r="CY43" s="54" cm="1">
        <f t="array" ref="CY43">IFERROR(VLOOKUP($A43,TRANSPOSE('[1]Fur 2 PLC'!$CI$1:$DM$38),14,0),0)</f>
        <v>0</v>
      </c>
      <c r="CZ43" s="54" cm="1">
        <f t="array" ref="CZ43">IFERROR(VLOOKUP($A43,TRANSPOSE('[1]Fur 2 PLC'!$CI$1:$DM$38),16,0),0)</f>
        <v>0</v>
      </c>
      <c r="DA43" s="54" cm="1">
        <f t="array" ref="DA43">IFERROR(VLOOKUP($A43,TRANSPOSE('[1]Fur 2 PLC'!$CI$1:$DM$38),9,0),0)</f>
        <v>226.13235294117649</v>
      </c>
      <c r="DB43" s="55" cm="1">
        <f t="array" ref="DB43">IFERROR(VLOOKUP($A43,TRANSPOSE('[1]Fur 2 PLC'!$CI$1:$DM$38),17,0),0)</f>
        <v>180</v>
      </c>
      <c r="DC43" s="55" cm="1">
        <f t="array" ref="DC43">IFERROR(VLOOKUP($A43,TRANSPOSE('[1]Fur 2 PLC'!$CI$1:$DM$38),20,0),0)</f>
        <v>0</v>
      </c>
      <c r="DD43" s="54" cm="1">
        <f t="array" ref="DD43">IFERROR(VLOOKUP($A43,TRANSPOSE('[1]Fur 2 PLC'!$CI$1:$DM$38),28,0),0)</f>
        <v>57.029411764705884</v>
      </c>
      <c r="DE43" s="54" cm="1">
        <f t="array" ref="DE43">IFERROR(VLOOKUP($A43,TRANSPOSE('[1]Fur 2 PLC'!$CI$1:$DM$38),13,0),0)</f>
        <v>0</v>
      </c>
      <c r="DF43" s="54" cm="1">
        <f t="array" ref="DF43">IFERROR(VLOOKUP($A43,TRANSPOSE('[1]Fur 2 PLC'!$CI$1:$DM$38),37,0),0)</f>
        <v>297.94117647058829</v>
      </c>
      <c r="DG43" s="54" cm="1">
        <f t="array" ref="DG43">IFERROR(VLOOKUP($A43,TRANSPOSE('[1]Fur 2 PLC'!$CI$1:$DM$38),6,0),0)</f>
        <v>0</v>
      </c>
      <c r="DH43" s="54" cm="1">
        <f t="array" ref="DH43">IFERROR(VLOOKUP($A43,TRANSPOSE('[1]Fur 2 PLC'!$CI$1:$DM$38),21,0),0)</f>
        <v>0</v>
      </c>
      <c r="DI43" s="54" cm="1">
        <f t="array" ref="DI43">IFERROR(VLOOKUP($A43,TRANSPOSE('[1]Fur 2 PLC'!$CI$1:$DM$38),12,0),0)</f>
        <v>0</v>
      </c>
      <c r="DJ43" s="54" cm="1">
        <f t="array" ref="DJ43">IFERROR(VLOOKUP($A43,TRANSPOSE('[1]Fur 2 PLC'!$CI$1:$DM$38),25,0),0)</f>
        <v>0</v>
      </c>
      <c r="DK43" s="54" cm="1">
        <f t="array" ref="DK43">IFERROR(VLOOKUP($A43,TRANSPOSE('[1]Fur 2 PLC'!$CI$1:$DM$38),26,0),0)</f>
        <v>0</v>
      </c>
      <c r="DL43" s="54" cm="1">
        <f t="array" ref="DL43">IFERROR(VLOOKUP($A43,TRANSPOSE('[1]Fur 2 PLC'!$CI$1:$DM$38),27,0),0)</f>
        <v>216.01470588235293</v>
      </c>
      <c r="DM43" s="54" cm="1">
        <f t="array" ref="DM43">IFERROR(VLOOKUP($A43,TRANSPOSE('[1]Fur 2 PLC'!$CI$1:$DM$38),22,0),0)</f>
        <v>0</v>
      </c>
      <c r="DN43" s="54" cm="1">
        <f t="array" ref="DN43">IFERROR(VLOOKUP($A43,TRANSPOSE('[1]Fur 2 PLC'!$CI$1:$DM$38),19,0),0)</f>
        <v>0</v>
      </c>
      <c r="DO43" s="54" cm="1">
        <f t="array" ref="DO43">IFERROR(VLOOKUP($A43,TRANSPOSE('[1]Fur 2 PLC'!$CI$1:$DM$38),29,0),0)</f>
        <v>0</v>
      </c>
      <c r="DP43" s="54" cm="1">
        <f t="array" ref="DP43">IFERROR(VLOOKUP($A43,TRANSPOSE('[1]Fur 2 PLC'!$CI$1:$DM$38),10,0),0)</f>
        <v>0</v>
      </c>
      <c r="DQ43" s="54" cm="1">
        <f t="array" ref="DQ43">IFERROR(VLOOKUP($A43,TRANSPOSE('[1]Fur 2 PLC'!$CI$1:$DM$38),7,0),0)</f>
        <v>80.07352941176471</v>
      </c>
      <c r="DR43" s="54" cm="1">
        <f t="array" ref="DR43">IFERROR(VLOOKUP($A43,TRANSPOSE('[1]Fur 2 PLC'!$CI$1:$DM$38),35,0),0)</f>
        <v>0</v>
      </c>
      <c r="DS43" s="54" cm="1">
        <f t="array" ref="DS43">IFERROR(VLOOKUP($A43,TRANSPOSE('[1]Fur 2 PLC'!$CI$1:$DM$38),11,0),0)</f>
        <v>328.95588235294116</v>
      </c>
      <c r="DT43" s="54" cm="1">
        <f t="array" ref="DT43">IFERROR(VLOOKUP($A43,TRANSPOSE('[1]Fur 2 PLC'!$CI$1:$DM$38),19,0),0)</f>
        <v>0</v>
      </c>
      <c r="DU43" s="54" cm="1">
        <f t="array" ref="DU43">IFERROR(VLOOKUP($A43,TRANSPOSE('[1]Fur 2 PLC'!$CI$1:$DM$38),18,0),0)</f>
        <v>0</v>
      </c>
      <c r="DV43" s="54" cm="1">
        <f t="array" ref="DV43">IFERROR(VLOOKUP($A43,TRANSPOSE('[1]Fur 2 PLC'!$CI$1:$DM$38),15,0),0)</f>
        <v>152.89705882352942</v>
      </c>
      <c r="DW43" t="str">
        <f t="shared" ref="DW43:DW45" si="50">TEXT(C43,"Mmm-yy")</f>
        <v>Dec-25</v>
      </c>
    </row>
    <row r="44" spans="1:127" x14ac:dyDescent="0.3">
      <c r="A44" s="28" t="str">
        <f t="shared" si="1"/>
        <v>F346002</v>
      </c>
      <c r="B44" s="29" t="s">
        <v>28</v>
      </c>
      <c r="C44" s="30">
        <f>C43</f>
        <v>46002</v>
      </c>
      <c r="D44" s="29" t="str">
        <f>VLOOKUP($B44&amp;$C44,'[1]FC3 Prod'!$A$6:$BP$36,[2]Consolidated!D$1)</f>
        <v>Mr. Ajay Singh</v>
      </c>
      <c r="E44" s="29">
        <f>VLOOKUP($B44&amp;$C44,'[1]FC3 Prod'!$A$6:$BP$36,[2]Consolidated!E$1)</f>
        <v>38.21</v>
      </c>
      <c r="F44" s="31">
        <f>VLOOKUP($B44&amp;$C44,'[1]FC3 Prod'!$A$6:$BP$36,[2]Consolidated!F$1)</f>
        <v>0.28999999999999915</v>
      </c>
      <c r="G44" s="32">
        <f>VLOOKUP($B44&amp;$C44,'[1]FC3 Prod'!$A$6:$BP$36,[2]Consolidated!G$1)</f>
        <v>38.5</v>
      </c>
      <c r="H44" s="32">
        <f>VLOOKUP($B44&amp;$C44,'[1]FC3 Prod'!$A$6:$BP$36,[2]Consolidated!H$1)</f>
        <v>29.47</v>
      </c>
      <c r="I44" s="32">
        <f>VLOOKUP($B44&amp;$C44,'[1]FC3 Prod'!$A$6:$BP$36,[2]Consolidated!I$1)</f>
        <v>10.88</v>
      </c>
      <c r="J44" s="32">
        <f>VLOOKUP($B44&amp;$C44,'[1]FC3 Prod'!$A$6:$BP$36,[2]Consolidated!J$1)</f>
        <v>38.1</v>
      </c>
      <c r="K44" s="32">
        <f>VLOOKUP($B44&amp;$C44,'[1]FC3 Prod'!$A$6:$BP$36,[2]Consolidated!K$1)</f>
        <v>1.38</v>
      </c>
      <c r="L44" s="32">
        <f>VLOOKUP($B44&amp;$C44,'[1]FC3 Prod'!$A$6:$BP$36,[2]Consolidated!L$1)</f>
        <v>25.62</v>
      </c>
      <c r="M44" s="32">
        <f>VLOOKUP($B44&amp;$C44,'[1]FC3 Prod'!$A$6:$BP$36,[2]Consolidated!M$1)</f>
        <v>5.0199999999999996</v>
      </c>
      <c r="N44" s="32">
        <f>VLOOKUP($B44&amp;$C44,'[1]FC3 Prod'!$A$6:$BP$36,[2]Consolidated!N$1)</f>
        <v>15.21</v>
      </c>
      <c r="O44" s="32">
        <f>VLOOKUP($B44&amp;$C44,'[1]FC3 Prod'!$A$6:$BP$36,[2]Consolidated!O$1)</f>
        <v>0.8</v>
      </c>
      <c r="P44" s="33">
        <f>VLOOKUP($B44&amp;$C44,'[1]FC3 Prod'!$A$6:$BP$36,[2]Consolidated!P$1)</f>
        <v>8</v>
      </c>
      <c r="Q44" s="29">
        <f>VLOOKUP($B44&amp;$C44,'[1]FC3 Prod'!$A$6:$BP$36,[2]Consolidated!Q$1)</f>
        <v>81.120999999999995</v>
      </c>
      <c r="R44" s="29">
        <f>VLOOKUP($B44&amp;$C44,'[1]FC3 Prod'!$A$6:$BP$36,[2]Consolidated!R$1)</f>
        <v>26.702999999999999</v>
      </c>
      <c r="S44" s="34">
        <f>VLOOKUP($B44&amp;$C44,'[1]FC3 Prod'!$A$6:$BP$36,[2]Consolidated!S$1)</f>
        <v>32</v>
      </c>
      <c r="T44" s="34">
        <f>VLOOKUP($B44&amp;$C44,'[1]FC3 Prod'!$A$6:$BP$36,[2]Consolidated!T$1)</f>
        <v>20</v>
      </c>
      <c r="U44" s="34">
        <f>VLOOKUP($B44&amp;$C44,'[1]FC3 Prod'!$A$6:$BP$36,[2]Consolidated!U$1)</f>
        <v>23</v>
      </c>
      <c r="V44" s="34">
        <f>VLOOKUP($B44&amp;$C44,'[1]FC3 Prod'!$A$6:$BP$36,[2]Consolidated!V$1)</f>
        <v>75</v>
      </c>
      <c r="W44" s="35">
        <f>VLOOKUP($B44&amp;$C44,'[1]FC3 Prod'!$A$6:$BP$36,[2]Consolidated!W$1)</f>
        <v>2.1230306202564773</v>
      </c>
      <c r="X44" s="35">
        <f>VLOOKUP($B44&amp;$C44,'[1]FC3 Prod'!$A$6:$BP$36,[2]Consolidated!X$1)</f>
        <v>39.695000000000007</v>
      </c>
      <c r="Y44" s="36">
        <f>VLOOKUP($B44&amp;$C44,'[1]FC3 Prod'!$A$6:$BP$36,[2]Consolidated!Y$1)</f>
        <v>0.96258974681949849</v>
      </c>
      <c r="Z44" s="37" t="str">
        <f>VLOOKUP($B44&amp;$C44,'[1]FC3 Prod'!$A$6:$BP$36,[2]Consolidated!Z$1)</f>
        <v>60/15</v>
      </c>
      <c r="AA44" s="31">
        <f>VLOOKUP($B44&amp;$C44,'[1]FC3 Prod'!$A$6:$BP$36,[2]Consolidated!AA$1)</f>
        <v>59.784999999999997</v>
      </c>
      <c r="AB44" s="31">
        <f>VLOOKUP($B44&amp;$C44,'[1]FC3 Prod'!$A$6:$BP$36,[2]Consolidated!AB$1)</f>
        <v>15.05875</v>
      </c>
      <c r="AC44" s="31" t="e">
        <f>VLOOKUP($B44&amp;$C44,'[1]FC3 Prod'!$A$6:$BP$36,[2]Consolidated!AC$1)</f>
        <v>#REF!</v>
      </c>
      <c r="AD44" s="38">
        <f>VLOOKUP($B44&amp;$C44,'[1]FC3 Prod'!$A$6:$BP$36,[2]Consolidated!AD$1)</f>
        <v>786.8890879612668</v>
      </c>
      <c r="AE44" s="38">
        <f>VLOOKUP($B44&amp;$C44,'[1]FC3 Prod'!$A$6:$BP$36,[2]Consolidated!AE$1)</f>
        <v>691.3713644595656</v>
      </c>
      <c r="AF44" s="39">
        <f>VLOOKUP($B44&amp;$C44,'[1]FC3 Prod'!$A$6:$BP$36,[2]Consolidated!AF$1)</f>
        <v>0.75976399869638056</v>
      </c>
      <c r="AG44" s="39">
        <f>VLOOKUP($B44&amp;$C44,'[1]FC3 Prod'!$A$6:$BP$36,[2]Consolidated!AG$1)</f>
        <v>0.8647306364320283</v>
      </c>
      <c r="AH44" s="34">
        <f>VLOOKUP($B44&amp;$C44,'[1]FC3 Prod'!$A$6:$BP$36,[2]Consolidated!AH$1)</f>
        <v>516.98468987176125</v>
      </c>
      <c r="AI44" s="33">
        <f>VLOOKUP($B44&amp;$C44,'[1]FC3 Prod'!$A$6:$BP$36,[2]Consolidated!AI$1)</f>
        <v>409.24848861554563</v>
      </c>
      <c r="AJ44" s="39">
        <f>VLOOKUP($B44&amp;$C44,'[1]FC3 Prod'!$A$6:$BP$36,[2]Consolidated!AJ$1)</f>
        <v>0.33182629528156971</v>
      </c>
      <c r="AK44" s="39">
        <f>VLOOKUP($B44&amp;$C44,'[1]FC3 Prod'!$A$6:$BP$36,[2]Consolidated!AK$1)</f>
        <v>0.45216503569437849</v>
      </c>
      <c r="AL44" s="40" t="str">
        <f>VLOOKUP($B44&amp;$C44,'[1]FC3 Prod'!$A$6:$BP$36,[2]Consolidated!AL$1)</f>
        <v>25/50</v>
      </c>
      <c r="AM44" s="41">
        <f>VLOOKUP($B44&amp;$C44,'[1]FC3 Prod'!$A$6:$BP$36,[2]Consolidated!AM$1)</f>
        <v>3.6116199947657676E-2</v>
      </c>
      <c r="AN44" s="42">
        <f>VLOOKUP($B44&amp;$C44,'[1]FC3 Prod'!$A$6:$BP$36,[2]Consolidated!AN$1)</f>
        <v>147</v>
      </c>
      <c r="AO44" s="43">
        <f>VLOOKUP($B44&amp;$C44,'[1]FC3 Prod'!$A$6:$BP$36,[2]Consolidated!AO$1)</f>
        <v>6.1059999999999999</v>
      </c>
      <c r="AP44" s="44">
        <f>VLOOKUP($B44&amp;$C44,'[1]FC3 Prod'!$A$6:$BP$36,[2]Consolidated!AP$1)</f>
        <v>4.0069615283957081</v>
      </c>
      <c r="AQ44" s="44">
        <f>VLOOKUP($B44&amp;$C44,'[1]FC3 Prod'!$A$6:$BP$36,[2]Consolidated!AQ$1)</f>
        <v>29.306316518382115</v>
      </c>
      <c r="AR44" s="45">
        <f>VLOOKUP($B44&amp;$C44,'[1]FC3 Prod'!$A$6:$BP$36,[2]Consolidated!AR$1)</f>
        <v>1.0040983606557379</v>
      </c>
      <c r="AS44" s="46">
        <f>VLOOKUP($B44&amp;$C44,'[1]FC3 Prod'!$A$6:$BP$36,[2]Consolidated!AS$1)</f>
        <v>2.1533333333333333</v>
      </c>
      <c r="AT44" s="29">
        <f>VLOOKUP($B44&amp;$C44,'[1]FC3 Prod'!$A$6:$BP$36,[2]Consolidated!AT$1)</f>
        <v>0.79453133543332422</v>
      </c>
      <c r="AU44" s="34">
        <f>VLOOKUP($B44&amp;$C44,'[1]FC3 Prod'!$A$6:$BP$36,[2]Consolidated!AU$1)</f>
        <v>528.35690235690242</v>
      </c>
      <c r="AV44" s="34">
        <f>VLOOKUP($B44&amp;$C44,'[1]FC3 Prod'!$A$6:$BP$36,[2]Consolidated!AV$1)</f>
        <v>183.33333333333334</v>
      </c>
      <c r="AW44" s="47">
        <f>VLOOKUP($B44&amp;$C44,'[1]FC3 Prod'!$A$6:$BP$36,[2]Consolidated!AW$1)</f>
        <v>30714.94765768123</v>
      </c>
      <c r="AX44" s="47">
        <f>VLOOKUP($B44&amp;$C44,'[1]FC3 Prod'!$A$6:$BP$36,[2]Consolidated!AX$1)</f>
        <v>11630.183721538862</v>
      </c>
      <c r="AY44" s="48">
        <f>VLOOKUP($B44&amp;$C44,'[1]FC3 Prod'!$A$6:$BP$36,[2]Consolidated!AY$1)</f>
        <v>1719.9162522899765</v>
      </c>
      <c r="AZ44" s="47">
        <f>VLOOKUP($B44&amp;$C44,'[1]FC3 Prod'!$A$6:$BP$36,[2]Consolidated!AZ$1)</f>
        <v>2178.1196021983774</v>
      </c>
      <c r="BA44" s="47">
        <f>VLOOKUP($B44&amp;$C44,'[1]FC3 Prod'!$A$6:$BP$36,[2]Consolidated!BA$1)</f>
        <v>23440.724941114891</v>
      </c>
      <c r="BB44" s="47">
        <f>VLOOKUP($B44&amp;$C44,'[1]FC3 Prod'!$A$6:$BP$36,[2]Consolidated!BB$1)</f>
        <v>696.83892174823347</v>
      </c>
      <c r="BC44" s="47">
        <f>VLOOKUP($B44&amp;$C44,'[1]FC3 Prod'!$A$6:$BP$36,[2]Consolidated!BC$1)</f>
        <v>7613.2269039518451</v>
      </c>
      <c r="BD44" s="49">
        <f>VLOOKUP($B44&amp;$C44,'[1]FC3 Prod'!$A$6:$BP$36,[2]Consolidated!BD$1)</f>
        <v>77993.958000523417</v>
      </c>
      <c r="BE44" s="47">
        <f>VLOOKUP($B44&amp;$C44,'[1]FC3 Prod'!$A$6:$BP$36,[2]Consolidated!BE$1)</f>
        <v>26865.00287882753</v>
      </c>
      <c r="BF44" s="47">
        <f>VLOOKUP($B44&amp;$C44,'[1]FC3 Prod'!$A$6:$BP$36,[2]Consolidated!BF$1)</f>
        <v>9289.1232138183714</v>
      </c>
      <c r="BG44" s="50">
        <f>VLOOKUP($B44&amp;$C44,'[1]FC3 Prod'!$A$6:$BP$36,[2]Consolidated!BG$1)</f>
        <v>1059.0840094216173</v>
      </c>
      <c r="BH44" s="50">
        <f>VLOOKUP($B44&amp;$C44,'[1]FC3 Prod'!$A$6:$BP$36,[2]Consolidated!BH$1)</f>
        <v>628.32054645380788</v>
      </c>
      <c r="BI44" s="50">
        <f>VLOOKUP($B44&amp;$C44,'[1]FC3 Prod'!$A$6:$BP$36,[2]Consolidated!BI$1)</f>
        <v>71073.602095786438</v>
      </c>
      <c r="BJ44" s="37" t="e">
        <f>VLOOKUP($B44&amp;$C44,'[1]FC3 Prod'!$A$6:$BP$36,[2]Consolidated!BJ$1)</f>
        <v>#REF!</v>
      </c>
      <c r="BK44" s="37" t="e">
        <f>VLOOKUP($B44&amp;$C44,'[1]FC3 Prod'!$A$6:$BP$36,[2]Consolidated!BK$1)</f>
        <v>#REF!</v>
      </c>
      <c r="BL44" s="37" t="e">
        <f>VLOOKUP($B44&amp;$C44,'[1]FC3 Prod'!$A$6:$BP$36,[2]Consolidated!BL$1)</f>
        <v>#REF!</v>
      </c>
      <c r="BM44" s="37" t="e">
        <f>VLOOKUP($B44&amp;$C44,'[1]FC3 Prod'!$A$6:$BP$36,[2]Consolidated!BM$1)</f>
        <v>#REF!</v>
      </c>
      <c r="BN44" s="37" t="e">
        <f>VLOOKUP($B44&amp;$C44,'[1]FC3 Prod'!$A$6:$BP$36,[2]Consolidated!BN$1)</f>
        <v>#REF!</v>
      </c>
      <c r="BO44" s="37" t="e">
        <f>VLOOKUP($B44&amp;$C44,'[1]FC3 Prod'!$A$6:$BP$36,[2]Consolidated!BO$1)</f>
        <v>#REF!</v>
      </c>
      <c r="BP44" s="37" t="str">
        <f>VLOOKUP($B44&amp;$C44,'[1]FC3 Prod'!$A$6:$BP$36,[2]Consolidated!BP$1)</f>
        <v>NIL</v>
      </c>
      <c r="BQ44" s="51" t="e">
        <f>VLOOKUP($B44&amp;$C44,'[1]FC3 Prod'!$A$6:$BP$36,[2]Consolidated!BQ$1)</f>
        <v>#REF!</v>
      </c>
      <c r="BR44" s="51">
        <f>VLOOKUP($B44&amp;$C44,'[1]FC3 Prod'!$A$6:$BQ$36,[2]Consolidated!BR$1)</f>
        <v>60369</v>
      </c>
      <c r="BS44" s="52">
        <f t="shared" si="49"/>
        <v>60653.935043182413</v>
      </c>
      <c r="BT44" s="32">
        <f t="shared" ref="BT44:BT45" si="51">BR44-BS44</f>
        <v>-284.93504318241321</v>
      </c>
      <c r="BU44" s="37">
        <f t="shared" ref="BU44:BU45" si="52">E44*BT44</f>
        <v>-10887.368000000009</v>
      </c>
      <c r="BV44" s="53" t="s">
        <v>131</v>
      </c>
      <c r="BW44" s="54" cm="1">
        <f t="array" ref="BW44">IFERROR(VLOOKUP($A44,TRANSPOSE('[1]Fur 3 PLC'!$AS$1:$BX$38),8,0),0)</f>
        <v>893.32635435749808</v>
      </c>
      <c r="BX44" s="54" cm="1">
        <f t="array" ref="BX44">IFERROR(VLOOKUP($A44,TRANSPOSE('[1]Fur 3 PLC'!$AS$1:$BX$38),30,0),0)</f>
        <v>0</v>
      </c>
      <c r="BY44" s="54" cm="1">
        <f t="array" ref="BY44">IFERROR(VLOOKUP($A44,TRANSPOSE('[1]Fur 3 PLC'!$AS$1:$BX$38),14,0),0)</f>
        <v>0</v>
      </c>
      <c r="BZ44" s="54" cm="1">
        <f t="array" ref="BZ44">IFERROR(VLOOKUP($A44,TRANSPOSE('[1]Fur 3 PLC'!$AS$1:$BX$38),16,0),0)</f>
        <v>0</v>
      </c>
      <c r="CA44" s="54" cm="1">
        <f t="array" ref="CA44">IFERROR(VLOOKUP($A44,TRANSPOSE('[1]Fur 3 PLC'!$AS$1:$BX$38),9,0),0)</f>
        <v>412.66684114106255</v>
      </c>
      <c r="CB44" s="54" cm="1">
        <f t="array" ref="CB44">IFERROR(VLOOKUP($A44,TRANSPOSE('[1]Fur 3 PLC'!$AS$1:$BX$38),17,0),0)</f>
        <v>0</v>
      </c>
      <c r="CC44" s="54" cm="1">
        <f t="array" ref="CC44">IFERROR(VLOOKUP($A44,TRANSPOSE('[1]Fur 3 PLC'!$AS$1:$BX$38),20,0),0)</f>
        <v>50.091599057838259</v>
      </c>
      <c r="CD44" s="54" cm="1">
        <f t="array" ref="CD44">IFERROR(VLOOKUP($A44,TRANSPOSE('[1]Fur 3 PLC'!$AS$1:$BX$38),28,0),0)</f>
        <v>0</v>
      </c>
      <c r="CE44" s="54" cm="1">
        <f t="array" ref="CE44">IFERROR(VLOOKUP($A44,TRANSPOSE('[1]Fur 3 PLC'!$AS$1:$BX$38),13,0),0)</f>
        <v>0</v>
      </c>
      <c r="CF44" s="54" cm="1">
        <f t="array" ref="CF44">IFERROR(VLOOKUP($A44,TRANSPOSE('[1]Fur 3 PLC'!$AS$1:$BX$38),37,0),0)</f>
        <v>392.25333682282121</v>
      </c>
      <c r="CG44" s="54" cm="1">
        <f t="array" ref="CG44">IFERROR(VLOOKUP($A44,TRANSPOSE('[1]Fur 3 PLC'!$AS$1:$BX$38),6,0),0)</f>
        <v>0</v>
      </c>
      <c r="CH44" s="54" cm="1">
        <f t="array" ref="CH44">IFERROR(VLOOKUP($A44,TRANSPOSE('[1]Fur 3 PLC'!$AS$1:$BX$38),21,0),0)</f>
        <v>0</v>
      </c>
      <c r="CI44" s="54" cm="1">
        <f t="array" ref="CI44">IFERROR(VLOOKUP($A44,TRANSPOSE('[1]Fur 3 PLC'!$AS$1:$BX$38),12,0),0)</f>
        <v>0</v>
      </c>
      <c r="CJ44" s="54" cm="1">
        <f t="array" ref="CJ44">IFERROR(VLOOKUP($A44,TRANSPOSE('[1]Fur 3 PLC'!$AS$1:$BX$38),25,0),0)</f>
        <v>0</v>
      </c>
      <c r="CK44" s="54" cm="1">
        <f t="array" ref="CK44">IFERROR(VLOOKUP($A44,TRANSPOSE('[1]Fur 3 PLC'!$AS$1:$BX$38),26,0),0)</f>
        <v>429.39021198639097</v>
      </c>
      <c r="CL44" s="54" cm="1">
        <f t="array" ref="CL44">IFERROR(VLOOKUP($A44,TRANSPOSE('[1]Fur 3 PLC'!$AS$1:$BX$38),27,0),0)</f>
        <v>137.68646951059932</v>
      </c>
      <c r="CM44" s="54" cm="1">
        <f t="array" ref="CM44">IFERROR(VLOOKUP($A44,TRANSPOSE('[1]Fur 3 PLC'!$AS$1:$BX$38),22,0),0)</f>
        <v>0</v>
      </c>
      <c r="CN44" s="54"/>
      <c r="CO44" s="54" cm="1">
        <f t="array" ref="CO44">IFERROR(VLOOKUP($A44,TRANSPOSE('[1]Fur 3 PLC'!$AS$1:$BX$38),29,0),0)</f>
        <v>131.7717874901858</v>
      </c>
      <c r="CP44" s="54" cm="1">
        <f t="array" ref="CP44">IFERROR(VLOOKUP($A44,TRANSPOSE('[1]Fur 3 PLC'!$AS$1:$BX$38),10,0),0)</f>
        <v>0</v>
      </c>
      <c r="CQ44" s="54" cm="1">
        <f t="array" ref="CQ44">IFERROR(VLOOKUP($A44,TRANSPOSE('[1]Fur 3 PLC'!$AS$1:$BX$38),7,0),0)</f>
        <v>236.09002878827533</v>
      </c>
      <c r="CR44" s="54" cm="1">
        <f t="array" ref="CR44">IFERROR(VLOOKUP($A44,TRANSPOSE('[1]Fur 3 PLC'!$AS$1:$BX$38),35,0),0)</f>
        <v>0</v>
      </c>
      <c r="CS44" s="54" cm="1">
        <f t="array" ref="CS44">IFERROR(VLOOKUP($A44,TRANSPOSE('[1]Fur 3 PLC'!$AS$1:$BX$38),11,0),0)</f>
        <v>0</v>
      </c>
      <c r="CT44" s="54" cm="1">
        <f t="array" ref="CT44">IFERROR(VLOOKUP($A44,TRANSPOSE('[1]Fur 3 PLC'!$AS$1:$BX$38),19,0),0)</f>
        <v>0</v>
      </c>
      <c r="CU44" s="54" cm="1">
        <f t="array" ref="CU44">IFERROR(VLOOKUP($A44,TRANSPOSE('[1]Fur 3 PLC'!$AS$1:$BX$38),18,0),0)</f>
        <v>383.74771002355408</v>
      </c>
      <c r="CV44" s="54" cm="1">
        <f t="array" ref="CV44">IFERROR(VLOOKUP($A44,TRANSPOSE('[1]Fur 3 PLC'!$AR$1:$BV$38),15,0),0)</f>
        <v>383.19811567652448</v>
      </c>
      <c r="CW44" s="54" cm="1">
        <f t="array" ref="CW44">IFERROR(VLOOKUP($A44,TRANSPOSE('[1]Fur 3 PLC'!$CK$1:$DO$38),8,0),0)</f>
        <v>455.12</v>
      </c>
      <c r="CX44" s="54" cm="1">
        <f t="array" ref="CX44">IFERROR(VLOOKUP($A44,TRANSPOSE('[1]Fur 3 PLC'!$CK$1:$DO$38),30,0),0)</f>
        <v>0</v>
      </c>
      <c r="CY44" s="54" cm="1">
        <f t="array" ref="CY44">IFERROR(VLOOKUP($A44,TRANSPOSE('[1]Fur 3 PLC'!$CK$1:$DO$38),14,0),0)</f>
        <v>0</v>
      </c>
      <c r="CZ44" s="54" cm="1">
        <f t="array" ref="CZ44">IFERROR(VLOOKUP($A44,TRANSPOSE('[1]Fur 3 PLC'!$CK$1:$DO$38),16,0),0)</f>
        <v>0</v>
      </c>
      <c r="DA44" s="54" cm="1">
        <f t="array" ref="DA44">IFERROR(VLOOKUP($A44,TRANSPOSE('[1]Fur 3 PLC'!$CK$1:$DO$38),9,0),0)</f>
        <v>210.24</v>
      </c>
      <c r="DB44" s="55" cm="1">
        <f t="array" ref="DB44">IFERROR(VLOOKUP($A44,TRANSPOSE('[1]Fur 3 PLC'!$CK$1:$DO$38),17,0),0)</f>
        <v>0</v>
      </c>
      <c r="DC44" s="55" cm="1">
        <f t="array" ref="DC44">IFERROR(VLOOKUP($A44,TRANSPOSE('[1]Fur 3 PLC'!$CK$1:$DO$38),20,0),0)</f>
        <v>25.519999999999996</v>
      </c>
      <c r="DD44" s="54" cm="1">
        <f t="array" ref="DD44">IFERROR(VLOOKUP($A44,TRANSPOSE('[1]Fur 3 PLC'!$CK$1:$DO$38),28,0),0)</f>
        <v>0</v>
      </c>
      <c r="DE44" s="54" cm="1">
        <f t="array" ref="DE44">IFERROR(VLOOKUP($A44,TRANSPOSE('[1]Fur 3 PLC'!$CK$1:$DO$38),13,0),0)</f>
        <v>0</v>
      </c>
      <c r="DF44" s="54" cm="1">
        <f t="array" ref="DF44">IFERROR(VLOOKUP($A44,TRANSPOSE('[1]Fur 3 PLC'!$CK$1:$DO$38),37,0),0)</f>
        <v>199.84</v>
      </c>
      <c r="DG44" s="54" cm="1">
        <f t="array" ref="DG44">IFERROR(VLOOKUP($A44,TRANSPOSE('[1]Fur 3 PLC'!$CK$1:$DO$38),6,0),0)</f>
        <v>0</v>
      </c>
      <c r="DH44" s="54" cm="1">
        <f t="array" ref="DH44">IFERROR(VLOOKUP($A44,TRANSPOSE('[1]Fur 3 PLC'!$CK$1:$DO$38),21,0),0)</f>
        <v>0</v>
      </c>
      <c r="DI44" s="54" cm="1">
        <f t="array" ref="DI44">IFERROR(VLOOKUP($A44,TRANSPOSE('[1]Fur 3 PLC'!$CK$1:$DO$38),12,0),0)</f>
        <v>0</v>
      </c>
      <c r="DJ44" s="54" cm="1">
        <f t="array" ref="DJ44">IFERROR(VLOOKUP($A44,TRANSPOSE('[1]Fur 3 PLC'!$CK$1:$DO$38),25,0),0)</f>
        <v>0</v>
      </c>
      <c r="DK44" s="54" cm="1">
        <f t="array" ref="DK44">IFERROR(VLOOKUP($A44,TRANSPOSE('[1]Fur 3 PLC'!$CK$1:$DO$38),26,0),0)</f>
        <v>218.76000000000002</v>
      </c>
      <c r="DL44" s="54" cm="1">
        <f t="array" ref="DL44">IFERROR(VLOOKUP($A44,TRANSPOSE('[1]Fur 3 PLC'!$CK$1:$DO$38),27,0),0)</f>
        <v>70.146666666666661</v>
      </c>
      <c r="DM44" s="54" cm="1">
        <f t="array" ref="DM44">IFERROR(VLOOKUP($A44,TRANSPOSE('[1]Fur 3 PLC'!$CK$1:$DO$38),22,0),0)</f>
        <v>0</v>
      </c>
      <c r="DN44" s="54" cm="1">
        <f t="array" ref="DN44">IFERROR(VLOOKUP($A44,TRANSPOSE('[1]Fur 3 PLC'!$CK$1:$DO$38),19,0),0)</f>
        <v>0</v>
      </c>
      <c r="DO44" s="54" cm="1">
        <f t="array" ref="DO44">IFERROR(VLOOKUP($A44,TRANSPOSE('[1]Fur 3 PLC'!$CK$1:$DO$38),29,0),0)</f>
        <v>67.13333333333334</v>
      </c>
      <c r="DP44" s="54" cm="1">
        <f t="array" ref="DP44">IFERROR(VLOOKUP($A44,TRANSPOSE('[1]Fur 3 PLC'!$CK$1:$DO$38),10,0),0)</f>
        <v>0</v>
      </c>
      <c r="DQ44" s="54" cm="1">
        <f t="array" ref="DQ44">IFERROR(VLOOKUP($A44,TRANSPOSE('[1]Fur 3 PLC'!$CK$1:$DO$38),7,0),0)</f>
        <v>120.28000000000002</v>
      </c>
      <c r="DR44" s="54" cm="1">
        <f t="array" ref="DR44">IFERROR(VLOOKUP($A44,TRANSPOSE('[1]Fur 3 PLC'!$CK$1:$DO$38),35,0),0)</f>
        <v>0</v>
      </c>
      <c r="DS44" s="54" cm="1">
        <f t="array" ref="DS44">IFERROR(VLOOKUP($A44,TRANSPOSE('[1]Fur 3 PLC'!$CK$1:$DO$38),11,0),0)</f>
        <v>0</v>
      </c>
      <c r="DT44" s="54" cm="1">
        <f t="array" ref="DT44">IFERROR(VLOOKUP($A44,TRANSPOSE('[1]Fur 3 PLC'!$CK$1:$DO$38),19,0),0)</f>
        <v>0</v>
      </c>
      <c r="DU44" s="54" cm="1">
        <f t="array" ref="DU44">IFERROR(VLOOKUP($A44,TRANSPOSE('[1]Fur 3 PLC'!$CK$1:$DO$38),18,0),0)</f>
        <v>195.50666666666666</v>
      </c>
      <c r="DV44" s="54" cm="1">
        <f t="array" ref="DV44">IFERROR(VLOOKUP($A44,TRANSPOSE('[1]Fur 3 PLC'!$CK$1:$DO$38),15,0),0)</f>
        <v>195.22666666666666</v>
      </c>
      <c r="DW44" t="str">
        <f t="shared" si="50"/>
        <v>Dec-25</v>
      </c>
    </row>
    <row r="45" spans="1:127" x14ac:dyDescent="0.3">
      <c r="A45" s="28" t="str">
        <f t="shared" si="1"/>
        <v>F446002</v>
      </c>
      <c r="B45" s="29" t="s">
        <v>29</v>
      </c>
      <c r="C45" s="30">
        <f>C44</f>
        <v>46002</v>
      </c>
      <c r="D45" s="29" t="str">
        <f>VLOOKUP($B45&amp;$C45,'[1]FC4 Prod'!$A$6:$BP$36,[2]Consolidated!D$1)</f>
        <v>Mr.Ganesh Ghosh Ji</v>
      </c>
      <c r="E45" s="29">
        <f>VLOOKUP($B45&amp;$C45,'[1]FC4 Prod'!$A$6:$BP$36,[2]Consolidated!E$1)</f>
        <v>52.849999999999994</v>
      </c>
      <c r="F45" s="31">
        <f>VLOOKUP($B45&amp;$C45,'[1]FC4 Prod'!$A$6:$BP$36,[2]Consolidated!F$1)</f>
        <v>0.38000000000000256</v>
      </c>
      <c r="G45" s="32">
        <f>VLOOKUP($B45&amp;$C45,'[1]FC4 Prod'!$A$6:$BP$36,[2]Consolidated!G$1)</f>
        <v>53.23</v>
      </c>
      <c r="H45" s="32">
        <f>VLOOKUP($B45&amp;$C45,'[1]FC4 Prod'!$A$6:$BP$36,[2]Consolidated!H$1)</f>
        <v>22.16</v>
      </c>
      <c r="I45" s="32">
        <f>VLOOKUP($B45&amp;$C45,'[1]FC4 Prod'!$A$6:$BP$36,[2]Consolidated!I$1)</f>
        <v>10.62</v>
      </c>
      <c r="J45" s="32">
        <f>VLOOKUP($B45&amp;$C45,'[1]FC4 Prod'!$A$6:$BP$36,[2]Consolidated!J$1)</f>
        <v>40.58</v>
      </c>
      <c r="K45" s="32">
        <f>VLOOKUP($B45&amp;$C45,'[1]FC4 Prod'!$A$6:$BP$36,[2]Consolidated!K$1)</f>
        <v>1.41</v>
      </c>
      <c r="L45" s="32">
        <f>VLOOKUP($B45&amp;$C45,'[1]FC4 Prod'!$A$6:$BP$36,[2]Consolidated!L$1)</f>
        <v>21.68</v>
      </c>
      <c r="M45" s="32">
        <f>VLOOKUP($B45&amp;$C45,'[1]FC4 Prod'!$A$6:$BP$36,[2]Consolidated!M$1)</f>
        <v>5.12</v>
      </c>
      <c r="N45" s="32">
        <f>VLOOKUP($B45&amp;$C45,'[1]FC4 Prod'!$A$6:$BP$36,[2]Consolidated!N$1)</f>
        <v>17.5</v>
      </c>
      <c r="O45" s="32">
        <f>VLOOKUP($B45&amp;$C45,'[1]FC4 Prod'!$A$6:$BP$36,[2]Consolidated!O$1)</f>
        <v>0.66</v>
      </c>
      <c r="P45" s="33">
        <f>VLOOKUP($B45&amp;$C45,'[1]FC4 Prod'!$A$6:$BP$36,[2]Consolidated!P$1)</f>
        <v>8</v>
      </c>
      <c r="Q45" s="29">
        <f>VLOOKUP($B45&amp;$C45,'[1]FC4 Prod'!$A$6:$BP$36,[2]Consolidated!Q$1)</f>
        <v>96.201999999999998</v>
      </c>
      <c r="R45" s="29">
        <f>VLOOKUP($B45&amp;$C45,'[1]FC4 Prod'!$A$6:$BP$36,[2]Consolidated!R$1)</f>
        <v>31.548000000000002</v>
      </c>
      <c r="S45" s="34">
        <f>VLOOKUP($B45&amp;$C45,'[1]FC4 Prod'!$A$6:$BP$36,[2]Consolidated!S$1)</f>
        <v>42</v>
      </c>
      <c r="T45" s="34">
        <f>VLOOKUP($B45&amp;$C45,'[1]FC4 Prod'!$A$6:$BP$36,[2]Consolidated!T$1)</f>
        <v>26</v>
      </c>
      <c r="U45" s="34">
        <f>VLOOKUP($B45&amp;$C45,'[1]FC4 Prod'!$A$6:$BP$36,[2]Consolidated!U$1)</f>
        <v>30</v>
      </c>
      <c r="V45" s="34">
        <f>VLOOKUP($B45&amp;$C45,'[1]FC4 Prod'!$A$6:$BP$36,[2]Consolidated!V$1)</f>
        <v>98</v>
      </c>
      <c r="W45" s="35">
        <f>VLOOKUP($B45&amp;$C45,'[1]FC4 Prod'!$A$6:$BP$36,[2]Consolidated!W$1)</f>
        <v>1.820283822138127</v>
      </c>
      <c r="X45" s="35">
        <f>VLOOKUP($B45&amp;$C45,'[1]FC4 Prod'!$A$6:$BP$36,[2]Consolidated!X$1)</f>
        <v>54.88</v>
      </c>
      <c r="Y45" s="36">
        <f>VLOOKUP($B45&amp;$C45,'[1]FC4 Prod'!$A$6:$BP$36,[2]Consolidated!Y$1)</f>
        <v>0.96301020408163251</v>
      </c>
      <c r="Z45" s="37" t="str">
        <f>VLOOKUP($B45&amp;$C45,'[1]FC4 Prod'!$A$6:$BP$36,[2]Consolidated!Z$1)</f>
        <v>40/8</v>
      </c>
      <c r="AA45" s="31">
        <f>VLOOKUP($B45&amp;$C45,'[1]FC4 Prod'!$A$6:$BP$36,[2]Consolidated!AA$1)</f>
        <v>37.636000000000003</v>
      </c>
      <c r="AB45" s="31">
        <f>VLOOKUP($B45&amp;$C45,'[1]FC4 Prod'!$A$6:$BP$36,[2]Consolidated!AB$1)</f>
        <v>6.5659999999999998</v>
      </c>
      <c r="AC45" s="31">
        <f>VLOOKUP($B45&amp;$C45,'[1]FC4 Prod'!$A$6:$BP$36,[2]Consolidated!AC$1)</f>
        <v>0</v>
      </c>
      <c r="AD45" s="38">
        <f>VLOOKUP($B45&amp;$C45,'[1]FC4 Prod'!$A$6:$BP$36,[2]Consolidated!AD$1)</f>
        <v>443.96138851466424</v>
      </c>
      <c r="AE45" s="38">
        <f>VLOOKUP($B45&amp;$C45,'[1]FC4 Prod'!$A$6:$BP$36,[2]Consolidated!AE$1)</f>
        <v>388.72889199243156</v>
      </c>
      <c r="AF45" s="39">
        <f>VLOOKUP($B45&amp;$C45,'[1]FC4 Prod'!$A$6:$BP$36,[2]Consolidated!AF$1)</f>
        <v>0.84773137875608007</v>
      </c>
      <c r="AG45" s="39">
        <f>VLOOKUP($B45&amp;$C45,'[1]FC4 Prod'!$A$6:$BP$36,[2]Consolidated!AG$1)</f>
        <v>0.96818118681882714</v>
      </c>
      <c r="AH45" s="34">
        <f>VLOOKUP($B45&amp;$C45,'[1]FC4 Prod'!$A$6:$BP$36,[2]Consolidated!AH$1)</f>
        <v>312.72886281929988</v>
      </c>
      <c r="AI45" s="33">
        <f>VLOOKUP($B45&amp;$C45,'[1]FC4 Prod'!$A$6:$BP$36,[2]Consolidated!AI$1)</f>
        <v>327.39876567644285</v>
      </c>
      <c r="AJ45" s="39">
        <f>VLOOKUP($B45&amp;$C45,'[1]FC4 Prod'!$A$6:$BP$36,[2]Consolidated!AJ$1)</f>
        <v>0.43641303915106017</v>
      </c>
      <c r="AK45" s="39">
        <f>VLOOKUP($B45&amp;$C45,'[1]FC4 Prod'!$A$6:$BP$36,[2]Consolidated!AK$1)</f>
        <v>0.62808728307169925</v>
      </c>
      <c r="AL45" s="40" t="str">
        <f>VLOOKUP($B45&amp;$C45,'[1]FC4 Prod'!$A$6:$BP$36,[2]Consolidated!AL$1)</f>
        <v>25/50</v>
      </c>
      <c r="AM45" s="41">
        <f>VLOOKUP($B45&amp;$C45,'[1]FC4 Prod'!$A$6:$BP$36,[2]Consolidated!AM$1)</f>
        <v>4.6168401135288556E-2</v>
      </c>
      <c r="AN45" s="42">
        <f>VLOOKUP($B45&amp;$C45,'[1]FC4 Prod'!$A$6:$BP$36,[2]Consolidated!AN$1)</f>
        <v>145.80000000000001</v>
      </c>
      <c r="AO45" s="43">
        <f>VLOOKUP($B45&amp;$C45,'[1]FC4 Prod'!$A$6:$BP$36,[2]Consolidated!AO$1)</f>
        <v>6.1059999999999999</v>
      </c>
      <c r="AP45" s="44">
        <f>VLOOKUP($B45&amp;$C45,'[1]FC4 Prod'!$A$6:$BP$36,[2]Consolidated!AP$1)</f>
        <v>2.8742857142857146</v>
      </c>
      <c r="AQ45" s="44">
        <f>VLOOKUP($B45&amp;$C45,'[1]FC4 Prod'!$A$6:$BP$36,[2]Consolidated!AQ$1)</f>
        <v>20.122947422767258</v>
      </c>
      <c r="AR45" s="45">
        <f>VLOOKUP($B45&amp;$C45,'[1]FC4 Prod'!$A$6:$BP$36,[2]Consolidated!AR$1)</f>
        <v>0.99590163934426257</v>
      </c>
      <c r="AS45" s="46">
        <f>VLOOKUP($B45&amp;$C45,'[1]FC4 Prod'!$A$6:$BP$36,[2]Consolidated!AS$1)</f>
        <v>2.1566666666666667</v>
      </c>
      <c r="AT45" s="29">
        <f>VLOOKUP($B45&amp;$C45,'[1]FC4 Prod'!$A$6:$BP$36,[2]Consolidated!AT$1)</f>
        <v>0.79156785384256245</v>
      </c>
      <c r="AU45" s="34">
        <f>VLOOKUP($B45&amp;$C45,'[1]FC4 Prod'!$A$6:$BP$36,[2]Consolidated!AU$1)</f>
        <v>521.6094276094276</v>
      </c>
      <c r="AV45" s="34">
        <f>VLOOKUP($B45&amp;$C45,'[1]FC4 Prod'!$A$6:$BP$36,[2]Consolidated!AV$1)</f>
        <v>216.66666666666666</v>
      </c>
      <c r="AW45" s="47">
        <f>VLOOKUP($B45&amp;$C45,'[1]FC4 Prod'!$A$6:$BP$36,[2]Consolidated!AW$1)</f>
        <v>16581.677578051087</v>
      </c>
      <c r="AX45" s="47">
        <f>VLOOKUP($B45&amp;$C45,'[1]FC4 Prod'!$A$6:$BP$36,[2]Consolidated!AX$1)</f>
        <v>7057.7313150425734</v>
      </c>
      <c r="AY45" s="48">
        <f>VLOOKUP($B45&amp;$C45,'[1]FC4 Prod'!$A$6:$BP$36,[2]Consolidated!AY$1)</f>
        <v>470.57710501419115</v>
      </c>
      <c r="AZ45" s="47">
        <f>VLOOKUP($B45&amp;$C45,'[1]FC4 Prod'!$A$6:$BP$36,[2]Consolidated!AZ$1)</f>
        <v>978.73131504257333</v>
      </c>
      <c r="BA45" s="47">
        <f>VLOOKUP($B45&amp;$C45,'[1]FC4 Prod'!$A$6:$BP$36,[2]Consolidated!BA$1)</f>
        <v>16814.571428571431</v>
      </c>
      <c r="BB45" s="47">
        <f>VLOOKUP($B45&amp;$C45,'[1]FC4 Prod'!$A$6:$BP$36,[2]Consolidated!BB$1)</f>
        <v>419.0328874172186</v>
      </c>
      <c r="BC45" s="47">
        <f>VLOOKUP($B45&amp;$C45,'[1]FC4 Prod'!$A$6:$BP$36,[2]Consolidated!BC$1)</f>
        <v>5461.1428571428578</v>
      </c>
      <c r="BD45" s="49">
        <f>VLOOKUP($B45&amp;$C45,'[1]FC4 Prod'!$A$6:$BP$36,[2]Consolidated!BD$1)</f>
        <v>47783.464486281933</v>
      </c>
      <c r="BE45" s="47">
        <f>VLOOKUP($B45&amp;$C45,'[1]FC4 Prod'!$A$6:$BP$36,[2]Consolidated!BE$1)</f>
        <v>14690.65661305582</v>
      </c>
      <c r="BF45" s="47">
        <f>VLOOKUP($B45&amp;$C45,'[1]FC4 Prod'!$A$6:$BP$36,[2]Consolidated!BF$1)</f>
        <v>6833.8129801324512</v>
      </c>
      <c r="BG45" s="50">
        <f>VLOOKUP($B45&amp;$C45,'[1]FC4 Prod'!$A$6:$BP$36,[2]Consolidated!BG$1)</f>
        <v>455.14474929044468</v>
      </c>
      <c r="BH45" s="50">
        <f>VLOOKUP($B45&amp;$C45,'[1]FC4 Prod'!$A$6:$BP$36,[2]Consolidated!BH$1)</f>
        <v>397.72917086092718</v>
      </c>
      <c r="BI45" s="50">
        <f>VLOOKUP($B45&amp;$C45,'[1]FC4 Prod'!$A$6:$BP$36,[2]Consolidated!BI$1)</f>
        <v>45631.7891140965</v>
      </c>
      <c r="BJ45" s="37" t="e">
        <f>VLOOKUP($B45&amp;$C45,'[1]FC4 Prod'!$A$6:$BP$36,[2]Consolidated!BJ$1)</f>
        <v>#REF!</v>
      </c>
      <c r="BK45" s="37" t="e">
        <f>VLOOKUP($B45&amp;$C45,'[1]FC4 Prod'!$A$6:$BP$36,[2]Consolidated!BK$1)</f>
        <v>#REF!</v>
      </c>
      <c r="BL45" s="37" t="e">
        <f>VLOOKUP($B45&amp;$C45,'[1]FC4 Prod'!$A$6:$BP$36,[2]Consolidated!BL$1)</f>
        <v>#REF!</v>
      </c>
      <c r="BM45" s="37" t="e">
        <f>VLOOKUP($B45&amp;$C45,'[1]FC4 Prod'!$A$6:$BP$36,[2]Consolidated!BM$1)</f>
        <v>#REF!</v>
      </c>
      <c r="BN45" s="37" t="e">
        <f>VLOOKUP($B45&amp;$C45,'[1]FC4 Prod'!$A$6:$BP$36,[2]Consolidated!BN$1)</f>
        <v>#REF!</v>
      </c>
      <c r="BO45" s="37" t="e">
        <f>VLOOKUP($B45&amp;$C45,'[1]FC4 Prod'!$A$6:$BP$36,[2]Consolidated!BO$1)</f>
        <v>#REF!</v>
      </c>
      <c r="BP45" s="37" t="str">
        <f>VLOOKUP($B45&amp;$C45,'[1]FC4 Prod'!$A$6:$BP$36,[2]Consolidated!BP$1)</f>
        <v>NIL</v>
      </c>
      <c r="BQ45" s="51" t="e">
        <f>VLOOKUP($B45&amp;$C45,'[1]FC4 Prod'!$A$6:$BP$36,[2]Consolidated!BQ$1)</f>
        <v>#REF!</v>
      </c>
      <c r="BR45" s="51">
        <f>VLOOKUP($B45&amp;$C45,'[1]FC4 Prod'!$A$6:$BQ$36,[2]Consolidated!BR$1)</f>
        <v>41644</v>
      </c>
      <c r="BS45" s="52">
        <f t="shared" ref="BS45" si="53">BE45+BF45*110%+BG45+BA45</f>
        <v>39477.567069063392</v>
      </c>
      <c r="BT45" s="32">
        <f t="shared" si="51"/>
        <v>2166.4329309366076</v>
      </c>
      <c r="BU45" s="37">
        <f t="shared" si="52"/>
        <v>114495.98039999969</v>
      </c>
      <c r="BV45" s="53" t="s">
        <v>131</v>
      </c>
      <c r="BW45" s="54" cm="1">
        <f t="array" ref="BW45">IFERROR(VLOOKUP($A45,TRANSPOSE('[1]Fur 4 PLC'!$AR$1:$BV$39),8,0),0)</f>
        <v>0</v>
      </c>
      <c r="BX45" s="54" cm="1">
        <f t="array" ref="BX45">IFERROR(VLOOKUP($A45,TRANSPOSE('[1]Fur 4 PLC'!$AR$1:$BV$39),30,0),0)</f>
        <v>0</v>
      </c>
      <c r="BY45" s="54" cm="1">
        <f t="array" ref="BY45">IFERROR(VLOOKUP($A45,TRANSPOSE('[1]Fur 4 PLC'!$AR$1:$BV$39),14,0),0)</f>
        <v>0</v>
      </c>
      <c r="BZ45" s="54" cm="1">
        <f t="array" ref="BZ45">IFERROR(VLOOKUP($A45,TRANSPOSE('[1]Fur 4 PLC'!$AR$1:$BV$39),16,0),0)</f>
        <v>0</v>
      </c>
      <c r="CA45" s="54" cm="1">
        <f t="array" ref="CA45">IFERROR(VLOOKUP($A45,TRANSPOSE('[1]Fur 4 PLC'!$AR$1:$BV$39),9,0),0)</f>
        <v>0</v>
      </c>
      <c r="CB45" s="54" cm="1">
        <f t="array" ref="CB45">IFERROR(VLOOKUP($A45,TRANSPOSE('[1]Fur 4 PLC'!$AR$1:$BV$39),17,0),0)</f>
        <v>0</v>
      </c>
      <c r="CC45" s="54" cm="1">
        <f t="array" ref="CC45">IFERROR(VLOOKUP($A45,TRANSPOSE('[1]Fur 4 PLC'!$AR$1:$BV$39),20,0),0)</f>
        <v>0</v>
      </c>
      <c r="CD45" s="54" cm="1">
        <f t="array" ref="CD45">IFERROR(VLOOKUP($A45,TRANSPOSE('[1]Fur 4 PLC'!$AR$1:$BV$39),28,0),0)</f>
        <v>0</v>
      </c>
      <c r="CE45" s="54" cm="1">
        <f t="array" ref="CE45">IFERROR(VLOOKUP($A45,TRANSPOSE('[1]Fur 4 PLC'!$AR$1:$BV$39),13,0),0)</f>
        <v>92.790917691579949</v>
      </c>
      <c r="CF45" s="54" cm="1">
        <f t="array" ref="CF45">IFERROR(VLOOKUP($A45,TRANSPOSE('[1]Fur 4 PLC'!$AR$1:$BV$39),37,0),0)</f>
        <v>13.926206244087041</v>
      </c>
      <c r="CG45" s="54" cm="1">
        <f t="array" ref="CG45">IFERROR(VLOOKUP($A45,TRANSPOSE('[1]Fur 4 PLC'!$AR$1:$BV$39),6,0),0)</f>
        <v>0</v>
      </c>
      <c r="CH45" s="54" cm="1">
        <f t="array" ref="CH45">IFERROR(VLOOKUP($A45,TRANSPOSE('[1]Fur 4 PLC'!$AR$1:$BV$39),21,0),0)</f>
        <v>1369.9148533585621</v>
      </c>
      <c r="CI45" s="54" cm="1">
        <f t="array" ref="CI45">IFERROR(VLOOKUP($A45,TRANSPOSE('[1]Fur 4 PLC'!$AR$1:$BV$39),12,0),0)</f>
        <v>0</v>
      </c>
      <c r="CJ45" s="54" cm="1">
        <f t="array" ref="CJ45">IFERROR(VLOOKUP($A45,TRANSPOSE('[1]Fur 4 PLC'!$AR$1:$BV$39),25,0),0)</f>
        <v>119.26206244087039</v>
      </c>
      <c r="CK45" s="54" cm="1">
        <f t="array" ref="CK45">IFERROR(VLOOKUP($A45,TRANSPOSE('[1]Fur 4 PLC'!$AR$1:$BV$39),26,0),0)</f>
        <v>365.63859981078531</v>
      </c>
      <c r="CL45" s="54" cm="1">
        <f t="array" ref="CL45">IFERROR(VLOOKUP($A45,TRANSPOSE('[1]Fur 4 PLC'!$AR$1:$BV$39),27,0),0)</f>
        <v>0</v>
      </c>
      <c r="CM45" s="54" cm="1">
        <f t="array" ref="CM45">IFERROR(VLOOKUP($A45,TRANSPOSE('[1]Fur 4 PLC'!$AR$1:$BV$39),22,0),0)</f>
        <v>0</v>
      </c>
      <c r="CN45" s="54"/>
      <c r="CO45" s="54" cm="1">
        <f t="array" ref="CO45">IFERROR(VLOOKUP($A45,TRANSPOSE('[1]Fur 4 PLC'!$AR$1:$BV$39),29,0),0)</f>
        <v>112.03405865657523</v>
      </c>
      <c r="CP45" s="54" cm="1">
        <f t="array" ref="CP45">IFERROR(VLOOKUP($A45,TRANSPOSE('[1]Fur 4 PLC'!$AR$1:$BV$39),10,0),0)</f>
        <v>0</v>
      </c>
      <c r="CQ45" s="54" cm="1">
        <f t="array" ref="CQ45">IFERROR(VLOOKUP($A45,TRANSPOSE('[1]Fur 4 PLC'!$AR$1:$BV$39),7,0),0)</f>
        <v>111.4853358561968</v>
      </c>
      <c r="CR45" s="54" cm="1">
        <f t="array" ref="CR45">IFERROR(VLOOKUP($A45,TRANSPOSE('[1]Fur 4 PLC'!$AR$1:$BV$39),36,0),0)</f>
        <v>186.45222327341531</v>
      </c>
      <c r="CS45" s="54" cm="1">
        <f t="array" ref="CS45">IFERROR(VLOOKUP($A45,TRANSPOSE('[1]Fur 4 PLC'!$AR$1:$BV$39),11,0),0)</f>
        <v>0</v>
      </c>
      <c r="CT45" s="54" cm="1">
        <f t="array" ref="CT45">IFERROR(VLOOKUP($A45,TRANSPOSE('[1]Fur 4 PLC'!$AR$1:$BV$39),19,0),0)</f>
        <v>61.021759697256392</v>
      </c>
      <c r="CU45" s="54" cm="1">
        <f t="array" ref="CU45">IFERROR(VLOOKUP($A45,TRANSPOSE('[1]Fur 4 PLC'!$AR$1:$BV$39),18,0),0)</f>
        <v>296.55629139072852</v>
      </c>
      <c r="CV45" s="54" cm="1">
        <f t="array" ref="CV45">IFERROR(VLOOKUP($A45,TRANSPOSE('[1]Fur 4 PLC'!$AR$1:$BV$38),15,0),0)</f>
        <v>0</v>
      </c>
      <c r="CW45" s="54" cm="1">
        <f t="array" ref="CW45">IFERROR(VLOOKUP($A45,TRANSPOSE('[1]Fur 4 PLC'!$CK$1:$DO$39),8,0),0)</f>
        <v>0</v>
      </c>
      <c r="CX45" s="54" cm="1">
        <f t="array" ref="CX45">IFERROR(VLOOKUP($A45,TRANSPOSE('[1]Fur 4 PLC'!$CK$1:$DO$39),30,0),0)</f>
        <v>0</v>
      </c>
      <c r="CY45" s="54" cm="1">
        <f t="array" ref="CY45">IFERROR(VLOOKUP($A45,TRANSPOSE('[1]Fur 4 PLC'!$CK$1:$DO$39),14,0),0)</f>
        <v>0</v>
      </c>
      <c r="CZ45" s="54" cm="1">
        <f t="array" ref="CZ45">IFERROR(VLOOKUP($A45,TRANSPOSE('[1]Fur 4 PLC'!$CK$1:$DO$39),16,0),0)</f>
        <v>0</v>
      </c>
      <c r="DA45" s="54" cm="1">
        <f t="array" ref="DA45">IFERROR(VLOOKUP($A45,TRANSPOSE('[1]Fur 4 PLC'!$CK$1:$DO$39),9,0),0)</f>
        <v>0</v>
      </c>
      <c r="DB45" s="55" cm="1">
        <f t="array" ref="DB45">IFERROR(VLOOKUP($A45,TRANSPOSE('[1]Fur 4 PLC'!$CK$1:$DO$39),17,0),0)</f>
        <v>0</v>
      </c>
      <c r="DC45" s="55" cm="1">
        <f t="array" ref="DC45">IFERROR(VLOOKUP($A45,TRANSPOSE('[1]Fur 4 PLC'!$CK$1:$DO$39),20,0),0)</f>
        <v>0</v>
      </c>
      <c r="DD45" s="54" cm="1">
        <f t="array" ref="DD45">IFERROR(VLOOKUP($A45,TRANSPOSE('[1]Fur 4 PLC'!$CK$1:$DO$39),28,0),0)</f>
        <v>0</v>
      </c>
      <c r="DE45" s="54" cm="1">
        <f t="array" ref="DE45">IFERROR(VLOOKUP($A45,TRANSPOSE('[1]Fur 4 PLC'!$CK$1:$DO$39),13,0),0)</f>
        <v>50.04081632653061</v>
      </c>
      <c r="DF45" s="54" cm="1">
        <f t="array" ref="DF45">IFERROR(VLOOKUP($A45,TRANSPOSE('[1]Fur 4 PLC'!$CK$1:$DO$39),37,0),0)</f>
        <v>7.5102040816326534</v>
      </c>
      <c r="DG45" s="54" cm="1">
        <f t="array" ref="DG45">IFERROR(VLOOKUP($A45,TRANSPOSE('[1]Fur 4 PLC'!$CK$1:$DO$39),6,0),0)</f>
        <v>0</v>
      </c>
      <c r="DH45" s="54" cm="1">
        <f t="array" ref="DH45">IFERROR(VLOOKUP($A45,TRANSPOSE('[1]Fur 4 PLC'!$CK$1:$DO$39),21,0),0)</f>
        <v>738.77551020408168</v>
      </c>
      <c r="DI45" s="54" cm="1">
        <f t="array" ref="DI45">IFERROR(VLOOKUP($A45,TRANSPOSE('[1]Fur 4 PLC'!$CK$1:$DO$39),12,0),0)</f>
        <v>0</v>
      </c>
      <c r="DJ45" s="54" cm="1">
        <f t="array" ref="DJ45">IFERROR(VLOOKUP($A45,TRANSPOSE('[1]Fur 4 PLC'!$CK$1:$DO$39),25,0),0)</f>
        <v>64.316326530612244</v>
      </c>
      <c r="DK45" s="54" cm="1">
        <f t="array" ref="DK45">IFERROR(VLOOKUP($A45,TRANSPOSE('[1]Fur 4 PLC'!$CK$1:$DO$39),26,0),0)</f>
        <v>197.18367346938777</v>
      </c>
      <c r="DL45" s="54" cm="1">
        <f t="array" ref="DL45">IFERROR(VLOOKUP($A45,TRANSPOSE('[1]Fur 4 PLC'!$CK$1:$DO$39),27,0),0)</f>
        <v>0</v>
      </c>
      <c r="DM45" s="54" cm="1">
        <f t="array" ref="DM45">IFERROR(VLOOKUP($A45,TRANSPOSE('[1]Fur 4 PLC'!$CK$1:$DO$39),22,0),0)</f>
        <v>0</v>
      </c>
      <c r="DN45" s="54" cm="1">
        <f t="array" ref="DN45">IFERROR(VLOOKUP($A45,TRANSPOSE('[1]Fur 4 PLC'!$CK$1:$DO$39),19,0),0)</f>
        <v>32.908163265306122</v>
      </c>
      <c r="DO45" s="54" cm="1">
        <f t="array" ref="DO45">IFERROR(VLOOKUP($A45,TRANSPOSE('[1]Fur 4 PLC'!$CK$1:$DO$39),29,0),0)</f>
        <v>60.41836734693878</v>
      </c>
      <c r="DP45" s="54" cm="1">
        <f t="array" ref="DP45">IFERROR(VLOOKUP($A45,TRANSPOSE('[1]Fur 4 PLC'!$CK$1:$DO$39),10,0),0)</f>
        <v>0</v>
      </c>
      <c r="DQ45" s="54" cm="1">
        <f t="array" ref="DQ45">IFERROR(VLOOKUP($A45,TRANSPOSE('[1]Fur 4 PLC'!$CK$1:$DO$39),7,0),0)</f>
        <v>60.122448979591837</v>
      </c>
      <c r="DR45" s="54" cm="1">
        <f t="array" ref="DR45">IFERROR(VLOOKUP($A45,TRANSPOSE('[1]Fur 4 PLC'!$CK$1:$DO$39),36,0),0)</f>
        <v>100.55102040816325</v>
      </c>
      <c r="DS45" s="54" cm="1">
        <f t="array" ref="DS45">IFERROR(VLOOKUP($A45,TRANSPOSE('[1]Fur 4 PLC'!$CK$1:$DO$39),11,0),0)</f>
        <v>0</v>
      </c>
      <c r="DT45" s="54" cm="1">
        <f t="array" ref="DT45">IFERROR(VLOOKUP($A45,TRANSPOSE('[1]Fur 4 PLC'!$CK$1:$DO$39),19,0),0)</f>
        <v>32.908163265306122</v>
      </c>
      <c r="DU45" s="54" cm="1">
        <f t="array" ref="DU45">IFERROR(VLOOKUP($A45,TRANSPOSE('[1]Fur 4 PLC'!$CK$1:$DO$39),18,0),0)</f>
        <v>159.92857142857142</v>
      </c>
      <c r="DV45" s="54" cm="1">
        <f t="array" ref="DV45">IFERROR(VLOOKUP($A45,TRANSPOSE('[1]Fur 4 PLC'!$CK$1:$DO$39),15,0),0)</f>
        <v>0</v>
      </c>
      <c r="DW45" t="str">
        <f t="shared" si="50"/>
        <v>Dec-25</v>
      </c>
    </row>
    <row r="46" spans="1:127" x14ac:dyDescent="0.3">
      <c r="A46" s="28" t="str">
        <f t="shared" si="1"/>
        <v>F146003</v>
      </c>
      <c r="B46" s="29" t="s">
        <v>26</v>
      </c>
      <c r="C46" s="30">
        <f>C42+1</f>
        <v>46003</v>
      </c>
      <c r="D46" s="29" t="str">
        <f>VLOOKUP($B46&amp;$C46,'[1]FC1 Prod'!$A$6:$BP$36,[2]Consolidated!D$1)</f>
        <v>Raju Singh</v>
      </c>
      <c r="E46" s="29">
        <f>VLOOKUP($B46&amp;$C46,'[1]FC1 Prod'!$A$6:$BP$36,[2]Consolidated!E$1)</f>
        <v>21.479999999999997</v>
      </c>
      <c r="F46" s="31">
        <f>VLOOKUP($B46&amp;$C46,'[1]FC1 Prod'!$A$6:$BP$36,[2]Consolidated!F$1)</f>
        <v>0.22000000000000242</v>
      </c>
      <c r="G46" s="32">
        <f>VLOOKUP($B46&amp;$C46,'[1]FC1 Prod'!$A$6:$BP$36,[2]Consolidated!G$1)</f>
        <v>21.7</v>
      </c>
      <c r="H46" s="32">
        <f>VLOOKUP($B46&amp;$C46,'[1]FC1 Prod'!$A$6:$BP$36,[2]Consolidated!H$1)</f>
        <v>15.514999999999999</v>
      </c>
      <c r="I46" s="32">
        <f>VLOOKUP($B46&amp;$C46,'[1]FC1 Prod'!$A$6:$BP$36,[2]Consolidated!I$1)</f>
        <v>6.12</v>
      </c>
      <c r="J46" s="32">
        <f>VLOOKUP($B46&amp;$C46,'[1]FC1 Prod'!$A$6:$BP$36,[2]Consolidated!J$1)</f>
        <v>39.880000000000003</v>
      </c>
      <c r="K46" s="32">
        <f>VLOOKUP($B46&amp;$C46,'[1]FC1 Prod'!$A$6:$BP$36,[2]Consolidated!K$1)</f>
        <v>1.28</v>
      </c>
      <c r="L46" s="32">
        <f>VLOOKUP($B46&amp;$C46,'[1]FC1 Prod'!$A$6:$BP$36,[2]Consolidated!L$1)</f>
        <v>28.6</v>
      </c>
      <c r="M46" s="32">
        <f>VLOOKUP($B46&amp;$C46,'[1]FC1 Prod'!$A$6:$BP$36,[2]Consolidated!M$1)</f>
        <v>4.88</v>
      </c>
      <c r="N46" s="32">
        <f>VLOOKUP($B46&amp;$C46,'[1]FC1 Prod'!$A$6:$BP$36,[2]Consolidated!N$1)</f>
        <v>16.34</v>
      </c>
      <c r="O46" s="32">
        <f>VLOOKUP($B46&amp;$C46,'[1]FC1 Prod'!$A$6:$BP$36,[2]Consolidated!O$1)</f>
        <v>0.84</v>
      </c>
      <c r="P46" s="33">
        <f>VLOOKUP($B46&amp;$C46,'[1]FC1 Prod'!$A$6:$BP$36,[2]Consolidated!P$1)</f>
        <v>8</v>
      </c>
      <c r="Q46" s="29">
        <f>VLOOKUP($B46&amp;$C46,'[1]FC1 Prod'!$A$6:$BP$36,[2]Consolidated!Q$1)</f>
        <v>41.945</v>
      </c>
      <c r="R46" s="29">
        <f>VLOOKUP($B46&amp;$C46,'[1]FC1 Prod'!$A$6:$BP$36,[2]Consolidated!R$1)</f>
        <v>14.904</v>
      </c>
      <c r="S46" s="34">
        <f>VLOOKUP($B46&amp;$C46,'[1]FC1 Prod'!$A$6:$BP$36,[2]Consolidated!S$1)</f>
        <v>39</v>
      </c>
      <c r="T46" s="34">
        <f>VLOOKUP($B46&amp;$C46,'[1]FC1 Prod'!$A$6:$BP$36,[2]Consolidated!T$1)</f>
        <v>32</v>
      </c>
      <c r="U46" s="34">
        <f>VLOOKUP($B46&amp;$C46,'[1]FC1 Prod'!$A$6:$BP$36,[2]Consolidated!U$1)</f>
        <v>23</v>
      </c>
      <c r="V46" s="34">
        <f>VLOOKUP($B46&amp;$C46,'[1]FC1 Prod'!$A$6:$BP$36,[2]Consolidated!V$1)</f>
        <v>94</v>
      </c>
      <c r="W46" s="35">
        <f>VLOOKUP($B46&amp;$C46,'[1]FC1 Prod'!$A$6:$BP$36,[2]Consolidated!W$1)</f>
        <v>1.9527467411545627</v>
      </c>
      <c r="X46" s="35">
        <f>VLOOKUP($B46&amp;$C46,'[1]FC1 Prod'!$A$6:$BP$36,[2]Consolidated!X$1)</f>
        <v>22.369999999999997</v>
      </c>
      <c r="Y46" s="36">
        <f>VLOOKUP($B46&amp;$C46,'[1]FC1 Prod'!$A$6:$BP$36,[2]Consolidated!Y$1)</f>
        <v>0.96021457308895841</v>
      </c>
      <c r="Z46" s="37" t="str">
        <f>VLOOKUP($B46&amp;$C46,'[1]FC1 Prod'!$A$6:$BP$36,[2]Consolidated!Z$1)</f>
        <v>40/22</v>
      </c>
      <c r="AA46" s="31">
        <f>VLOOKUP($B46&amp;$C46,'[1]FC1 Prod'!$A$6:$BP$36,[2]Consolidated!AA$1)</f>
        <v>39.592500000000001</v>
      </c>
      <c r="AB46" s="31">
        <f>VLOOKUP($B46&amp;$C46,'[1]FC1 Prod'!$A$6:$BP$36,[2]Consolidated!AB$1)</f>
        <v>20.28125</v>
      </c>
      <c r="AC46" s="31">
        <f>VLOOKUP($B46&amp;$C46,'[1]FC1 Prod'!$A$6:$BP$36,[2]Consolidated!AC$1)</f>
        <v>0.56000000000000005</v>
      </c>
      <c r="AD46" s="38">
        <f>VLOOKUP($B46&amp;$C46,'[1]FC1 Prod'!$A$6:$BP$36,[2]Consolidated!AD$1)</f>
        <v>526.81186610800739</v>
      </c>
      <c r="AE46" s="38">
        <f>VLOOKUP($B46&amp;$C46,'[1]FC1 Prod'!$A$6:$BP$36,[2]Consolidated!AE$1)</f>
        <v>506.761873999069</v>
      </c>
      <c r="AF46" s="39">
        <f>VLOOKUP($B46&amp;$C46,'[1]FC1 Prod'!$A$6:$BP$36,[2]Consolidated!AF$1)</f>
        <v>0.75154913066978479</v>
      </c>
      <c r="AG46" s="39">
        <f>VLOOKUP($B46&amp;$C46,'[1]FC1 Prod'!$A$6:$BP$36,[2]Consolidated!AG$1)</f>
        <v>0.78128411057365255</v>
      </c>
      <c r="AH46" s="34">
        <f>VLOOKUP($B46&amp;$C46,'[1]FC1 Prod'!$A$6:$BP$36,[2]Consolidated!AH$1)</f>
        <v>522.77281191806344</v>
      </c>
      <c r="AI46" s="33">
        <f>VLOOKUP($B46&amp;$C46,'[1]FC1 Prod'!$A$6:$BP$36,[2]Consolidated!AI$1)</f>
        <v>525.57765363128499</v>
      </c>
      <c r="AJ46" s="39">
        <f>VLOOKUP($B46&amp;$C46,'[1]FC1 Prod'!$A$6:$BP$36,[2]Consolidated!AJ$1)</f>
        <v>1.8623287775024557</v>
      </c>
      <c r="AK46" s="39">
        <f>VLOOKUP($B46&amp;$C46,'[1]FC1 Prod'!$A$6:$BP$36,[2]Consolidated!AK$1)</f>
        <v>0.50924560534947494</v>
      </c>
      <c r="AL46" s="40" t="str">
        <f>VLOOKUP($B46&amp;$C46,'[1]FC1 Prod'!$A$6:$BP$36,[2]Consolidated!AL$1)</f>
        <v>10/70</v>
      </c>
      <c r="AM46" s="41">
        <f>VLOOKUP($B46&amp;$C46,'[1]FC1 Prod'!$A$6:$BP$36,[2]Consolidated!AM$1)</f>
        <v>2.7001862197392926E-2</v>
      </c>
      <c r="AN46" s="42">
        <f>VLOOKUP($B46&amp;$C46,'[1]FC1 Prod'!$A$6:$BP$36,[2]Consolidated!AN$1)</f>
        <v>101.3</v>
      </c>
      <c r="AO46" s="43">
        <f>VLOOKUP($B46&amp;$C46,'[1]FC1 Prod'!$A$6:$BP$36,[2]Consolidated!AO$1)</f>
        <v>3.6240000000000001</v>
      </c>
      <c r="AP46" s="44">
        <f>VLOOKUP($B46&amp;$C46,'[1]FC1 Prod'!$A$6:$BP$36,[2]Consolidated!AP$1)</f>
        <v>4.8847299813780261</v>
      </c>
      <c r="AQ46" s="44">
        <f>VLOOKUP($B46&amp;$C46,'[1]FC1 Prod'!$A$6:$BP$36,[2]Consolidated!AQ$1)</f>
        <v>23.026834179852766</v>
      </c>
      <c r="AR46" s="45">
        <f>VLOOKUP($B46&amp;$C46,'[1]FC1 Prod'!$A$6:$BP$36,[2]Consolidated!AR$1)</f>
        <v>0.95928030303030287</v>
      </c>
      <c r="AS46" s="46">
        <f>VLOOKUP($B46&amp;$C46,'[1]FC1 Prod'!$A$6:$BP$36,[2]Consolidated!AS$1)</f>
        <v>2.1333333333333333</v>
      </c>
      <c r="AT46" s="29">
        <f>VLOOKUP($B46&amp;$C46,'[1]FC1 Prod'!$A$6:$BP$36,[2]Consolidated!AT$1)</f>
        <v>0.80082963848752631</v>
      </c>
      <c r="AU46" s="34">
        <f>VLOOKUP($B46&amp;$C46,'[1]FC1 Prod'!$A$6:$BP$36,[2]Consolidated!AU$1)</f>
        <v>351.77655677655679</v>
      </c>
      <c r="AV46" s="34">
        <f>VLOOKUP($B46&amp;$C46,'[1]FC1 Prod'!$A$6:$BP$36,[2]Consolidated!AV$1)</f>
        <v>316.66666666666669</v>
      </c>
      <c r="AW46" s="47">
        <f>VLOOKUP($B46&amp;$C46,'[1]FC1 Prod'!$A$6:$BP$36,[2]Consolidated!AW$1)</f>
        <v>20054.601955307266</v>
      </c>
      <c r="AX46" s="47">
        <f>VLOOKUP($B46&amp;$C46,'[1]FC1 Prod'!$A$6:$BP$36,[2]Consolidated!AX$1)</f>
        <v>15859.031657355683</v>
      </c>
      <c r="AY46" s="48">
        <f>VLOOKUP($B46&amp;$C46,'[1]FC1 Prod'!$A$6:$BP$36,[2]Consolidated!AY$1)</f>
        <v>2992.3184357541904</v>
      </c>
      <c r="AZ46" s="47">
        <f>VLOOKUP($B46&amp;$C46,'[1]FC1 Prod'!$A$6:$BP$36,[2]Consolidated!AZ$1)</f>
        <v>2515.7146182495349</v>
      </c>
      <c r="BA46" s="47">
        <f>VLOOKUP($B46&amp;$C46,'[1]FC1 Prod'!$A$6:$BP$36,[2]Consolidated!BA$1)</f>
        <v>28575.670391061452</v>
      </c>
      <c r="BB46" s="47">
        <f>VLOOKUP($B46&amp;$C46,'[1]FC1 Prod'!$A$6:$BP$36,[2]Consolidated!BB$1)</f>
        <v>699.97337057728123</v>
      </c>
      <c r="BC46" s="47">
        <f>VLOOKUP($B46&amp;$C46,'[1]FC1 Prod'!$A$6:$BP$36,[2]Consolidated!BC$1)</f>
        <v>9280.9869646182487</v>
      </c>
      <c r="BD46" s="49">
        <f>VLOOKUP($B46&amp;$C46,'[1]FC1 Prod'!$A$6:$BP$36,[2]Consolidated!BD$1)</f>
        <v>79978.297392923647</v>
      </c>
      <c r="BE46" s="47">
        <f>VLOOKUP($B46&amp;$C46,'[1]FC1 Prod'!$A$6:$BP$36,[2]Consolidated!BE$1)</f>
        <v>19143.75954376164</v>
      </c>
      <c r="BF46" s="47">
        <f>VLOOKUP($B46&amp;$C46,'[1]FC1 Prod'!$A$6:$BP$36,[2]Consolidated!BF$1)</f>
        <v>16010.130353817505</v>
      </c>
      <c r="BG46" s="50">
        <f>VLOOKUP($B46&amp;$C46,'[1]FC1 Prod'!$A$6:$BP$36,[2]Consolidated!BG$1)</f>
        <v>2224.1201117318437</v>
      </c>
      <c r="BH46" s="50">
        <f>VLOOKUP($B46&amp;$C46,'[1]FC1 Prod'!$A$6:$BP$36,[2]Consolidated!BH$1)</f>
        <v>684.69395018621969</v>
      </c>
      <c r="BI46" s="50">
        <f>VLOOKUP($B46&amp;$C46,'[1]FC1 Prod'!$A$6:$BP$36,[2]Consolidated!BI$1)</f>
        <v>78435.075933426444</v>
      </c>
      <c r="BJ46" s="37" t="e">
        <f>VLOOKUP($B46&amp;$C46,'[1]FC1 Prod'!$A$6:$BP$36,[2]Consolidated!BJ$1)</f>
        <v>#REF!</v>
      </c>
      <c r="BK46" s="37" t="e">
        <f>VLOOKUP($B46&amp;$C46,'[1]FC1 Prod'!$A$6:$BP$36,[2]Consolidated!BK$1)</f>
        <v>#REF!</v>
      </c>
      <c r="BL46" s="37" t="e">
        <f>VLOOKUP($B46&amp;$C46,'[1]FC1 Prod'!$A$6:$BP$36,[2]Consolidated!BL$1)</f>
        <v>#REF!</v>
      </c>
      <c r="BM46" s="37" t="e">
        <f>VLOOKUP($B46&amp;$C46,'[1]FC1 Prod'!$A$6:$BP$36,[2]Consolidated!BM$1)</f>
        <v>#REF!</v>
      </c>
      <c r="BN46" s="37">
        <f>VLOOKUP($B46&amp;$C46,'[1]FC1 Prod'!$A$6:$BP$36,[2]Consolidated!BN$1)</f>
        <v>25</v>
      </c>
      <c r="BO46" s="37">
        <f>VLOOKUP($B46&amp;$C46,'[1]FC1 Prod'!$A$6:$BP$36,[2]Consolidated!BO$1)</f>
        <v>25</v>
      </c>
      <c r="BP46" s="37" t="str">
        <f>VLOOKUP($B46&amp;$C46,'[1]FC1 Prod'!$A$6:$BP$36,[2]Consolidated!BP$1)</f>
        <v>Power grids supply failure.</v>
      </c>
      <c r="BQ46" s="51" t="e">
        <f>VLOOKUP($B46&amp;$C46,'[1]FC1 Prod'!$A$6:$BP$36,[2]Consolidated!BQ$1)</f>
        <v>#REF!</v>
      </c>
      <c r="BR46" s="51">
        <f>VLOOKUP($B46&amp;$C46,'[1]FC1 Prod'!$A$6:$BQ$36,[2]Consolidated!BR$1)</f>
        <v>60759</v>
      </c>
      <c r="BS46" s="52">
        <f t="shared" ref="BS46:BS48" si="54">BE46+BF46+BG46+BA46</f>
        <v>65953.680400372439</v>
      </c>
      <c r="BT46" s="32">
        <f>BR46-BS46</f>
        <v>-5194.6804003724392</v>
      </c>
      <c r="BU46" s="37">
        <f>E46*BT46</f>
        <v>-111581.73499999997</v>
      </c>
      <c r="BV46" s="53" t="s">
        <v>131</v>
      </c>
      <c r="BW46" s="54" cm="1">
        <f t="array" ref="BW46">IFERROR(VLOOKUP($A46,TRANSPOSE('[1]Fur 1 PLC'!$AR$1:$BV$38),8,0),0)</f>
        <v>0</v>
      </c>
      <c r="BX46" s="54" cm="1">
        <f t="array" ref="BX46">IFERROR(VLOOKUP($A46,TRANSPOSE('[1]Fur 1 PLC'!$AR$1:$BV$38),30,0),0)</f>
        <v>145.99627560521418</v>
      </c>
      <c r="BY46" s="54" cm="1">
        <f t="array" ref="BY46">IFERROR(VLOOKUP($A46,TRANSPOSE('[1]Fur 1 PLC'!$AR$1:$BV$38),14,0),0)</f>
        <v>0</v>
      </c>
      <c r="BZ46" s="54" cm="1">
        <f t="array" ref="BZ46">IFERROR(VLOOKUP($A46,TRANSPOSE('[1]Fur 1 PLC'!$AR$1:$BV$38),16,0),0)</f>
        <v>0</v>
      </c>
      <c r="CA46" s="54" cm="1">
        <f t="array" ref="CA46">IFERROR(VLOOKUP($A46,TRANSPOSE('[1]Fur 1 PLC'!$AR$1:$BV$38),9,0),0)</f>
        <v>334.82309124767227</v>
      </c>
      <c r="CB46" s="54" cm="1">
        <f t="array" ref="CB46">IFERROR(VLOOKUP($A46,TRANSPOSE('[1]Fur 1 PLC'!$AR$1:$BV$38),17,0),0)</f>
        <v>0</v>
      </c>
      <c r="CC46" s="54" cm="1">
        <f t="array" ref="CC46">IFERROR(VLOOKUP($A46,TRANSPOSE('[1]Fur 1 PLC'!$AR$1:$BV$38),20,0),0)</f>
        <v>891.48044692737449</v>
      </c>
      <c r="CD46" s="54" cm="1">
        <f t="array" ref="CD46">IFERROR(VLOOKUP($A46,TRANSPOSE('[1]Fur 1 PLC'!$AR$1:$BV$38),28,0),0)</f>
        <v>0</v>
      </c>
      <c r="CE46" s="54" cm="1">
        <f t="array" ref="CE46">IFERROR(VLOOKUP($A46,TRANSPOSE('[1]Fur 1 PLC'!$AR$1:$BV$38),13,0),0)</f>
        <v>0</v>
      </c>
      <c r="CF46" s="54" cm="1">
        <f t="array" ref="CF46">IFERROR(VLOOKUP($A46,TRANSPOSE('[1]Fur 1 PLC'!$AR$1:$BV$38),37,0),0)</f>
        <v>615.22346368715102</v>
      </c>
      <c r="CG46" s="54" cm="1">
        <f t="array" ref="CG46">IFERROR(VLOOKUP($A46,TRANSPOSE('[1]Fur 1 PLC'!$AR$1:$BV$38),6,0),0)</f>
        <v>0</v>
      </c>
      <c r="CH46" s="54" cm="1">
        <f t="array" ref="CH46">IFERROR(VLOOKUP($A46,TRANSPOSE('[1]Fur 1 PLC'!$AR$1:$BV$38),21,0),0)</f>
        <v>0</v>
      </c>
      <c r="CI46" s="54" cm="1">
        <f t="array" ref="CI46">IFERROR(VLOOKUP($A46,TRANSPOSE('[1]Fur 1 PLC'!$AR$1:$BV$38),12,0),0)</f>
        <v>0</v>
      </c>
      <c r="CJ46" s="54" cm="1">
        <f t="array" ref="CJ46">IFERROR(VLOOKUP($A46,TRANSPOSE('[1]Fur 1 PLC'!$AR$1:$BV$38),25,0),0)</f>
        <v>0</v>
      </c>
      <c r="CK46" s="54" cm="1">
        <f t="array" ref="CK46">IFERROR(VLOOKUP($A46,TRANSPOSE('[1]Fur 1 PLC'!$AR$1:$BV$38),26,0),0)</f>
        <v>0</v>
      </c>
      <c r="CL46" s="54" cm="1">
        <f t="array" ref="CL46">IFERROR(VLOOKUP($A46,TRANSPOSE('[1]Fur 1 PLC'!$AR$1:$BV$38),27,0),0)</f>
        <v>547.85847299813793</v>
      </c>
      <c r="CM46" s="54" cm="1">
        <f t="array" ref="CM46">IFERROR(VLOOKUP($A46,TRANSPOSE('[1]Fur 1 PLC'!$AR$1:$BV$38),22,0),0)</f>
        <v>0</v>
      </c>
      <c r="CN46" s="54"/>
      <c r="CO46" s="54" cm="1">
        <f t="array" ref="CO46">IFERROR(VLOOKUP($A46,TRANSPOSE('[1]Fur 1 PLC'!$AR$1:$BV$38),29,0),0)</f>
        <v>0</v>
      </c>
      <c r="CP46" s="54" cm="1">
        <f t="array" ref="CP46">IFERROR(VLOOKUP($A46,TRANSPOSE('[1]Fur 1 PLC'!$AR$1:$BV$38),10,0),0)</f>
        <v>0</v>
      </c>
      <c r="CQ46" s="54" cm="1">
        <f t="array" ref="CQ46">IFERROR(VLOOKUP($A46,TRANSPOSE('[1]Fur 1 PLC'!$AR$1:$BV$38),7,0),0)</f>
        <v>247.99813780260709</v>
      </c>
      <c r="CR46" s="54" cm="1">
        <f t="array" ref="CR46">IFERROR(VLOOKUP($A46,TRANSPOSE('[1]Fur 1 PLC'!$AR$1:$BV$38),35,0),0)</f>
        <v>234.59031657355681</v>
      </c>
      <c r="CS46" s="54" cm="1">
        <f t="array" ref="CS46">IFERROR(VLOOKUP($A46,TRANSPOSE('[1]Fur 1 PLC'!$AR$1:$BV$38),11,0),0)</f>
        <v>0</v>
      </c>
      <c r="CT46" s="54" cm="1">
        <f t="array" ref="CT46">IFERROR(VLOOKUP($A46,TRANSPOSE('[1]Fur 1 PLC'!$AR$1:$BV$38),19,0),0)</f>
        <v>0</v>
      </c>
      <c r="CU46" s="54" cm="1">
        <f t="array" ref="CU46">IFERROR(VLOOKUP($A46,TRANSPOSE('[1]Fur 1 PLC'!$AR$1:$BV$38),18,0),0)</f>
        <v>557.58845437616401</v>
      </c>
      <c r="CV46" s="54" cm="1">
        <f t="array" ref="CV46">IFERROR(VLOOKUP($A46,TRANSPOSE('[1]Fur 1 PLC'!$AR$1:$BV$38),15,0),0)</f>
        <v>168.85474860335196</v>
      </c>
      <c r="CW46" s="54" cm="1">
        <f t="array" ref="CW46">IFERROR(VLOOKUP($A46,TRANSPOSE('[1]Fur 1 PLC'!$CL$1:$DP$38),8,0),0)</f>
        <v>0</v>
      </c>
      <c r="CX46" s="54" cm="1">
        <f t="array" ref="CX46">IFERROR(VLOOKUP($A46,TRANSPOSE('[1]Fur 1 PLC'!$CL$1:$DP$38),30,0),0)</f>
        <v>33.361702127659576</v>
      </c>
      <c r="CY46" s="54" cm="1">
        <f t="array" ref="CY46">IFERROR(VLOOKUP($A46,TRANSPOSE('[1]Fur 1 PLC'!$CL$1:$DP$38),14,0),0)</f>
        <v>0</v>
      </c>
      <c r="CZ46" s="54" cm="1">
        <f t="array" ref="CZ46">IFERROR(VLOOKUP($A46,TRANSPOSE('[1]Fur 1 PLC'!$CL$1:$DP$38),16,0),0)</f>
        <v>0</v>
      </c>
      <c r="DA46" s="54" cm="1">
        <f t="array" ref="DA46">IFERROR(VLOOKUP($A46,TRANSPOSE('[1]Fur 1 PLC'!$CL$1:$DP$38),9,0),0)</f>
        <v>76.510638297872347</v>
      </c>
      <c r="DB46" s="55" cm="1">
        <f t="array" ref="DB46">IFERROR(VLOOKUP($A46,TRANSPOSE('[1]Fur 1 PLC'!$CL$1:$DP$38),17,0),0)</f>
        <v>0</v>
      </c>
      <c r="DC46" s="55" cm="1">
        <f t="array" ref="DC46">IFERROR(VLOOKUP($A46,TRANSPOSE('[1]Fur 1 PLC'!$CL$1:$DP$38),20,0),0)</f>
        <v>203.71276595744681</v>
      </c>
      <c r="DD46" s="54" cm="1">
        <f t="array" ref="DD46">IFERROR(VLOOKUP($A46,TRANSPOSE('[1]Fur 1 PLC'!$CL$1:$DP$38),28,0),0)</f>
        <v>0</v>
      </c>
      <c r="DE46" s="54" cm="1">
        <f t="array" ref="DE46">IFERROR(VLOOKUP($A46,TRANSPOSE('[1]Fur 1 PLC'!$CL$1:$DP$38),13,0),0)</f>
        <v>0</v>
      </c>
      <c r="DF46" s="54" cm="1">
        <f t="array" ref="DF46">IFERROR(VLOOKUP($A46,TRANSPOSE('[1]Fur 1 PLC'!$CL$1:$DP$38),37,0),0)</f>
        <v>140.58510638297872</v>
      </c>
      <c r="DG46" s="54" cm="1">
        <f t="array" ref="DG46">IFERROR(VLOOKUP($A46,TRANSPOSE('[1]Fur 1 PLC'!$CL$1:$DP$38),6,0),0)</f>
        <v>0</v>
      </c>
      <c r="DH46" s="54" cm="1">
        <f t="array" ref="DH46">IFERROR(VLOOKUP($A46,TRANSPOSE('[1]Fur 1 PLC'!$CL$1:$DP$38),21,0),0)</f>
        <v>0</v>
      </c>
      <c r="DI46" s="54" cm="1">
        <f t="array" ref="DI46">IFERROR(VLOOKUP($A46,TRANSPOSE('[1]Fur 1 PLC'!$CL$1:$DP$38),12,0),0)</f>
        <v>0</v>
      </c>
      <c r="DJ46" s="54" cm="1">
        <f t="array" ref="DJ46">IFERROR(VLOOKUP($A46,TRANSPOSE('[1]Fur 1 PLC'!$CL$1:$DP$38),25,0),0)</f>
        <v>0</v>
      </c>
      <c r="DK46" s="54" cm="1">
        <f t="array" ref="DK46">IFERROR(VLOOKUP($A46,TRANSPOSE('[1]Fur 1 PLC'!$CL$1:$DP$38),26,0),0)</f>
        <v>0</v>
      </c>
      <c r="DL46" s="54" cm="1">
        <f t="array" ref="DL46">IFERROR(VLOOKUP($A46,TRANSPOSE('[1]Fur 1 PLC'!$CL$1:$DP$38),27,0),0)</f>
        <v>125.19148936170212</v>
      </c>
      <c r="DM46" s="54" cm="1">
        <f t="array" ref="DM46">IFERROR(VLOOKUP($A46,TRANSPOSE('[1]Fur 1 PLC'!$CL$1:$DP$38),22,0),0)</f>
        <v>0</v>
      </c>
      <c r="DN46" s="54" cm="1">
        <f t="array" ref="DN46">IFERROR(VLOOKUP($A46,TRANSPOSE('[1]Fur 1 PLC'!$CL$1:$DP$38),19,0),0)</f>
        <v>0</v>
      </c>
      <c r="DO46" s="54" cm="1">
        <f t="array" ref="DO46">IFERROR(VLOOKUP($A46,TRANSPOSE('[1]Fur 1 PLC'!$CL$1:$DP$38),29,0),0)</f>
        <v>0</v>
      </c>
      <c r="DP46" s="54" cm="1">
        <f t="array" ref="DP46">IFERROR(VLOOKUP($A46,TRANSPOSE('[1]Fur 1 PLC'!$CL$1:$DP$38),10,0),0)</f>
        <v>0</v>
      </c>
      <c r="DQ46" s="54" cm="1">
        <f t="array" ref="DQ46">IFERROR(VLOOKUP($A46,TRANSPOSE('[1]Fur 1 PLC'!$CL$1:$DP$38),7,0),0)</f>
        <v>56.670212765957444</v>
      </c>
      <c r="DR46" s="54" cm="1">
        <f t="array" ref="DR46">IFERROR(VLOOKUP($A46,TRANSPOSE('[1]Fur 1 PLC'!$CL$1:$DP$38),35,0),0)</f>
        <v>53.606382978723403</v>
      </c>
      <c r="DS46" s="54" cm="1">
        <f t="array" ref="DS46">IFERROR(VLOOKUP($A46,TRANSPOSE('[1]Fur 1 PLC'!$CL$1:$DP$38),11,0),0)</f>
        <v>0</v>
      </c>
      <c r="DT46" s="54" cm="1">
        <f t="array" ref="DT46">IFERROR(VLOOKUP($A46,TRANSPOSE('[1]Fur 1 PLC'!$CL$1:$DP$38),19,0),0)</f>
        <v>0</v>
      </c>
      <c r="DU46" s="54" cm="1">
        <f t="array" ref="DU46">IFERROR(VLOOKUP($A46,TRANSPOSE('[1]Fur 1 PLC'!$CL$1:$DP$38),18,0),0)</f>
        <v>127.41489361702126</v>
      </c>
      <c r="DV46" s="54" cm="1">
        <f t="array" ref="DV46">IFERROR(VLOOKUP($A46,TRANSPOSE('[1]Fur 1 PLC'!$CL$1:$DP$38),15,0),0)</f>
        <v>38.585106382978722</v>
      </c>
      <c r="DW46" t="str">
        <f>TEXT(C46,"Mmm-yy")</f>
        <v>Dec-25</v>
      </c>
    </row>
    <row r="47" spans="1:127" x14ac:dyDescent="0.3">
      <c r="A47" s="28" t="str">
        <f t="shared" si="1"/>
        <v>F246003</v>
      </c>
      <c r="B47" s="29" t="s">
        <v>27</v>
      </c>
      <c r="C47" s="30">
        <f>C46</f>
        <v>46003</v>
      </c>
      <c r="D47" s="29" t="str">
        <f>VLOOKUP($B47&amp;$C47,'[1]FC2 Prod'!$A$6:$BP$36,[2]Consolidated!D$1)</f>
        <v>Mr. Girish Malik</v>
      </c>
      <c r="E47" s="29">
        <f>VLOOKUP($B47&amp;$C47,'[1]FC2 Prod'!$A$6:$BP$36,[2]Consolidated!E$1)</f>
        <v>31.290000000000003</v>
      </c>
      <c r="F47" s="29">
        <f>VLOOKUP($B47&amp;$C47,'[1]FC2 Prod'!$A$6:$BP$36,[2]Consolidated!F$1)</f>
        <v>0</v>
      </c>
      <c r="G47" s="29">
        <f>VLOOKUP($B47&amp;$C47,'[1]FC2 Prod'!$A$6:$BP$36,[2]Consolidated!G$1)</f>
        <v>31.29</v>
      </c>
      <c r="H47" s="32">
        <f>VLOOKUP($B47&amp;$C47,'[1]FC2 Prod'!$A$6:$BP$36,[2]Consolidated!H$1)</f>
        <v>22.645</v>
      </c>
      <c r="I47" s="32">
        <f>VLOOKUP($B47&amp;$C47,'[1]FC2 Prod'!$A$6:$BP$36,[2]Consolidated!I$1)</f>
        <v>6.37</v>
      </c>
      <c r="J47" s="32">
        <f>VLOOKUP($B47&amp;$C47,'[1]FC2 Prod'!$A$6:$BP$36,[2]Consolidated!J$1)</f>
        <v>40.380000000000003</v>
      </c>
      <c r="K47" s="32">
        <f>VLOOKUP($B47&amp;$C47,'[1]FC2 Prod'!$A$6:$BP$36,[2]Consolidated!K$1)</f>
        <v>1.3</v>
      </c>
      <c r="L47" s="32">
        <f>VLOOKUP($B47&amp;$C47,'[1]FC2 Prod'!$A$6:$BP$36,[2]Consolidated!L$1)</f>
        <v>28.4</v>
      </c>
      <c r="M47" s="32">
        <f>VLOOKUP($B47&amp;$C47,'[1]FC2 Prod'!$A$6:$BP$36,[2]Consolidated!M$1)</f>
        <v>4.78</v>
      </c>
      <c r="N47" s="32">
        <f>VLOOKUP($B47&amp;$C47,'[1]FC2 Prod'!$A$6:$BP$36,[2]Consolidated!N$1)</f>
        <v>15.78</v>
      </c>
      <c r="O47" s="32">
        <f>VLOOKUP($B47&amp;$C47,'[1]FC2 Prod'!$A$6:$BP$36,[2]Consolidated!O$1)</f>
        <v>0.82</v>
      </c>
      <c r="P47" s="34">
        <f>VLOOKUP($B47&amp;$C47,'[1]FC2 Prod'!$A$6:$BP$36,[2]Consolidated!P$1)</f>
        <v>9</v>
      </c>
      <c r="Q47" s="29">
        <f>VLOOKUP($B47&amp;$C47,'[1]FC2 Prod'!$A$6:$BP$36,[2]Consolidated!Q$1)</f>
        <v>62.161999999999992</v>
      </c>
      <c r="R47" s="29">
        <f>VLOOKUP($B47&amp;$C47,'[1]FC2 Prod'!$A$6:$BP$36,[2]Consolidated!R$1)</f>
        <v>18.691000000000003</v>
      </c>
      <c r="S47" s="34">
        <f>VLOOKUP($B47&amp;$C47,'[1]FC2 Prod'!$A$6:$BP$36,[2]Consolidated!S$1)</f>
        <v>30</v>
      </c>
      <c r="T47" s="34">
        <f>VLOOKUP($B47&amp;$C47,'[1]FC2 Prod'!$A$6:$BP$36,[2]Consolidated!T$1)</f>
        <v>20</v>
      </c>
      <c r="U47" s="34">
        <f>VLOOKUP($B47&amp;$C47,'[1]FC2 Prod'!$A$6:$BP$36,[2]Consolidated!U$1)</f>
        <v>20</v>
      </c>
      <c r="V47" s="34">
        <f>VLOOKUP($B47&amp;$C47,'[1]FC2 Prod'!$A$6:$BP$36,[2]Consolidated!V$1)</f>
        <v>70</v>
      </c>
      <c r="W47" s="29">
        <f>VLOOKUP($B47&amp;$C47,'[1]FC2 Prod'!$A$6:$BP$36,[2]Consolidated!W$1)</f>
        <v>1.986641099392777</v>
      </c>
      <c r="X47" s="35">
        <f>VLOOKUP($B47&amp;$C47,'[1]FC2 Prod'!$A$6:$BP$36,[2]Consolidated!X$1)</f>
        <v>32.26</v>
      </c>
      <c r="Y47" s="36">
        <f>VLOOKUP($B47&amp;$C47,'[1]FC2 Prod'!$A$6:$BP$36,[2]Consolidated!Y$1)</f>
        <v>0.9699318040917545</v>
      </c>
      <c r="Z47" s="37" t="str">
        <f>VLOOKUP($B47&amp;$C47,'[1]FC2 Prod'!$A$6:$BP$36,[2]Consolidated!Z$1)</f>
        <v>55/22</v>
      </c>
      <c r="AA47" s="31">
        <f>VLOOKUP($B47&amp;$C47,'[1]FC2 Prod'!$A$6:$BP$36,[2]Consolidated!AA$1)</f>
        <v>54.656666666666666</v>
      </c>
      <c r="AB47" s="31">
        <f>VLOOKUP($B47&amp;$C47,'[1]FC2 Prod'!$A$6:$BP$36,[2]Consolidated!AB$1)</f>
        <v>22.065555555555555</v>
      </c>
      <c r="AC47" s="31">
        <f>VLOOKUP($B47&amp;$C47,'[1]FC2 Prod'!$A$6:$BP$36,[2]Consolidated!AC$1)</f>
        <v>0.40777777777777779</v>
      </c>
      <c r="AD47" s="38">
        <f>VLOOKUP($B47&amp;$C47,'[1]FC2 Prod'!$A$6:$BP$36,[2]Consolidated!AD$1)</f>
        <v>697.7457605624802</v>
      </c>
      <c r="AE47" s="38">
        <f>VLOOKUP($B47&amp;$C47,'[1]FC2 Prod'!$A$6:$BP$36,[2]Consolidated!AE$1)</f>
        <v>630.55944272930651</v>
      </c>
      <c r="AF47" s="39">
        <f>VLOOKUP($B47&amp;$C47,'[1]FC2 Prod'!$A$6:$BP$36,[2]Consolidated!AF$1)</f>
        <v>0.78333212118129936</v>
      </c>
      <c r="AG47" s="39">
        <f>VLOOKUP($B47&amp;$C47,'[1]FC2 Prod'!$A$6:$BP$36,[2]Consolidated!AG$1)</f>
        <v>0.86679641859126477</v>
      </c>
      <c r="AH47" s="34">
        <f>VLOOKUP($B47&amp;$C47,'[1]FC2 Prod'!$A$6:$BP$36,[2]Consolidated!AH$1)</f>
        <v>386.71051198465966</v>
      </c>
      <c r="AI47" s="33">
        <f>VLOOKUP($B47&amp;$C47,'[1]FC2 Prod'!$A$6:$BP$36,[2]Consolidated!AI$1)</f>
        <v>439.5603426014701</v>
      </c>
      <c r="AJ47" s="39">
        <f>VLOOKUP($B47&amp;$C47,'[1]FC2 Prod'!$A$6:$BP$36,[2]Consolidated!AJ$1)</f>
        <v>0.50283843324865574</v>
      </c>
      <c r="AK47" s="39">
        <f>VLOOKUP($B47&amp;$C47,'[1]FC2 Prod'!$A$6:$BP$36,[2]Consolidated!AK$1)</f>
        <v>0.50287678605630004</v>
      </c>
      <c r="AL47" s="40" t="str">
        <f>VLOOKUP($B47&amp;$C47,'[1]FC2 Prod'!$A$6:$BP$36,[2]Consolidated!AL$1)</f>
        <v>10/70</v>
      </c>
      <c r="AM47" s="41">
        <f>VLOOKUP($B47&amp;$C47,'[1]FC2 Prod'!$A$6:$BP$36,[2]Consolidated!AM$1)</f>
        <v>2.7804410354745922E-2</v>
      </c>
      <c r="AN47" s="42">
        <f>VLOOKUP($B47&amp;$C47,'[1]FC2 Prod'!$A$6:$BP$36,[2]Consolidated!AN$1)</f>
        <v>142.5</v>
      </c>
      <c r="AO47" s="43">
        <f>VLOOKUP($B47&amp;$C47,'[1]FC2 Prod'!$A$6:$BP$36,[2]Consolidated!AO$1)</f>
        <v>5.899</v>
      </c>
      <c r="AP47" s="44">
        <f>VLOOKUP($B47&amp;$C47,'[1]FC2 Prod'!$A$6:$BP$36,[2]Consolidated!AP$1)</f>
        <v>4.7426973473953344</v>
      </c>
      <c r="AQ47" s="44">
        <f>VLOOKUP($B47&amp;$C47,'[1]FC2 Prod'!$A$6:$BP$36,[2]Consolidated!AQ$1)</f>
        <v>29.116916506301472</v>
      </c>
      <c r="AR47" s="45">
        <f>VLOOKUP($B47&amp;$C47,'[1]FC2 Prod'!$A$6:$BP$36,[2]Consolidated!AR$1)</f>
        <v>0.97336065573770503</v>
      </c>
      <c r="AS47" s="46">
        <f>VLOOKUP($B47&amp;$C47,'[1]FC2 Prod'!$A$6:$BP$36,[2]Consolidated!AS$1)</f>
        <v>2.2086666666666668</v>
      </c>
      <c r="AT47" s="29">
        <f>VLOOKUP($B47&amp;$C47,'[1]FC2 Prod'!$A$6:$BP$36,[2]Consolidated!AT$1)</f>
        <v>0.78840031741011851</v>
      </c>
      <c r="AU47" s="34">
        <f>VLOOKUP($B47&amp;$C47,'[1]FC2 Prod'!$A$6:$BP$36,[2]Consolidated!AU$1)</f>
        <v>502.98901098901098</v>
      </c>
      <c r="AV47" s="34">
        <f>VLOOKUP($B47&amp;$C47,'[1]FC2 Prod'!$A$6:$BP$36,[2]Consolidated!AV$1)</f>
        <v>283.33333333333331</v>
      </c>
      <c r="AW47" s="47">
        <f>VLOOKUP($B47&amp;$C47,'[1]FC2 Prod'!$A$6:$BP$36,[2]Consolidated!AW$1)</f>
        <v>27855.36561201662</v>
      </c>
      <c r="AX47" s="47">
        <f>VLOOKUP($B47&amp;$C47,'[1]FC2 Prod'!$A$6:$BP$36,[2]Consolidated!AX$1)</f>
        <v>11789.964844998402</v>
      </c>
      <c r="AY47" s="48">
        <f>VLOOKUP($B47&amp;$C47,'[1]FC2 Prod'!$A$6:$BP$36,[2]Consolidated!AY$1)</f>
        <v>1819.8465963566634</v>
      </c>
      <c r="AZ47" s="47">
        <f>VLOOKUP($B47&amp;$C47,'[1]FC2 Prod'!$A$6:$BP$36,[2]Consolidated!AZ$1)</f>
        <v>1822.7404921700224</v>
      </c>
      <c r="BA47" s="47">
        <f>VLOOKUP($B47&amp;$C47,'[1]FC2 Prod'!$A$6:$BP$36,[2]Consolidated!BA$1)</f>
        <v>27744.779482262707</v>
      </c>
      <c r="BB47" s="47">
        <f>VLOOKUP($B47&amp;$C47,'[1]FC2 Prod'!$A$6:$BP$36,[2]Consolidated!BB$1)</f>
        <v>710.3269702780442</v>
      </c>
      <c r="BC47" s="47">
        <f>VLOOKUP($B47&amp;$C47,'[1]FC2 Prod'!$A$6:$BP$36,[2]Consolidated!BC$1)</f>
        <v>9011.1249600511346</v>
      </c>
      <c r="BD47" s="49">
        <f>VLOOKUP($B47&amp;$C47,'[1]FC2 Prod'!$A$6:$BP$36,[2]Consolidated!BD$1)</f>
        <v>80754.148958133592</v>
      </c>
      <c r="BE47" s="47">
        <f>VLOOKUP($B47&amp;$C47,'[1]FC2 Prod'!$A$6:$BP$36,[2]Consolidated!BE$1)</f>
        <v>24883.735410674337</v>
      </c>
      <c r="BF47" s="47">
        <f>VLOOKUP($B47&amp;$C47,'[1]FC2 Prod'!$A$6:$BP$36,[2]Consolidated!BF$1)</f>
        <v>13469.223394055609</v>
      </c>
      <c r="BG47" s="50">
        <f>VLOOKUP($B47&amp;$C47,'[1]FC2 Prod'!$A$6:$BP$36,[2]Consolidated!BG$1)</f>
        <v>1751.850431447747</v>
      </c>
      <c r="BH47" s="50">
        <f>VLOOKUP($B47&amp;$C47,'[1]FC2 Prod'!$A$6:$BP$36,[2]Consolidated!BH$1)</f>
        <v>696.72329210610417</v>
      </c>
      <c r="BI47" s="50">
        <f>VLOOKUP($B47&amp;$C47,'[1]FC2 Prod'!$A$6:$BP$36,[2]Consolidated!BI$1)</f>
        <v>79380.177462767664</v>
      </c>
      <c r="BJ47" s="37" t="e">
        <f>VLOOKUP($B47&amp;$C47,'[1]FC2 Prod'!$A$6:$BP$36,[2]Consolidated!BJ$1)</f>
        <v>#REF!</v>
      </c>
      <c r="BK47" s="37" t="e">
        <f>VLOOKUP($B47&amp;$C47,'[1]FC2 Prod'!$A$6:$BP$36,[2]Consolidated!BK$1)</f>
        <v>#REF!</v>
      </c>
      <c r="BL47" s="37">
        <f>VLOOKUP($B47&amp;$C47,'[1]FC2 Prod'!$A$6:$BP$36,[2]Consolidated!BL$1)</f>
        <v>5</v>
      </c>
      <c r="BM47" s="37" t="e">
        <f>VLOOKUP($B47&amp;$C47,'[1]FC2 Prod'!$A$6:$BP$36,[2]Consolidated!BM$1)</f>
        <v>#REF!</v>
      </c>
      <c r="BN47" s="37">
        <f>VLOOKUP($B47&amp;$C47,'[1]FC2 Prod'!$A$6:$BP$36,[2]Consolidated!BN$1)</f>
        <v>25</v>
      </c>
      <c r="BO47" s="37">
        <f>VLOOKUP($B47&amp;$C47,'[1]FC2 Prod'!$A$6:$BP$36,[2]Consolidated!BO$1)</f>
        <v>30</v>
      </c>
      <c r="BP47" s="37" t="str">
        <f>VLOOKUP($B47&amp;$C47,'[1]FC2 Prod'!$A$6:$BP$36,[2]Consolidated!BP$1)</f>
        <v>Power Grids supply failure and over current trip.</v>
      </c>
      <c r="BQ47" s="29" t="e">
        <f>VLOOKUP($B47&amp;$C47,'[1]FC2 Prod'!$A$6:$BP$36,[2]Consolidated!BQ$1)</f>
        <v>#REF!</v>
      </c>
      <c r="BR47" s="51">
        <f>VLOOKUP($B47&amp;$C47,'[1]FC2 Prod'!$A$6:$BQ$36,[2]Consolidated!BR$1)</f>
        <v>69902</v>
      </c>
      <c r="BS47" s="52">
        <f t="shared" si="54"/>
        <v>67849.588718440398</v>
      </c>
      <c r="BT47" s="32">
        <f>BR47-BS47</f>
        <v>2052.4112815596018</v>
      </c>
      <c r="BU47" s="37">
        <f>E47*BT47</f>
        <v>64219.948999999942</v>
      </c>
      <c r="BV47" s="53" t="s">
        <v>131</v>
      </c>
      <c r="BW47" s="54" cm="1">
        <f t="array" ref="BW47">IFERROR(VLOOKUP($A47,TRANSPOSE('[1]Fur 2 PLC'!$AR$1:$BV$38),8,0),0)</f>
        <v>0</v>
      </c>
      <c r="BX47" s="54" cm="1">
        <f t="array" ref="BX47">IFERROR(VLOOKUP($A47,TRANSPOSE('[1]Fur 2 PLC'!$AR$1:$BV$38),30,0),0)</f>
        <v>0</v>
      </c>
      <c r="BY47" s="54" cm="1">
        <f t="array" ref="BY47">IFERROR(VLOOKUP($A47,TRANSPOSE('[1]Fur 2 PLC'!$AR$1:$BV$38),14,0),0)</f>
        <v>0</v>
      </c>
      <c r="BZ47" s="54" cm="1">
        <f t="array" ref="BZ47">IFERROR(VLOOKUP($A47,TRANSPOSE('[1]Fur 2 PLC'!$AR$1:$BV$38),16,0),0)</f>
        <v>0</v>
      </c>
      <c r="CA47" s="54" cm="1">
        <f t="array" ref="CA47">IFERROR(VLOOKUP($A47,TRANSPOSE('[1]Fur 2 PLC'!$AR$1:$BV$38),9,0),0)</f>
        <v>501.08660914030048</v>
      </c>
      <c r="CB47" s="54" cm="1">
        <f t="array" ref="CB47">IFERROR(VLOOKUP($A47,TRANSPOSE('[1]Fur 2 PLC'!$AR$1:$BV$38),17,0),0)</f>
        <v>402.62064557366574</v>
      </c>
      <c r="CC47" s="54" cm="1">
        <f t="array" ref="CC47">IFERROR(VLOOKUP($A47,TRANSPOSE('[1]Fur 2 PLC'!$AR$1:$BV$38),20,0),0)</f>
        <v>0</v>
      </c>
      <c r="CD47" s="54" cm="1">
        <f t="array" ref="CD47">IFERROR(VLOOKUP($A47,TRANSPOSE('[1]Fur 2 PLC'!$AR$1:$BV$38),28,0),0)</f>
        <v>127.51677852348995</v>
      </c>
      <c r="CE47" s="54" cm="1">
        <f t="array" ref="CE47">IFERROR(VLOOKUP($A47,TRANSPOSE('[1]Fur 2 PLC'!$AR$1:$BV$38),13,0),0)</f>
        <v>0</v>
      </c>
      <c r="CF47" s="54" cm="1">
        <f t="array" ref="CF47">IFERROR(VLOOKUP($A47,TRANSPOSE('[1]Fur 2 PLC'!$AR$1:$BV$38),37,0),0)</f>
        <v>648.83349312879511</v>
      </c>
      <c r="CG47" s="54" cm="1">
        <f t="array" ref="CG47">IFERROR(VLOOKUP($A47,TRANSPOSE('[1]Fur 2 PLC'!$AR$1:$BV$38),6,0),0)</f>
        <v>0</v>
      </c>
      <c r="CH47" s="54" cm="1">
        <f t="array" ref="CH47">IFERROR(VLOOKUP($A47,TRANSPOSE('[1]Fur 2 PLC'!$AR$1:$BV$38),21,0),0)</f>
        <v>0</v>
      </c>
      <c r="CI47" s="54" cm="1">
        <f t="array" ref="CI47">IFERROR(VLOOKUP($A47,TRANSPOSE('[1]Fur 2 PLC'!$AR$1:$BV$38),12,0),0)</f>
        <v>0</v>
      </c>
      <c r="CJ47" s="54" cm="1">
        <f t="array" ref="CJ47">IFERROR(VLOOKUP($A47,TRANSPOSE('[1]Fur 2 PLC'!$AR$1:$BV$38),25,0),0)</f>
        <v>0</v>
      </c>
      <c r="CK47" s="54" cm="1">
        <f t="array" ref="CK47">IFERROR(VLOOKUP($A47,TRANSPOSE('[1]Fur 2 PLC'!$AR$1:$BV$38),26,0),0)</f>
        <v>0</v>
      </c>
      <c r="CL47" s="54" cm="1">
        <f t="array" ref="CL47">IFERROR(VLOOKUP($A47,TRANSPOSE('[1]Fur 2 PLC'!$AR$1:$BV$38),27,0),0)</f>
        <v>469.83061681048258</v>
      </c>
      <c r="CM47" s="54" cm="1">
        <f t="array" ref="CM47">IFERROR(VLOOKUP($A47,TRANSPOSE('[1]Fur 2 PLC'!$AR$1:$BV$38),22,0),0)</f>
        <v>0</v>
      </c>
      <c r="CN47" s="54"/>
      <c r="CO47" s="54" cm="1">
        <f t="array" ref="CO47">IFERROR(VLOOKUP($A47,TRANSPOSE('[1]Fur 2 PLC'!$AR$1:$BV$38),29,0),0)</f>
        <v>0</v>
      </c>
      <c r="CP47" s="54" cm="1">
        <f t="array" ref="CP47">IFERROR(VLOOKUP($A47,TRANSPOSE('[1]Fur 2 PLC'!$AR$1:$BV$38),10,0),0)</f>
        <v>0</v>
      </c>
      <c r="CQ47" s="54" cm="1">
        <f t="array" ref="CQ47">IFERROR(VLOOKUP($A47,TRANSPOSE('[1]Fur 2 PLC'!$AR$1:$BV$38),7,0),0)</f>
        <v>178.97091722595076</v>
      </c>
      <c r="CR47" s="54" cm="1">
        <f t="array" ref="CR47">IFERROR(VLOOKUP($A47,TRANSPOSE('[1]Fur 2 PLC'!$AR$1:$BV$38),35,0),0)</f>
        <v>0</v>
      </c>
      <c r="CS47" s="54" cm="1">
        <f t="array" ref="CS47">IFERROR(VLOOKUP($A47,TRANSPOSE('[1]Fur 2 PLC'!$AR$1:$BV$38),11,0),0)</f>
        <v>740.58804729945666</v>
      </c>
      <c r="CT47" s="54" cm="1">
        <f t="array" ref="CT47">IFERROR(VLOOKUP($A47,TRANSPOSE('[1]Fur 2 PLC'!$AR$1:$BV$38),19,0),0)</f>
        <v>0</v>
      </c>
      <c r="CU47" s="54" cm="1">
        <f t="array" ref="CU47">IFERROR(VLOOKUP($A47,TRANSPOSE('[1]Fur 2 PLC'!$AR$1:$BV$38),18,0),0)</f>
        <v>0</v>
      </c>
      <c r="CV47" s="54" cm="1">
        <f t="array" ref="CV47">IFERROR(VLOOKUP($A47,TRANSPOSE('[1]Fur 2 PLC'!$AR$1:$BV$38),15,0),0)</f>
        <v>342.34579737935445</v>
      </c>
      <c r="CW47" s="54" cm="1">
        <f t="array" ref="CW47">IFERROR(VLOOKUP($A47,TRANSPOSE('[1]Fur 2 PLC'!$CI$1:$DM$38),8,0),0)</f>
        <v>0</v>
      </c>
      <c r="CX47" s="54" cm="1">
        <f t="array" ref="CX47">IFERROR(VLOOKUP($A47,TRANSPOSE('[1]Fur 2 PLC'!$CI$1:$DM$38),30,0),0)</f>
        <v>0</v>
      </c>
      <c r="CY47" s="54" cm="1">
        <f t="array" ref="CY47">IFERROR(VLOOKUP($A47,TRANSPOSE('[1]Fur 2 PLC'!$CI$1:$DM$38),14,0),0)</f>
        <v>0</v>
      </c>
      <c r="CZ47" s="54" cm="1">
        <f t="array" ref="CZ47">IFERROR(VLOOKUP($A47,TRANSPOSE('[1]Fur 2 PLC'!$CI$1:$DM$38),16,0),0)</f>
        <v>0</v>
      </c>
      <c r="DA47" s="54" cm="1">
        <f t="array" ref="DA47">IFERROR(VLOOKUP($A47,TRANSPOSE('[1]Fur 2 PLC'!$CI$1:$DM$38),9,0),0)</f>
        <v>223.98571428571429</v>
      </c>
      <c r="DB47" s="55" cm="1">
        <f t="array" ref="DB47">IFERROR(VLOOKUP($A47,TRANSPOSE('[1]Fur 2 PLC'!$CI$1:$DM$38),17,0),0)</f>
        <v>179.97142857142859</v>
      </c>
      <c r="DC47" s="55" cm="1">
        <f t="array" ref="DC47">IFERROR(VLOOKUP($A47,TRANSPOSE('[1]Fur 2 PLC'!$CI$1:$DM$38),20,0),0)</f>
        <v>0</v>
      </c>
      <c r="DD47" s="54" cm="1">
        <f t="array" ref="DD47">IFERROR(VLOOKUP($A47,TRANSPOSE('[1]Fur 2 PLC'!$CI$1:$DM$38),28,0),0)</f>
        <v>57</v>
      </c>
      <c r="DE47" s="54" cm="1">
        <f t="array" ref="DE47">IFERROR(VLOOKUP($A47,TRANSPOSE('[1]Fur 2 PLC'!$CI$1:$DM$38),13,0),0)</f>
        <v>0</v>
      </c>
      <c r="DF47" s="54" cm="1">
        <f t="array" ref="DF47">IFERROR(VLOOKUP($A47,TRANSPOSE('[1]Fur 2 PLC'!$CI$1:$DM$38),37,0),0)</f>
        <v>290.02857142857141</v>
      </c>
      <c r="DG47" s="54" cm="1">
        <f t="array" ref="DG47">IFERROR(VLOOKUP($A47,TRANSPOSE('[1]Fur 2 PLC'!$CI$1:$DM$38),6,0),0)</f>
        <v>0</v>
      </c>
      <c r="DH47" s="54" cm="1">
        <f t="array" ref="DH47">IFERROR(VLOOKUP($A47,TRANSPOSE('[1]Fur 2 PLC'!$CI$1:$DM$38),21,0),0)</f>
        <v>0</v>
      </c>
      <c r="DI47" s="54" cm="1">
        <f t="array" ref="DI47">IFERROR(VLOOKUP($A47,TRANSPOSE('[1]Fur 2 PLC'!$CI$1:$DM$38),12,0),0)</f>
        <v>0</v>
      </c>
      <c r="DJ47" s="54" cm="1">
        <f t="array" ref="DJ47">IFERROR(VLOOKUP($A47,TRANSPOSE('[1]Fur 2 PLC'!$CI$1:$DM$38),25,0),0)</f>
        <v>0</v>
      </c>
      <c r="DK47" s="54" cm="1">
        <f t="array" ref="DK47">IFERROR(VLOOKUP($A47,TRANSPOSE('[1]Fur 2 PLC'!$CI$1:$DM$38),26,0),0)</f>
        <v>0</v>
      </c>
      <c r="DL47" s="54" cm="1">
        <f t="array" ref="DL47">IFERROR(VLOOKUP($A47,TRANSPOSE('[1]Fur 2 PLC'!$CI$1:$DM$38),27,0),0)</f>
        <v>210.01428571428571</v>
      </c>
      <c r="DM47" s="54" cm="1">
        <f t="array" ref="DM47">IFERROR(VLOOKUP($A47,TRANSPOSE('[1]Fur 2 PLC'!$CI$1:$DM$38),22,0),0)</f>
        <v>0</v>
      </c>
      <c r="DN47" s="54" cm="1">
        <f t="array" ref="DN47">IFERROR(VLOOKUP($A47,TRANSPOSE('[1]Fur 2 PLC'!$CI$1:$DM$38),19,0),0)</f>
        <v>0</v>
      </c>
      <c r="DO47" s="54" cm="1">
        <f t="array" ref="DO47">IFERROR(VLOOKUP($A47,TRANSPOSE('[1]Fur 2 PLC'!$CI$1:$DM$38),29,0),0)</f>
        <v>0</v>
      </c>
      <c r="DP47" s="54" cm="1">
        <f t="array" ref="DP47">IFERROR(VLOOKUP($A47,TRANSPOSE('[1]Fur 2 PLC'!$CI$1:$DM$38),10,0),0)</f>
        <v>0</v>
      </c>
      <c r="DQ47" s="54" cm="1">
        <f t="array" ref="DQ47">IFERROR(VLOOKUP($A47,TRANSPOSE('[1]Fur 2 PLC'!$CI$1:$DM$38),7,0),0)</f>
        <v>80</v>
      </c>
      <c r="DR47" s="54" cm="1">
        <f t="array" ref="DR47">IFERROR(VLOOKUP($A47,TRANSPOSE('[1]Fur 2 PLC'!$CI$1:$DM$38),35,0),0)</f>
        <v>0</v>
      </c>
      <c r="DS47" s="54" cm="1">
        <f t="array" ref="DS47">IFERROR(VLOOKUP($A47,TRANSPOSE('[1]Fur 2 PLC'!$CI$1:$DM$38),11,0),0)</f>
        <v>331.04285714285714</v>
      </c>
      <c r="DT47" s="54" cm="1">
        <f t="array" ref="DT47">IFERROR(VLOOKUP($A47,TRANSPOSE('[1]Fur 2 PLC'!$CI$1:$DM$38),19,0),0)</f>
        <v>0</v>
      </c>
      <c r="DU47" s="54" cm="1">
        <f t="array" ref="DU47">IFERROR(VLOOKUP($A47,TRANSPOSE('[1]Fur 2 PLC'!$CI$1:$DM$38),18,0),0)</f>
        <v>0</v>
      </c>
      <c r="DV47" s="54" cm="1">
        <f t="array" ref="DV47">IFERROR(VLOOKUP($A47,TRANSPOSE('[1]Fur 2 PLC'!$CI$1:$DM$38),15,0),0)</f>
        <v>153.02857142857144</v>
      </c>
      <c r="DW47" t="str">
        <f t="shared" ref="DW47:DW49" si="55">TEXT(C47,"Mmm-yy")</f>
        <v>Dec-25</v>
      </c>
    </row>
    <row r="48" spans="1:127" x14ac:dyDescent="0.3">
      <c r="A48" s="28" t="str">
        <f t="shared" si="1"/>
        <v>F346003</v>
      </c>
      <c r="B48" s="29" t="s">
        <v>28</v>
      </c>
      <c r="C48" s="30">
        <f>C47</f>
        <v>46003</v>
      </c>
      <c r="D48" s="29" t="str">
        <f>VLOOKUP($B48&amp;$C48,'[1]FC3 Prod'!$A$6:$BP$36,[2]Consolidated!D$1)</f>
        <v>Mr. Ajay Singh</v>
      </c>
      <c r="E48" s="29">
        <f>VLOOKUP($B48&amp;$C48,'[1]FC3 Prod'!$A$6:$BP$36,[2]Consolidated!E$1)</f>
        <v>37.72</v>
      </c>
      <c r="F48" s="31">
        <f>VLOOKUP($B48&amp;$C48,'[1]FC3 Prod'!$A$6:$BP$36,[2]Consolidated!F$1)</f>
        <v>0.25</v>
      </c>
      <c r="G48" s="32">
        <f>VLOOKUP($B48&amp;$C48,'[1]FC3 Prod'!$A$6:$BP$36,[2]Consolidated!G$1)</f>
        <v>37.97</v>
      </c>
      <c r="H48" s="32">
        <f>VLOOKUP($B48&amp;$C48,'[1]FC3 Prod'!$A$6:$BP$36,[2]Consolidated!H$1)</f>
        <v>29.150000000000002</v>
      </c>
      <c r="I48" s="32">
        <f>VLOOKUP($B48&amp;$C48,'[1]FC3 Prod'!$A$6:$BP$36,[2]Consolidated!I$1)</f>
        <v>10.1</v>
      </c>
      <c r="J48" s="32">
        <f>VLOOKUP($B48&amp;$C48,'[1]FC3 Prod'!$A$6:$BP$36,[2]Consolidated!J$1)</f>
        <v>38.92</v>
      </c>
      <c r="K48" s="32">
        <f>VLOOKUP($B48&amp;$C48,'[1]FC3 Prod'!$A$6:$BP$36,[2]Consolidated!K$1)</f>
        <v>1.26</v>
      </c>
      <c r="L48" s="32">
        <f>VLOOKUP($B48&amp;$C48,'[1]FC3 Prod'!$A$6:$BP$36,[2]Consolidated!L$1)</f>
        <v>25.8</v>
      </c>
      <c r="M48" s="32">
        <f>VLOOKUP($B48&amp;$C48,'[1]FC3 Prod'!$A$6:$BP$36,[2]Consolidated!M$1)</f>
        <v>4.96</v>
      </c>
      <c r="N48" s="32">
        <f>VLOOKUP($B48&amp;$C48,'[1]FC3 Prod'!$A$6:$BP$36,[2]Consolidated!N$1)</f>
        <v>15.82</v>
      </c>
      <c r="O48" s="32">
        <f>VLOOKUP($B48&amp;$C48,'[1]FC3 Prod'!$A$6:$BP$36,[2]Consolidated!O$1)</f>
        <v>0.79</v>
      </c>
      <c r="P48" s="33">
        <f>VLOOKUP($B48&amp;$C48,'[1]FC3 Prod'!$A$6:$BP$36,[2]Consolidated!P$1)</f>
        <v>8</v>
      </c>
      <c r="Q48" s="29">
        <f>VLOOKUP($B48&amp;$C48,'[1]FC3 Prod'!$A$6:$BP$36,[2]Consolidated!Q$1)</f>
        <v>79.972999999999999</v>
      </c>
      <c r="R48" s="29">
        <f>VLOOKUP($B48&amp;$C48,'[1]FC3 Prod'!$A$6:$BP$36,[2]Consolidated!R$1)</f>
        <v>26.210999999999999</v>
      </c>
      <c r="S48" s="34">
        <f>VLOOKUP($B48&amp;$C48,'[1]FC3 Prod'!$A$6:$BP$36,[2]Consolidated!S$1)</f>
        <v>30</v>
      </c>
      <c r="T48" s="34">
        <f>VLOOKUP($B48&amp;$C48,'[1]FC3 Prod'!$A$6:$BP$36,[2]Consolidated!T$1)</f>
        <v>20</v>
      </c>
      <c r="U48" s="34">
        <f>VLOOKUP($B48&amp;$C48,'[1]FC3 Prod'!$A$6:$BP$36,[2]Consolidated!U$1)</f>
        <v>24</v>
      </c>
      <c r="V48" s="34">
        <f>VLOOKUP($B48&amp;$C48,'[1]FC3 Prod'!$A$6:$BP$36,[2]Consolidated!V$1)</f>
        <v>74</v>
      </c>
      <c r="W48" s="35">
        <f>VLOOKUP($B48&amp;$C48,'[1]FC3 Prod'!$A$6:$BP$36,[2]Consolidated!W$1)</f>
        <v>2.1201749734888655</v>
      </c>
      <c r="X48" s="35">
        <f>VLOOKUP($B48&amp;$C48,'[1]FC3 Prod'!$A$6:$BP$36,[2]Consolidated!X$1)</f>
        <v>39.145000000000003</v>
      </c>
      <c r="Y48" s="36">
        <f>VLOOKUP($B48&amp;$C48,'[1]FC3 Prod'!$A$6:$BP$36,[2]Consolidated!Y$1)</f>
        <v>0.96359688338229643</v>
      </c>
      <c r="Z48" s="37" t="str">
        <f>VLOOKUP($B48&amp;$C48,'[1]FC3 Prod'!$A$6:$BP$36,[2]Consolidated!Z$1)</f>
        <v>60/15</v>
      </c>
      <c r="AA48" s="31">
        <f>VLOOKUP($B48&amp;$C48,'[1]FC3 Prod'!$A$6:$BP$36,[2]Consolidated!AA$1)</f>
        <v>59.742500000000007</v>
      </c>
      <c r="AB48" s="31">
        <f>VLOOKUP($B48&amp;$C48,'[1]FC3 Prod'!$A$6:$BP$36,[2]Consolidated!AB$1)</f>
        <v>15.108750000000001</v>
      </c>
      <c r="AC48" s="31" t="e">
        <f>VLOOKUP($B48&amp;$C48,'[1]FC3 Prod'!$A$6:$BP$36,[2]Consolidated!AC$1)</f>
        <v>#REF!</v>
      </c>
      <c r="AD48" s="38">
        <f>VLOOKUP($B48&amp;$C48,'[1]FC3 Prod'!$A$6:$BP$36,[2]Consolidated!AD$1)</f>
        <v>718.51387773064687</v>
      </c>
      <c r="AE48" s="38">
        <f>VLOOKUP($B48&amp;$C48,'[1]FC3 Prod'!$A$6:$BP$36,[2]Consolidated!AE$1)</f>
        <v>690.5267554241783</v>
      </c>
      <c r="AF48" s="39">
        <f>VLOOKUP($B48&amp;$C48,'[1]FC3 Prod'!$A$6:$BP$36,[2]Consolidated!AF$1)</f>
        <v>0.83147315384764209</v>
      </c>
      <c r="AG48" s="39">
        <f>VLOOKUP($B48&amp;$C48,'[1]FC3 Prod'!$A$6:$BP$36,[2]Consolidated!AG$1)</f>
        <v>0.86517284856401044</v>
      </c>
      <c r="AH48" s="34">
        <f>VLOOKUP($B48&amp;$C48,'[1]FC3 Prod'!$A$6:$BP$36,[2]Consolidated!AH$1)</f>
        <v>234.71480646871683</v>
      </c>
      <c r="AI48" s="33">
        <f>VLOOKUP($B48&amp;$C48,'[1]FC3 Prod'!$A$6:$BP$36,[2]Consolidated!AI$1)</f>
        <v>403.90668743372214</v>
      </c>
      <c r="AJ48" s="39">
        <f>VLOOKUP($B48&amp;$C48,'[1]FC3 Prod'!$A$6:$BP$36,[2]Consolidated!AJ$1)</f>
        <v>0.51741582858159263</v>
      </c>
      <c r="AK48" s="39">
        <f>VLOOKUP($B48&amp;$C48,'[1]FC3 Prod'!$A$6:$BP$36,[2]Consolidated!AK$1)</f>
        <v>0.46068353411151919</v>
      </c>
      <c r="AL48" s="40" t="str">
        <f>VLOOKUP($B48&amp;$C48,'[1]FC3 Prod'!$A$6:$BP$36,[2]Consolidated!AL$1)</f>
        <v>25/50</v>
      </c>
      <c r="AM48" s="41">
        <f>VLOOKUP($B48&amp;$C48,'[1]FC3 Prod'!$A$6:$BP$36,[2]Consolidated!AM$1)</f>
        <v>3.4199363732767767E-2</v>
      </c>
      <c r="AN48" s="42">
        <f>VLOOKUP($B48&amp;$C48,'[1]FC3 Prod'!$A$6:$BP$36,[2]Consolidated!AN$1)</f>
        <v>144.19999999999999</v>
      </c>
      <c r="AO48" s="43">
        <f>VLOOKUP($B48&amp;$C48,'[1]FC3 Prod'!$A$6:$BP$36,[2]Consolidated!AO$1)</f>
        <v>5.899</v>
      </c>
      <c r="AP48" s="44">
        <f>VLOOKUP($B48&amp;$C48,'[1]FC3 Prod'!$A$6:$BP$36,[2]Consolidated!AP$1)</f>
        <v>3.979294803817603</v>
      </c>
      <c r="AQ48" s="44">
        <f>VLOOKUP($B48&amp;$C48,'[1]FC3 Prod'!$A$6:$BP$36,[2]Consolidated!AQ$1)</f>
        <v>29.636880976037141</v>
      </c>
      <c r="AR48" s="45">
        <f>VLOOKUP($B48&amp;$C48,'[1]FC3 Prod'!$A$6:$BP$36,[2]Consolidated!AR$1)</f>
        <v>0.98497267759562845</v>
      </c>
      <c r="AS48" s="46">
        <f>VLOOKUP($B48&amp;$C48,'[1]FC3 Prod'!$A$6:$BP$36,[2]Consolidated!AS$1)</f>
        <v>2.0750000000000002</v>
      </c>
      <c r="AT48" s="29">
        <f>VLOOKUP($B48&amp;$C48,'[1]FC3 Prod'!$A$6:$BP$36,[2]Consolidated!AT$1)</f>
        <v>0.78811313212689527</v>
      </c>
      <c r="AU48" s="34">
        <f>VLOOKUP($B48&amp;$C48,'[1]FC3 Prod'!$A$6:$BP$36,[2]Consolidated!AU$1)</f>
        <v>517.12332112332115</v>
      </c>
      <c r="AV48" s="34">
        <f>VLOOKUP($B48&amp;$C48,'[1]FC3 Prod'!$A$6:$BP$36,[2]Consolidated!AV$1)</f>
        <v>283.33333333333331</v>
      </c>
      <c r="AW48" s="47">
        <f>VLOOKUP($B48&amp;$C48,'[1]FC3 Prod'!$A$6:$BP$36,[2]Consolidated!AW$1)</f>
        <v>27791.866383881228</v>
      </c>
      <c r="AX48" s="47">
        <f>VLOOKUP($B48&amp;$C48,'[1]FC3 Prod'!$A$6:$BP$36,[2]Consolidated!AX$1)</f>
        <v>4720.8022269353132</v>
      </c>
      <c r="AY48" s="48">
        <f>VLOOKUP($B48&amp;$C48,'[1]FC3 Prod'!$A$6:$BP$36,[2]Consolidated!AY$1)</f>
        <v>824.60233297985155</v>
      </c>
      <c r="AZ48" s="47">
        <f>VLOOKUP($B48&amp;$C48,'[1]FC3 Prod'!$A$6:$BP$36,[2]Consolidated!AZ$1)</f>
        <v>1812.6179745493107</v>
      </c>
      <c r="BA48" s="47">
        <f>VLOOKUP($B48&amp;$C48,'[1]FC3 Prod'!$A$6:$BP$36,[2]Consolidated!BA$1)</f>
        <v>23278.874602332977</v>
      </c>
      <c r="BB48" s="47">
        <f>VLOOKUP($B48&amp;$C48,'[1]FC3 Prod'!$A$6:$BP$36,[2]Consolidated!BB$1)</f>
        <v>584.28763520678683</v>
      </c>
      <c r="BC48" s="47">
        <f>VLOOKUP($B48&amp;$C48,'[1]FC3 Prod'!$A$6:$BP$36,[2]Consolidated!BC$1)</f>
        <v>7560.6601272534454</v>
      </c>
      <c r="BD48" s="49">
        <f>VLOOKUP($B48&amp;$C48,'[1]FC3 Prod'!$A$6:$BP$36,[2]Consolidated!BD$1)</f>
        <v>66573.711283138909</v>
      </c>
      <c r="BE48" s="47">
        <f>VLOOKUP($B48&amp;$C48,'[1]FC3 Prod'!$A$6:$BP$36,[2]Consolidated!BE$1)</f>
        <v>26832.77081124072</v>
      </c>
      <c r="BF48" s="47">
        <f>VLOOKUP($B48&amp;$C48,'[1]FC3 Prod'!$A$6:$BP$36,[2]Consolidated!BF$1)</f>
        <v>9089.0494167550387</v>
      </c>
      <c r="BG48" s="50">
        <f>VLOOKUP($B48&amp;$C48,'[1]FC3 Prod'!$A$6:$BP$36,[2]Consolidated!BG$1)</f>
        <v>1041.4501590668083</v>
      </c>
      <c r="BH48" s="50">
        <f>VLOOKUP($B48&amp;$C48,'[1]FC3 Prod'!$A$6:$BP$36,[2]Consolidated!BH$1)</f>
        <v>620.54762963944859</v>
      </c>
      <c r="BI48" s="50">
        <f>VLOOKUP($B48&amp;$C48,'[1]FC3 Prod'!$A$6:$BP$36,[2]Consolidated!BI$1)</f>
        <v>70235.970720837751</v>
      </c>
      <c r="BJ48" s="37" t="e">
        <f>VLOOKUP($B48&amp;$C48,'[1]FC3 Prod'!$A$6:$BP$36,[2]Consolidated!BJ$1)</f>
        <v>#REF!</v>
      </c>
      <c r="BK48" s="37" t="e">
        <f>VLOOKUP($B48&amp;$C48,'[1]FC3 Prod'!$A$6:$BP$36,[2]Consolidated!BK$1)</f>
        <v>#REF!</v>
      </c>
      <c r="BL48" s="37" t="e">
        <f>VLOOKUP($B48&amp;$C48,'[1]FC3 Prod'!$A$6:$BP$36,[2]Consolidated!BL$1)</f>
        <v>#REF!</v>
      </c>
      <c r="BM48" s="37" t="e">
        <f>VLOOKUP($B48&amp;$C48,'[1]FC3 Prod'!$A$6:$BP$36,[2]Consolidated!BM$1)</f>
        <v>#REF!</v>
      </c>
      <c r="BN48" s="37">
        <f>VLOOKUP($B48&amp;$C48,'[1]FC3 Prod'!$A$6:$BP$36,[2]Consolidated!BN$1)</f>
        <v>20</v>
      </c>
      <c r="BO48" s="37">
        <f>VLOOKUP($B48&amp;$C48,'[1]FC3 Prod'!$A$6:$BP$36,[2]Consolidated!BO$1)</f>
        <v>20</v>
      </c>
      <c r="BP48" s="37" t="str">
        <f>VLOOKUP($B48&amp;$C48,'[1]FC3 Prod'!$A$6:$BP$36,[2]Consolidated!BP$1)</f>
        <v>Power Grids supply failure.</v>
      </c>
      <c r="BQ48" s="51" t="e">
        <f>VLOOKUP($B48&amp;$C48,'[1]FC3 Prod'!$A$6:$BP$36,[2]Consolidated!BQ$1)</f>
        <v>#REF!</v>
      </c>
      <c r="BR48" s="51">
        <f>VLOOKUP($B48&amp;$C48,'[1]FC3 Prod'!$A$6:$BQ$36,[2]Consolidated!BR$1)</f>
        <v>60369</v>
      </c>
      <c r="BS48" s="52">
        <f t="shared" si="54"/>
        <v>60242.144989395543</v>
      </c>
      <c r="BT48" s="32">
        <f t="shared" ref="BT48:BT49" si="56">BR48-BS48</f>
        <v>126.85501060445677</v>
      </c>
      <c r="BU48" s="37">
        <f t="shared" ref="BU48:BU49" si="57">E48*BT48</f>
        <v>4784.9710000001087</v>
      </c>
      <c r="BV48" s="53" t="s">
        <v>131</v>
      </c>
      <c r="BW48" s="54" cm="1">
        <f t="array" ref="BW48">IFERROR(VLOOKUP($A48,TRANSPOSE('[1]Fur 3 PLC'!$AS$1:$BX$38),8,0),0)</f>
        <v>892.8950159066809</v>
      </c>
      <c r="BX48" s="54" cm="1">
        <f t="array" ref="BX48">IFERROR(VLOOKUP($A48,TRANSPOSE('[1]Fur 3 PLC'!$AS$1:$BX$38),30,0),0)</f>
        <v>0</v>
      </c>
      <c r="BY48" s="54" cm="1">
        <f t="array" ref="BY48">IFERROR(VLOOKUP($A48,TRANSPOSE('[1]Fur 3 PLC'!$AS$1:$BX$38),14,0),0)</f>
        <v>0</v>
      </c>
      <c r="BZ48" s="54" cm="1">
        <f t="array" ref="BZ48">IFERROR(VLOOKUP($A48,TRANSPOSE('[1]Fur 3 PLC'!$AS$1:$BX$38),16,0),0)</f>
        <v>0</v>
      </c>
      <c r="CA48" s="54" cm="1">
        <f t="array" ref="CA48">IFERROR(VLOOKUP($A48,TRANSPOSE('[1]Fur 3 PLC'!$AS$1:$BX$38),9,0),0)</f>
        <v>412.06256627783665</v>
      </c>
      <c r="CB48" s="54" cm="1">
        <f t="array" ref="CB48">IFERROR(VLOOKUP($A48,TRANSPOSE('[1]Fur 3 PLC'!$AS$1:$BX$38),17,0),0)</f>
        <v>0</v>
      </c>
      <c r="CC48" s="54" cm="1">
        <f t="array" ref="CC48">IFERROR(VLOOKUP($A48,TRANSPOSE('[1]Fur 3 PLC'!$AS$1:$BX$38),20,0),0)</f>
        <v>49.496288441145282</v>
      </c>
      <c r="CD48" s="54" cm="1">
        <f t="array" ref="CD48">IFERROR(VLOOKUP($A48,TRANSPOSE('[1]Fur 3 PLC'!$AS$1:$BX$38),28,0),0)</f>
        <v>0</v>
      </c>
      <c r="CE48" s="54" cm="1">
        <f t="array" ref="CE48">IFERROR(VLOOKUP($A48,TRANSPOSE('[1]Fur 3 PLC'!$AS$1:$BX$38),13,0),0)</f>
        <v>0</v>
      </c>
      <c r="CF48" s="54" cm="1">
        <f t="array" ref="CF48">IFERROR(VLOOKUP($A48,TRANSPOSE('[1]Fur 3 PLC'!$AS$1:$BX$38),37,0),0)</f>
        <v>380.72640509013786</v>
      </c>
      <c r="CG48" s="54" cm="1">
        <f t="array" ref="CG48">IFERROR(VLOOKUP($A48,TRANSPOSE('[1]Fur 3 PLC'!$AS$1:$BX$38),6,0),0)</f>
        <v>0</v>
      </c>
      <c r="CH48" s="54" cm="1">
        <f t="array" ref="CH48">IFERROR(VLOOKUP($A48,TRANSPOSE('[1]Fur 3 PLC'!$AS$1:$BX$38),21,0),0)</f>
        <v>0</v>
      </c>
      <c r="CI48" s="54" cm="1">
        <f t="array" ref="CI48">IFERROR(VLOOKUP($A48,TRANSPOSE('[1]Fur 3 PLC'!$AS$1:$BX$38),12,0),0)</f>
        <v>0</v>
      </c>
      <c r="CJ48" s="54" cm="1">
        <f t="array" ref="CJ48">IFERROR(VLOOKUP($A48,TRANSPOSE('[1]Fur 3 PLC'!$AS$1:$BX$38),25,0),0)</f>
        <v>0</v>
      </c>
      <c r="CK48" s="54" cm="1">
        <f t="array" ref="CK48">IFERROR(VLOOKUP($A48,TRANSPOSE('[1]Fur 3 PLC'!$AS$1:$BX$38),26,0),0)</f>
        <v>436.797454931071</v>
      </c>
      <c r="CL48" s="54" cm="1">
        <f t="array" ref="CL48">IFERROR(VLOOKUP($A48,TRANSPOSE('[1]Fur 3 PLC'!$AS$1:$BX$38),27,0),0)</f>
        <v>130.54082714740193</v>
      </c>
      <c r="CM48" s="54" cm="1">
        <f t="array" ref="CM48">IFERROR(VLOOKUP($A48,TRANSPOSE('[1]Fur 3 PLC'!$AS$1:$BX$38),22,0),0)</f>
        <v>0</v>
      </c>
      <c r="CN48" s="54"/>
      <c r="CO48" s="54" cm="1">
        <f t="array" ref="CO48">IFERROR(VLOOKUP($A48,TRANSPOSE('[1]Fur 3 PLC'!$AS$1:$BX$38),29,0),0)</f>
        <v>127.54506892895014</v>
      </c>
      <c r="CP48" s="54" cm="1">
        <f t="array" ref="CP48">IFERROR(VLOOKUP($A48,TRANSPOSE('[1]Fur 3 PLC'!$AS$1:$BX$38),10,0),0)</f>
        <v>0</v>
      </c>
      <c r="CQ48" s="54" cm="1">
        <f t="array" ref="CQ48">IFERROR(VLOOKUP($A48,TRANSPOSE('[1]Fur 3 PLC'!$AS$1:$BX$38),7,0),0)</f>
        <v>209.78260869565219</v>
      </c>
      <c r="CR48" s="54" cm="1">
        <f t="array" ref="CR48">IFERROR(VLOOKUP($A48,TRANSPOSE('[1]Fur 3 PLC'!$AS$1:$BX$38),35,0),0)</f>
        <v>5.6203605514316015</v>
      </c>
      <c r="CS48" s="54" cm="1">
        <f t="array" ref="CS48">IFERROR(VLOOKUP($A48,TRANSPOSE('[1]Fur 3 PLC'!$AS$1:$BX$38),11,0),0)</f>
        <v>0</v>
      </c>
      <c r="CT48" s="54" cm="1">
        <f t="array" ref="CT48">IFERROR(VLOOKUP($A48,TRANSPOSE('[1]Fur 3 PLC'!$AS$1:$BX$38),19,0),0)</f>
        <v>0</v>
      </c>
      <c r="CU48" s="54" cm="1">
        <f t="array" ref="CU48">IFERROR(VLOOKUP($A48,TRANSPOSE('[1]Fur 3 PLC'!$AS$1:$BX$38),18,0),0)</f>
        <v>383.03287380699896</v>
      </c>
      <c r="CV48" s="54" cm="1">
        <f t="array" ref="CV48">IFERROR(VLOOKUP($A48,TRANSPOSE('[1]Fur 3 PLC'!$AR$1:$BV$38),15,0),0)</f>
        <v>382.68822905620362</v>
      </c>
      <c r="CW48" s="54" cm="1">
        <f t="array" ref="CW48">IFERROR(VLOOKUP($A48,TRANSPOSE('[1]Fur 3 PLC'!$CK$1:$DO$38),8,0),0)</f>
        <v>455.13513513513516</v>
      </c>
      <c r="CX48" s="54" cm="1">
        <f t="array" ref="CX48">IFERROR(VLOOKUP($A48,TRANSPOSE('[1]Fur 3 PLC'!$CK$1:$DO$38),30,0),0)</f>
        <v>0</v>
      </c>
      <c r="CY48" s="54" cm="1">
        <f t="array" ref="CY48">IFERROR(VLOOKUP($A48,TRANSPOSE('[1]Fur 3 PLC'!$CK$1:$DO$38),14,0),0)</f>
        <v>0</v>
      </c>
      <c r="CZ48" s="54" cm="1">
        <f t="array" ref="CZ48">IFERROR(VLOOKUP($A48,TRANSPOSE('[1]Fur 3 PLC'!$CK$1:$DO$38),16,0),0)</f>
        <v>0</v>
      </c>
      <c r="DA48" s="54" cm="1">
        <f t="array" ref="DA48">IFERROR(VLOOKUP($A48,TRANSPOSE('[1]Fur 3 PLC'!$CK$1:$DO$38),9,0),0)</f>
        <v>210.04054054054052</v>
      </c>
      <c r="DB48" s="55" cm="1">
        <f t="array" ref="DB48">IFERROR(VLOOKUP($A48,TRANSPOSE('[1]Fur 3 PLC'!$CK$1:$DO$38),17,0),0)</f>
        <v>0</v>
      </c>
      <c r="DC48" s="55" cm="1">
        <f t="array" ref="DC48">IFERROR(VLOOKUP($A48,TRANSPOSE('[1]Fur 3 PLC'!$CK$1:$DO$38),20,0),0)</f>
        <v>25.22972972972973</v>
      </c>
      <c r="DD48" s="54" cm="1">
        <f t="array" ref="DD48">IFERROR(VLOOKUP($A48,TRANSPOSE('[1]Fur 3 PLC'!$CK$1:$DO$38),28,0),0)</f>
        <v>0</v>
      </c>
      <c r="DE48" s="54" cm="1">
        <f t="array" ref="DE48">IFERROR(VLOOKUP($A48,TRANSPOSE('[1]Fur 3 PLC'!$CK$1:$DO$38),13,0),0)</f>
        <v>0</v>
      </c>
      <c r="DF48" s="54" cm="1">
        <f t="array" ref="DF48">IFERROR(VLOOKUP($A48,TRANSPOSE('[1]Fur 3 PLC'!$CK$1:$DO$38),37,0),0)</f>
        <v>194.06756756756758</v>
      </c>
      <c r="DG48" s="54" cm="1">
        <f t="array" ref="DG48">IFERROR(VLOOKUP($A48,TRANSPOSE('[1]Fur 3 PLC'!$CK$1:$DO$38),6,0),0)</f>
        <v>0</v>
      </c>
      <c r="DH48" s="54" cm="1">
        <f t="array" ref="DH48">IFERROR(VLOOKUP($A48,TRANSPOSE('[1]Fur 3 PLC'!$CK$1:$DO$38),21,0),0)</f>
        <v>0</v>
      </c>
      <c r="DI48" s="54" cm="1">
        <f t="array" ref="DI48">IFERROR(VLOOKUP($A48,TRANSPOSE('[1]Fur 3 PLC'!$CK$1:$DO$38),12,0),0)</f>
        <v>0</v>
      </c>
      <c r="DJ48" s="54" cm="1">
        <f t="array" ref="DJ48">IFERROR(VLOOKUP($A48,TRANSPOSE('[1]Fur 3 PLC'!$CK$1:$DO$38),25,0),0)</f>
        <v>0</v>
      </c>
      <c r="DK48" s="54" cm="1">
        <f t="array" ref="DK48">IFERROR(VLOOKUP($A48,TRANSPOSE('[1]Fur 3 PLC'!$CK$1:$DO$38),26,0),0)</f>
        <v>222.64864864864865</v>
      </c>
      <c r="DL48" s="54" cm="1">
        <f t="array" ref="DL48">IFERROR(VLOOKUP($A48,TRANSPOSE('[1]Fur 3 PLC'!$CK$1:$DO$38),27,0),0)</f>
        <v>66.540540540540547</v>
      </c>
      <c r="DM48" s="54" cm="1">
        <f t="array" ref="DM48">IFERROR(VLOOKUP($A48,TRANSPOSE('[1]Fur 3 PLC'!$CK$1:$DO$38),22,0),0)</f>
        <v>0</v>
      </c>
      <c r="DN48" s="54" cm="1">
        <f t="array" ref="DN48">IFERROR(VLOOKUP($A48,TRANSPOSE('[1]Fur 3 PLC'!$CK$1:$DO$38),19,0),0)</f>
        <v>0</v>
      </c>
      <c r="DO48" s="54" cm="1">
        <f t="array" ref="DO48">IFERROR(VLOOKUP($A48,TRANSPOSE('[1]Fur 3 PLC'!$CK$1:$DO$38),29,0),0)</f>
        <v>65.013513513513516</v>
      </c>
      <c r="DP48" s="54" cm="1">
        <f t="array" ref="DP48">IFERROR(VLOOKUP($A48,TRANSPOSE('[1]Fur 3 PLC'!$CK$1:$DO$38),10,0),0)</f>
        <v>0</v>
      </c>
      <c r="DQ48" s="54" cm="1">
        <f t="array" ref="DQ48">IFERROR(VLOOKUP($A48,TRANSPOSE('[1]Fur 3 PLC'!$CK$1:$DO$38),7,0),0)</f>
        <v>106.93243243243244</v>
      </c>
      <c r="DR48" s="54" cm="1">
        <f t="array" ref="DR48">IFERROR(VLOOKUP($A48,TRANSPOSE('[1]Fur 3 PLC'!$CK$1:$DO$38),35,0),0)</f>
        <v>2.8648648648648645</v>
      </c>
      <c r="DS48" s="54" cm="1">
        <f t="array" ref="DS48">IFERROR(VLOOKUP($A48,TRANSPOSE('[1]Fur 3 PLC'!$CK$1:$DO$38),11,0),0)</f>
        <v>0</v>
      </c>
      <c r="DT48" s="54" cm="1">
        <f t="array" ref="DT48">IFERROR(VLOOKUP($A48,TRANSPOSE('[1]Fur 3 PLC'!$CK$1:$DO$38),19,0),0)</f>
        <v>0</v>
      </c>
      <c r="DU48" s="54" cm="1">
        <f t="array" ref="DU48">IFERROR(VLOOKUP($A48,TRANSPOSE('[1]Fur 3 PLC'!$CK$1:$DO$38),18,0),0)</f>
        <v>195.24324324324323</v>
      </c>
      <c r="DV48" s="54" cm="1">
        <f t="array" ref="DV48">IFERROR(VLOOKUP($A48,TRANSPOSE('[1]Fur 3 PLC'!$CK$1:$DO$38),15,0),0)</f>
        <v>195.06756756756758</v>
      </c>
      <c r="DW48" t="str">
        <f t="shared" si="55"/>
        <v>Dec-25</v>
      </c>
    </row>
    <row r="49" spans="1:127" x14ac:dyDescent="0.3">
      <c r="A49" s="28" t="str">
        <f>B49&amp;C49</f>
        <v>F446003</v>
      </c>
      <c r="B49" s="29" t="s">
        <v>29</v>
      </c>
      <c r="C49" s="30">
        <f>C48</f>
        <v>46003</v>
      </c>
      <c r="D49" s="29" t="str">
        <f>VLOOKUP($B49&amp;$C49,'[1]FC4 Prod'!$A$6:$BP$36,[2]Consolidated!D$1)</f>
        <v>Mr.Ganesh Ghosh Ji</v>
      </c>
      <c r="E49" s="29">
        <f>VLOOKUP($B49&amp;$C49,'[1]FC4 Prod'!$A$6:$BP$36,[2]Consolidated!E$1)</f>
        <v>54.07</v>
      </c>
      <c r="F49" s="31">
        <f>VLOOKUP($B49&amp;$C49,'[1]FC4 Prod'!$A$6:$BP$36,[2]Consolidated!F$1)</f>
        <v>0.22999999999999687</v>
      </c>
      <c r="G49" s="32">
        <f>VLOOKUP($B49&amp;$C49,'[1]FC4 Prod'!$A$6:$BP$36,[2]Consolidated!G$1)</f>
        <v>54.3</v>
      </c>
      <c r="H49" s="32">
        <f>VLOOKUP($B49&amp;$C49,'[1]FC4 Prod'!$A$6:$BP$36,[2]Consolidated!H$1)</f>
        <v>21.979999999999997</v>
      </c>
      <c r="I49" s="32">
        <f>VLOOKUP($B49&amp;$C49,'[1]FC4 Prod'!$A$6:$BP$36,[2]Consolidated!I$1)</f>
        <v>11.22</v>
      </c>
      <c r="J49" s="32">
        <f>VLOOKUP($B49&amp;$C49,'[1]FC4 Prod'!$A$6:$BP$36,[2]Consolidated!J$1)</f>
        <v>40.33</v>
      </c>
      <c r="K49" s="32">
        <f>VLOOKUP($B49&amp;$C49,'[1]FC4 Prod'!$A$6:$BP$36,[2]Consolidated!K$1)</f>
        <v>1.38</v>
      </c>
      <c r="L49" s="32">
        <f>VLOOKUP($B49&amp;$C49,'[1]FC4 Prod'!$A$6:$BP$36,[2]Consolidated!L$1)</f>
        <v>22.12</v>
      </c>
      <c r="M49" s="32">
        <f>VLOOKUP($B49&amp;$C49,'[1]FC4 Prod'!$A$6:$BP$36,[2]Consolidated!M$1)</f>
        <v>5.04</v>
      </c>
      <c r="N49" s="32">
        <f>VLOOKUP($B49&amp;$C49,'[1]FC4 Prod'!$A$6:$BP$36,[2]Consolidated!N$1)</f>
        <v>17.02</v>
      </c>
      <c r="O49" s="32">
        <f>VLOOKUP($B49&amp;$C49,'[1]FC4 Prod'!$A$6:$BP$36,[2]Consolidated!O$1)</f>
        <v>0.67</v>
      </c>
      <c r="P49" s="33">
        <f>VLOOKUP($B49&amp;$C49,'[1]FC4 Prod'!$A$6:$BP$36,[2]Consolidated!P$1)</f>
        <v>8</v>
      </c>
      <c r="Q49" s="29">
        <f>VLOOKUP($B49&amp;$C49,'[1]FC4 Prod'!$A$6:$BP$36,[2]Consolidated!Q$1)</f>
        <v>101.01600000000001</v>
      </c>
      <c r="R49" s="29">
        <f>VLOOKUP($B49&amp;$C49,'[1]FC4 Prod'!$A$6:$BP$36,[2]Consolidated!R$1)</f>
        <v>32.864000000000004</v>
      </c>
      <c r="S49" s="34">
        <f>VLOOKUP($B49&amp;$C49,'[1]FC4 Prod'!$A$6:$BP$36,[2]Consolidated!S$1)</f>
        <v>42</v>
      </c>
      <c r="T49" s="34">
        <f>VLOOKUP($B49&amp;$C49,'[1]FC4 Prod'!$A$6:$BP$36,[2]Consolidated!T$1)</f>
        <v>28</v>
      </c>
      <c r="U49" s="34">
        <f>VLOOKUP($B49&amp;$C49,'[1]FC4 Prod'!$A$6:$BP$36,[2]Consolidated!U$1)</f>
        <v>32</v>
      </c>
      <c r="V49" s="34">
        <f>VLOOKUP($B49&amp;$C49,'[1]FC4 Prod'!$A$6:$BP$36,[2]Consolidated!V$1)</f>
        <v>102</v>
      </c>
      <c r="W49" s="35">
        <f>VLOOKUP($B49&amp;$C49,'[1]FC4 Prod'!$A$6:$BP$36,[2]Consolidated!W$1)</f>
        <v>1.8682448677640098</v>
      </c>
      <c r="X49" s="35">
        <f>VLOOKUP($B49&amp;$C49,'[1]FC4 Prod'!$A$6:$BP$36,[2]Consolidated!X$1)</f>
        <v>55.985000000000014</v>
      </c>
      <c r="Y49" s="36">
        <f>VLOOKUP($B49&amp;$C49,'[1]FC4 Prod'!$A$6:$BP$36,[2]Consolidated!Y$1)</f>
        <v>0.9657944092167543</v>
      </c>
      <c r="Z49" s="37" t="str">
        <f>VLOOKUP($B49&amp;$C49,'[1]FC4 Prod'!$A$6:$BP$36,[2]Consolidated!Z$1)</f>
        <v>40/8</v>
      </c>
      <c r="AA49" s="31">
        <f>VLOOKUP($B49&amp;$C49,'[1]FC4 Prod'!$A$6:$BP$36,[2]Consolidated!AA$1)</f>
        <v>37.46</v>
      </c>
      <c r="AB49" s="31">
        <f>VLOOKUP($B49&amp;$C49,'[1]FC4 Prod'!$A$6:$BP$36,[2]Consolidated!AB$1)</f>
        <v>6.1259999999999994</v>
      </c>
      <c r="AC49" s="31">
        <f>VLOOKUP($B49&amp;$C49,'[1]FC4 Prod'!$A$6:$BP$36,[2]Consolidated!AC$1)</f>
        <v>0</v>
      </c>
      <c r="AD49" s="38">
        <f>VLOOKUP($B49&amp;$C49,'[1]FC4 Prod'!$A$6:$BP$36,[2]Consolidated!AD$1)</f>
        <v>441.47462474570005</v>
      </c>
      <c r="AE49" s="38">
        <f>VLOOKUP($B49&amp;$C49,'[1]FC4 Prod'!$A$6:$BP$36,[2]Consolidated!AE$1)</f>
        <v>398.25009039023485</v>
      </c>
      <c r="AF49" s="39">
        <f>VLOOKUP($B49&amp;$C49,'[1]FC4 Prod'!$A$6:$BP$36,[2]Consolidated!AF$1)</f>
        <v>0.84851988993881255</v>
      </c>
      <c r="AG49" s="39">
        <f>VLOOKUP($B49&amp;$C49,'[1]FC4 Prod'!$A$6:$BP$36,[2]Consolidated!AG$1)</f>
        <v>0.94061497797260829</v>
      </c>
      <c r="AH49" s="34">
        <f>VLOOKUP($B49&amp;$C49,'[1]FC4 Prod'!$A$6:$BP$36,[2]Consolidated!AH$1)</f>
        <v>378.94389532088036</v>
      </c>
      <c r="AI49" s="33">
        <f>VLOOKUP($B49&amp;$C49,'[1]FC4 Prod'!$A$6:$BP$36,[2]Consolidated!AI$1)</f>
        <v>330.87296312187902</v>
      </c>
      <c r="AJ49" s="39">
        <f>VLOOKUP($B49&amp;$C49,'[1]FC4 Prod'!$A$6:$BP$36,[2]Consolidated!AJ$1)</f>
        <v>0.53306981254696229</v>
      </c>
      <c r="AK49" s="39">
        <f>VLOOKUP($B49&amp;$C49,'[1]FC4 Prod'!$A$6:$BP$36,[2]Consolidated!AK$1)</f>
        <v>0.57903806387172341</v>
      </c>
      <c r="AL49" s="40" t="str">
        <f>VLOOKUP($B49&amp;$C49,'[1]FC4 Prod'!$A$6:$BP$36,[2]Consolidated!AL$1)</f>
        <v>25/50</v>
      </c>
      <c r="AM49" s="41">
        <f>VLOOKUP($B49&amp;$C49,'[1]FC4 Prod'!$A$6:$BP$36,[2]Consolidated!AM$1)</f>
        <v>4.8085814684668021E-2</v>
      </c>
      <c r="AN49" s="42">
        <f>VLOOKUP($B49&amp;$C49,'[1]FC4 Prod'!$A$6:$BP$36,[2]Consolidated!AN$1)</f>
        <v>143.9</v>
      </c>
      <c r="AO49" s="43">
        <f>VLOOKUP($B49&amp;$C49,'[1]FC4 Prod'!$A$6:$BP$36,[2]Consolidated!AO$1)</f>
        <v>5.899</v>
      </c>
      <c r="AP49" s="44">
        <f>VLOOKUP($B49&amp;$C49,'[1]FC4 Prod'!$A$6:$BP$36,[2]Consolidated!AP$1)</f>
        <v>2.7704642130571484</v>
      </c>
      <c r="AQ49" s="44">
        <f>VLOOKUP($B49&amp;$C49,'[1]FC4 Prod'!$A$6:$BP$36,[2]Consolidated!AQ$1)</f>
        <v>19.815023545531503</v>
      </c>
      <c r="AR49" s="45">
        <f>VLOOKUP($B49&amp;$C49,'[1]FC4 Prod'!$A$6:$BP$36,[2]Consolidated!AR$1)</f>
        <v>0.98292349726775974</v>
      </c>
      <c r="AS49" s="46">
        <f>VLOOKUP($B49&amp;$C49,'[1]FC4 Prod'!$A$6:$BP$36,[2]Consolidated!AS$1)</f>
        <v>2.0583333333333331</v>
      </c>
      <c r="AT49" s="29">
        <f>VLOOKUP($B49&amp;$C49,'[1]FC4 Prod'!$A$6:$BP$36,[2]Consolidated!AT$1)</f>
        <v>0.78971368995834412</v>
      </c>
      <c r="AU49" s="34">
        <f>VLOOKUP($B49&amp;$C49,'[1]FC4 Prod'!$A$6:$BP$36,[2]Consolidated!AU$1)</f>
        <v>551.11477411477415</v>
      </c>
      <c r="AV49" s="34">
        <f>VLOOKUP($B49&amp;$C49,'[1]FC4 Prod'!$A$6:$BP$36,[2]Consolidated!AV$1)</f>
        <v>250</v>
      </c>
      <c r="AW49" s="47">
        <f>VLOOKUP($B49&amp;$C49,'[1]FC4 Prod'!$A$6:$BP$36,[2]Consolidated!AW$1)</f>
        <v>16646.314037358978</v>
      </c>
      <c r="AX49" s="47">
        <f>VLOOKUP($B49&amp;$C49,'[1]FC4 Prod'!$A$6:$BP$36,[2]Consolidated!AX$1)</f>
        <v>7871.0127612354354</v>
      </c>
      <c r="AY49" s="48">
        <f>VLOOKUP($B49&amp;$C49,'[1]FC4 Prod'!$A$6:$BP$36,[2]Consolidated!AY$1)</f>
        <v>447.8638801553542</v>
      </c>
      <c r="AZ49" s="47">
        <f>VLOOKUP($B49&amp;$C49,'[1]FC4 Prod'!$A$6:$BP$36,[2]Consolidated!AZ$1)</f>
        <v>876.12261882744588</v>
      </c>
      <c r="BA49" s="47">
        <f>VLOOKUP($B49&amp;$C49,'[1]FC4 Prod'!$A$6:$BP$36,[2]Consolidated!BA$1)</f>
        <v>16207.215646384318</v>
      </c>
      <c r="BB49" s="47">
        <f>VLOOKUP($B49&amp;$C49,'[1]FC4 Prod'!$A$6:$BP$36,[2]Consolidated!BB$1)</f>
        <v>420.48528943961531</v>
      </c>
      <c r="BC49" s="47">
        <f>VLOOKUP($B49&amp;$C49,'[1]FC4 Prod'!$A$6:$BP$36,[2]Consolidated!BC$1)</f>
        <v>5263.8820048085818</v>
      </c>
      <c r="BD49" s="49">
        <f>VLOOKUP($B49&amp;$C49,'[1]FC4 Prod'!$A$6:$BP$36,[2]Consolidated!BD$1)</f>
        <v>47732.896238209731</v>
      </c>
      <c r="BE49" s="47">
        <f>VLOOKUP($B49&amp;$C49,'[1]FC4 Prod'!$A$6:$BP$36,[2]Consolidated!BE$1)</f>
        <v>15025.667209173296</v>
      </c>
      <c r="BF49" s="47">
        <f>VLOOKUP($B49&amp;$C49,'[1]FC4 Prod'!$A$6:$BP$36,[2]Consolidated!BF$1)</f>
        <v>6852.1232106528578</v>
      </c>
      <c r="BG49" s="50">
        <f>VLOOKUP($B49&amp;$C49,'[1]FC4 Prod'!$A$6:$BP$36,[2]Consolidated!BG$1)</f>
        <v>449.9158498243018</v>
      </c>
      <c r="BH49" s="50">
        <f>VLOOKUP($B49&amp;$C49,'[1]FC4 Prod'!$A$6:$BP$36,[2]Consolidated!BH$1)</f>
        <v>394.11044534862219</v>
      </c>
      <c r="BI49" s="50">
        <f>VLOOKUP($B49&amp;$C49,'[1]FC4 Prod'!$A$6:$BP$36,[2]Consolidated!BI$1)</f>
        <v>45069.036985019426</v>
      </c>
      <c r="BJ49" s="37" t="e">
        <f>VLOOKUP($B49&amp;$C49,'[1]FC4 Prod'!$A$6:$BP$36,[2]Consolidated!BJ$1)</f>
        <v>#REF!</v>
      </c>
      <c r="BK49" s="37" t="e">
        <f>VLOOKUP($B49&amp;$C49,'[1]FC4 Prod'!$A$6:$BP$36,[2]Consolidated!BK$1)</f>
        <v>#REF!</v>
      </c>
      <c r="BL49" s="37" t="e">
        <f>VLOOKUP($B49&amp;$C49,'[1]FC4 Prod'!$A$6:$BP$36,[2]Consolidated!BL$1)</f>
        <v>#REF!</v>
      </c>
      <c r="BM49" s="37" t="e">
        <f>VLOOKUP($B49&amp;$C49,'[1]FC4 Prod'!$A$6:$BP$36,[2]Consolidated!BM$1)</f>
        <v>#REF!</v>
      </c>
      <c r="BN49" s="37">
        <f>VLOOKUP($B49&amp;$C49,'[1]FC4 Prod'!$A$6:$BP$36,[2]Consolidated!BN$1)</f>
        <v>20</v>
      </c>
      <c r="BO49" s="37">
        <f>VLOOKUP($B49&amp;$C49,'[1]FC4 Prod'!$A$6:$BP$36,[2]Consolidated!BO$1)</f>
        <v>20</v>
      </c>
      <c r="BP49" s="37" t="str">
        <f>VLOOKUP($B49&amp;$C49,'[1]FC4 Prod'!$A$6:$BP$36,[2]Consolidated!BP$1)</f>
        <v>Power Grids supply failure.</v>
      </c>
      <c r="BQ49" s="51" t="e">
        <f>VLOOKUP($B49&amp;$C49,'[1]FC4 Prod'!$A$6:$BP$36,[2]Consolidated!BQ$1)</f>
        <v>#REF!</v>
      </c>
      <c r="BR49" s="51">
        <f>VLOOKUP($B49&amp;$C49,'[1]FC4 Prod'!$A$6:$BQ$36,[2]Consolidated!BR$1)</f>
        <v>41644</v>
      </c>
      <c r="BS49" s="52">
        <f t="shared" ref="BS49" si="58">BE49+BF49*110%+BG49+BA49</f>
        <v>39220.134237100057</v>
      </c>
      <c r="BT49" s="32">
        <f t="shared" si="56"/>
        <v>2423.8657628999426</v>
      </c>
      <c r="BU49" s="37">
        <f t="shared" si="57"/>
        <v>131058.42179999989</v>
      </c>
      <c r="BV49" s="53" t="s">
        <v>131</v>
      </c>
      <c r="BW49" s="54" cm="1">
        <f t="array" ref="BW49">IFERROR(VLOOKUP($A49,TRANSPOSE('[1]Fur 4 PLC'!$AR$1:$BV$39),8,0),0)</f>
        <v>0</v>
      </c>
      <c r="BX49" s="54" cm="1">
        <f t="array" ref="BX49">IFERROR(VLOOKUP($A49,TRANSPOSE('[1]Fur 4 PLC'!$AR$1:$BV$39),30,0),0)</f>
        <v>0</v>
      </c>
      <c r="BY49" s="54" cm="1">
        <f t="array" ref="BY49">IFERROR(VLOOKUP($A49,TRANSPOSE('[1]Fur 4 PLC'!$AR$1:$BV$39),14,0),0)</f>
        <v>0</v>
      </c>
      <c r="BZ49" s="54" cm="1">
        <f t="array" ref="BZ49">IFERROR(VLOOKUP($A49,TRANSPOSE('[1]Fur 4 PLC'!$AR$1:$BV$39),16,0),0)</f>
        <v>0</v>
      </c>
      <c r="CA49" s="54" cm="1">
        <f t="array" ref="CA49">IFERROR(VLOOKUP($A49,TRANSPOSE('[1]Fur 4 PLC'!$AR$1:$BV$39),9,0),0)</f>
        <v>0</v>
      </c>
      <c r="CB49" s="54" cm="1">
        <f t="array" ref="CB49">IFERROR(VLOOKUP($A49,TRANSPOSE('[1]Fur 4 PLC'!$AR$1:$BV$39),17,0),0)</f>
        <v>0</v>
      </c>
      <c r="CC49" s="54" cm="1">
        <f t="array" ref="CC49">IFERROR(VLOOKUP($A49,TRANSPOSE('[1]Fur 4 PLC'!$AR$1:$BV$39),20,0),0)</f>
        <v>0</v>
      </c>
      <c r="CD49" s="54" cm="1">
        <f t="array" ref="CD49">IFERROR(VLOOKUP($A49,TRANSPOSE('[1]Fur 4 PLC'!$AR$1:$BV$39),28,0),0)</f>
        <v>0</v>
      </c>
      <c r="CE49" s="54" cm="1">
        <f t="array" ref="CE49">IFERROR(VLOOKUP($A49,TRANSPOSE('[1]Fur 4 PLC'!$AR$1:$BV$39),13,0),0)</f>
        <v>94.544109487701135</v>
      </c>
      <c r="CF49" s="54" cm="1">
        <f t="array" ref="CF49">IFERROR(VLOOKUP($A49,TRANSPOSE('[1]Fur 4 PLC'!$AR$1:$BV$39),37,0),0)</f>
        <v>6.2326613648973561</v>
      </c>
      <c r="CG49" s="54" cm="1">
        <f t="array" ref="CG49">IFERROR(VLOOKUP($A49,TRANSPOSE('[1]Fur 4 PLC'!$AR$1:$BV$39),6,0),0)</f>
        <v>0</v>
      </c>
      <c r="CH49" s="54" cm="1">
        <f t="array" ref="CH49">IFERROR(VLOOKUP($A49,TRANSPOSE('[1]Fur 4 PLC'!$AR$1:$BV$39),21,0),0)</f>
        <v>1368.2263732199003</v>
      </c>
      <c r="CI49" s="54" cm="1">
        <f t="array" ref="CI49">IFERROR(VLOOKUP($A49,TRANSPOSE('[1]Fur 4 PLC'!$AR$1:$BV$39),12,0),0)</f>
        <v>0</v>
      </c>
      <c r="CJ49" s="54" cm="1">
        <f t="array" ref="CJ49">IFERROR(VLOOKUP($A49,TRANSPOSE('[1]Fur 4 PLC'!$AR$1:$BV$39),25,0),0)</f>
        <v>117.49583872757536</v>
      </c>
      <c r="CK49" s="54" cm="1">
        <f t="array" ref="CK49">IFERROR(VLOOKUP($A49,TRANSPOSE('[1]Fur 4 PLC'!$AR$1:$BV$39),26,0),0)</f>
        <v>382.5226558165341</v>
      </c>
      <c r="CL49" s="54" cm="1">
        <f t="array" ref="CL49">IFERROR(VLOOKUP($A49,TRANSPOSE('[1]Fur 4 PLC'!$AR$1:$BV$39),27,0),0)</f>
        <v>0</v>
      </c>
      <c r="CM49" s="54" cm="1">
        <f t="array" ref="CM49">IFERROR(VLOOKUP($A49,TRANSPOSE('[1]Fur 4 PLC'!$AR$1:$BV$39),22,0),0)</f>
        <v>0</v>
      </c>
      <c r="CN49" s="54"/>
      <c r="CO49" s="54" cm="1">
        <f t="array" ref="CO49">IFERROR(VLOOKUP($A49,TRANSPOSE('[1]Fur 4 PLC'!$AR$1:$BV$39),29,0),0)</f>
        <v>107.78620307009433</v>
      </c>
      <c r="CP49" s="54" cm="1">
        <f t="array" ref="CP49">IFERROR(VLOOKUP($A49,TRANSPOSE('[1]Fur 4 PLC'!$AR$1:$BV$39),10,0),0)</f>
        <v>0</v>
      </c>
      <c r="CQ49" s="54" cm="1">
        <f t="array" ref="CQ49">IFERROR(VLOOKUP($A49,TRANSPOSE('[1]Fur 4 PLC'!$AR$1:$BV$39),7,0),0)</f>
        <v>141.59422970223784</v>
      </c>
      <c r="CR49" s="54" cm="1">
        <f t="array" ref="CR49">IFERROR(VLOOKUP($A49,TRANSPOSE('[1]Fur 4 PLC'!$AR$1:$BV$39),36,0),0)</f>
        <v>186.03661919733676</v>
      </c>
      <c r="CS49" s="54" cm="1">
        <f t="array" ref="CS49">IFERROR(VLOOKUP($A49,TRANSPOSE('[1]Fur 4 PLC'!$AR$1:$BV$39),11,0),0)</f>
        <v>0</v>
      </c>
      <c r="CT49" s="54" cm="1">
        <f t="array" ref="CT49">IFERROR(VLOOKUP($A49,TRANSPOSE('[1]Fur 4 PLC'!$AR$1:$BV$39),19,0),0)</f>
        <v>103.21805067505086</v>
      </c>
      <c r="CU49" s="54" cm="1">
        <f t="array" ref="CU49">IFERROR(VLOOKUP($A49,TRANSPOSE('[1]Fur 4 PLC'!$AR$1:$BV$39),18,0),0)</f>
        <v>302.25633438135753</v>
      </c>
      <c r="CV49" s="54" cm="1">
        <f t="array" ref="CV49">IFERROR(VLOOKUP($A49,TRANSPOSE('[1]Fur 4 PLC'!$AR$1:$BV$38),15,0),0)</f>
        <v>0</v>
      </c>
      <c r="CW49" s="54" cm="1">
        <f t="array" ref="CW49">IFERROR(VLOOKUP($A49,TRANSPOSE('[1]Fur 4 PLC'!$CK$1:$DO$39),8,0),0)</f>
        <v>0</v>
      </c>
      <c r="CX49" s="54" cm="1">
        <f t="array" ref="CX49">IFERROR(VLOOKUP($A49,TRANSPOSE('[1]Fur 4 PLC'!$CK$1:$DO$39),30,0),0)</f>
        <v>0</v>
      </c>
      <c r="CY49" s="54" cm="1">
        <f t="array" ref="CY49">IFERROR(VLOOKUP($A49,TRANSPOSE('[1]Fur 4 PLC'!$CK$1:$DO$39),14,0),0)</f>
        <v>0</v>
      </c>
      <c r="CZ49" s="54" cm="1">
        <f t="array" ref="CZ49">IFERROR(VLOOKUP($A49,TRANSPOSE('[1]Fur 4 PLC'!$CK$1:$DO$39),16,0),0)</f>
        <v>0</v>
      </c>
      <c r="DA49" s="54" cm="1">
        <f t="array" ref="DA49">IFERROR(VLOOKUP($A49,TRANSPOSE('[1]Fur 4 PLC'!$CK$1:$DO$39),9,0),0)</f>
        <v>0</v>
      </c>
      <c r="DB49" s="55" cm="1">
        <f t="array" ref="DB49">IFERROR(VLOOKUP($A49,TRANSPOSE('[1]Fur 4 PLC'!$CK$1:$DO$39),17,0),0)</f>
        <v>0</v>
      </c>
      <c r="DC49" s="55" cm="1">
        <f t="array" ref="DC49">IFERROR(VLOOKUP($A49,TRANSPOSE('[1]Fur 4 PLC'!$CK$1:$DO$39),20,0),0)</f>
        <v>0</v>
      </c>
      <c r="DD49" s="54" cm="1">
        <f t="array" ref="DD49">IFERROR(VLOOKUP($A49,TRANSPOSE('[1]Fur 4 PLC'!$CK$1:$DO$39),28,0),0)</f>
        <v>0</v>
      </c>
      <c r="DE49" s="54" cm="1">
        <f t="array" ref="DE49">IFERROR(VLOOKUP($A49,TRANSPOSE('[1]Fur 4 PLC'!$CK$1:$DO$39),13,0),0)</f>
        <v>50.117647058823529</v>
      </c>
      <c r="DF49" s="54" cm="1">
        <f t="array" ref="DF49">IFERROR(VLOOKUP($A49,TRANSPOSE('[1]Fur 4 PLC'!$CK$1:$DO$39),37,0),0)</f>
        <v>3.3039215686274512</v>
      </c>
      <c r="DG49" s="54" cm="1">
        <f t="array" ref="DG49">IFERROR(VLOOKUP($A49,TRANSPOSE('[1]Fur 4 PLC'!$CK$1:$DO$39),6,0),0)</f>
        <v>0</v>
      </c>
      <c r="DH49" s="54" cm="1">
        <f t="array" ref="DH49">IFERROR(VLOOKUP($A49,TRANSPOSE('[1]Fur 4 PLC'!$CK$1:$DO$39),21,0),0)</f>
        <v>725.2941176470589</v>
      </c>
      <c r="DI49" s="54" cm="1">
        <f t="array" ref="DI49">IFERROR(VLOOKUP($A49,TRANSPOSE('[1]Fur 4 PLC'!$CK$1:$DO$39),12,0),0)</f>
        <v>0</v>
      </c>
      <c r="DJ49" s="54" cm="1">
        <f t="array" ref="DJ49">IFERROR(VLOOKUP($A49,TRANSPOSE('[1]Fur 4 PLC'!$CK$1:$DO$39),25,0),0)</f>
        <v>62.284313725490193</v>
      </c>
      <c r="DK49" s="54" cm="1">
        <f t="array" ref="DK49">IFERROR(VLOOKUP($A49,TRANSPOSE('[1]Fur 4 PLC'!$CK$1:$DO$39),26,0),0)</f>
        <v>202.77450980392155</v>
      </c>
      <c r="DL49" s="54" cm="1">
        <f t="array" ref="DL49">IFERROR(VLOOKUP($A49,TRANSPOSE('[1]Fur 4 PLC'!$CK$1:$DO$39),27,0),0)</f>
        <v>0</v>
      </c>
      <c r="DM49" s="54" cm="1">
        <f t="array" ref="DM49">IFERROR(VLOOKUP($A49,TRANSPOSE('[1]Fur 4 PLC'!$CK$1:$DO$39),22,0),0)</f>
        <v>0</v>
      </c>
      <c r="DN49" s="54" cm="1">
        <f t="array" ref="DN49">IFERROR(VLOOKUP($A49,TRANSPOSE('[1]Fur 4 PLC'!$CK$1:$DO$39),19,0),0)</f>
        <v>54.715686274509807</v>
      </c>
      <c r="DO49" s="54" cm="1">
        <f t="array" ref="DO49">IFERROR(VLOOKUP($A49,TRANSPOSE('[1]Fur 4 PLC'!$CK$1:$DO$39),29,0),0)</f>
        <v>57.137254901960787</v>
      </c>
      <c r="DP49" s="54" cm="1">
        <f t="array" ref="DP49">IFERROR(VLOOKUP($A49,TRANSPOSE('[1]Fur 4 PLC'!$CK$1:$DO$39),10,0),0)</f>
        <v>0</v>
      </c>
      <c r="DQ49" s="54" cm="1">
        <f t="array" ref="DQ49">IFERROR(VLOOKUP($A49,TRANSPOSE('[1]Fur 4 PLC'!$CK$1:$DO$39),7,0),0)</f>
        <v>75.058823529411768</v>
      </c>
      <c r="DR49" s="54" cm="1">
        <f t="array" ref="DR49">IFERROR(VLOOKUP($A49,TRANSPOSE('[1]Fur 4 PLC'!$CK$1:$DO$39),36,0),0)</f>
        <v>98.617647058823522</v>
      </c>
      <c r="DS49" s="54" cm="1">
        <f t="array" ref="DS49">IFERROR(VLOOKUP($A49,TRANSPOSE('[1]Fur 4 PLC'!$CK$1:$DO$39),11,0),0)</f>
        <v>0</v>
      </c>
      <c r="DT49" s="54" cm="1">
        <f t="array" ref="DT49">IFERROR(VLOOKUP($A49,TRANSPOSE('[1]Fur 4 PLC'!$CK$1:$DO$39),19,0),0)</f>
        <v>54.715686274509807</v>
      </c>
      <c r="DU49" s="54" cm="1">
        <f t="array" ref="DU49">IFERROR(VLOOKUP($A49,TRANSPOSE('[1]Fur 4 PLC'!$CK$1:$DO$39),18,0),0)</f>
        <v>160.22549019607843</v>
      </c>
      <c r="DV49" s="54" cm="1">
        <f t="array" ref="DV49">IFERROR(VLOOKUP($A49,TRANSPOSE('[1]Fur 4 PLC'!$CK$1:$DO$39),15,0),0)</f>
        <v>0</v>
      </c>
      <c r="DW49" t="str">
        <f t="shared" si="55"/>
        <v>Dec-25</v>
      </c>
    </row>
    <row r="50" spans="1:127" x14ac:dyDescent="0.3">
      <c r="A50" s="28" t="str">
        <f t="shared" ref="A50:A113" si="59">B50&amp;C50</f>
        <v>F146004</v>
      </c>
      <c r="B50" s="29" t="s">
        <v>26</v>
      </c>
      <c r="C50" s="30">
        <f>C46+1</f>
        <v>46004</v>
      </c>
      <c r="D50" s="29" t="str">
        <f>VLOOKUP($B50&amp;$C50,'[1]FC1 Prod'!$A$6:$BP$36,[2]Consolidated!D$1)</f>
        <v>Raju Singh</v>
      </c>
      <c r="E50" s="29">
        <f>VLOOKUP($B50&amp;$C50,'[1]FC1 Prod'!$A$6:$BP$36,[2]Consolidated!E$1)</f>
        <v>20.024999999999999</v>
      </c>
      <c r="F50" s="31">
        <f>VLOOKUP($B50&amp;$C50,'[1]FC1 Prod'!$A$6:$BP$36,[2]Consolidated!F$1)</f>
        <v>0</v>
      </c>
      <c r="G50" s="32">
        <f>VLOOKUP($B50&amp;$C50,'[1]FC1 Prod'!$A$6:$BP$36,[2]Consolidated!G$1)</f>
        <v>20.024999999999999</v>
      </c>
      <c r="H50" s="32">
        <f>VLOOKUP($B50&amp;$C50,'[1]FC1 Prod'!$A$6:$BP$36,[2]Consolidated!H$1)</f>
        <v>15.065999999999999</v>
      </c>
      <c r="I50" s="32">
        <f>VLOOKUP($B50&amp;$C50,'[1]FC1 Prod'!$A$6:$BP$36,[2]Consolidated!I$1)</f>
        <v>6.3</v>
      </c>
      <c r="J50" s="32">
        <f>VLOOKUP($B50&amp;$C50,'[1]FC1 Prod'!$A$6:$BP$36,[2]Consolidated!J$1)</f>
        <v>40.119999999999997</v>
      </c>
      <c r="K50" s="32">
        <f>VLOOKUP($B50&amp;$C50,'[1]FC1 Prod'!$A$6:$BP$36,[2]Consolidated!K$1)</f>
        <v>1.32</v>
      </c>
      <c r="L50" s="32">
        <f>VLOOKUP($B50&amp;$C50,'[1]FC1 Prod'!$A$6:$BP$36,[2]Consolidated!L$1)</f>
        <v>28.21</v>
      </c>
      <c r="M50" s="32">
        <f>VLOOKUP($B50&amp;$C50,'[1]FC1 Prod'!$A$6:$BP$36,[2]Consolidated!M$1)</f>
        <v>5.0199999999999996</v>
      </c>
      <c r="N50" s="32">
        <f>VLOOKUP($B50&amp;$C50,'[1]FC1 Prod'!$A$6:$BP$36,[2]Consolidated!N$1)</f>
        <v>16.12</v>
      </c>
      <c r="O50" s="32">
        <f>VLOOKUP($B50&amp;$C50,'[1]FC1 Prod'!$A$6:$BP$36,[2]Consolidated!O$1)</f>
        <v>0.83</v>
      </c>
      <c r="P50" s="33">
        <f>VLOOKUP($B50&amp;$C50,'[1]FC1 Prod'!$A$6:$BP$36,[2]Consolidated!P$1)</f>
        <v>8</v>
      </c>
      <c r="Q50" s="29">
        <f>VLOOKUP($B50&amp;$C50,'[1]FC1 Prod'!$A$6:$BP$36,[2]Consolidated!Q$1)</f>
        <v>47.19100000000001</v>
      </c>
      <c r="R50" s="29">
        <f>VLOOKUP($B50&amp;$C50,'[1]FC1 Prod'!$A$6:$BP$36,[2]Consolidated!R$1)</f>
        <v>17.134999999999998</v>
      </c>
      <c r="S50" s="34">
        <f>VLOOKUP($B50&amp;$C50,'[1]FC1 Prod'!$A$6:$BP$36,[2]Consolidated!S$1)</f>
        <v>46</v>
      </c>
      <c r="T50" s="34">
        <f>VLOOKUP($B50&amp;$C50,'[1]FC1 Prod'!$A$6:$BP$36,[2]Consolidated!T$1)</f>
        <v>7</v>
      </c>
      <c r="U50" s="34">
        <f>VLOOKUP($B50&amp;$C50,'[1]FC1 Prod'!$A$6:$BP$36,[2]Consolidated!U$1)</f>
        <v>17</v>
      </c>
      <c r="V50" s="34">
        <f>VLOOKUP($B50&amp;$C50,'[1]FC1 Prod'!$A$6:$BP$36,[2]Consolidated!V$1)</f>
        <v>70</v>
      </c>
      <c r="W50" s="35">
        <f>VLOOKUP($B50&amp;$C50,'[1]FC1 Prod'!$A$6:$BP$36,[2]Consolidated!W$1)</f>
        <v>2.3566042446941329</v>
      </c>
      <c r="X50" s="35">
        <f>VLOOKUP($B50&amp;$C50,'[1]FC1 Prod'!$A$6:$BP$36,[2]Consolidated!X$1)</f>
        <v>20.644999999999996</v>
      </c>
      <c r="Y50" s="36">
        <f>VLOOKUP($B50&amp;$C50,'[1]FC1 Prod'!$A$6:$BP$36,[2]Consolidated!Y$1)</f>
        <v>0.96996851537902651</v>
      </c>
      <c r="Z50" s="37" t="str">
        <f>VLOOKUP($B50&amp;$C50,'[1]FC1 Prod'!$A$6:$BP$36,[2]Consolidated!Z$1)</f>
        <v>40/22</v>
      </c>
      <c r="AA50" s="31">
        <f>VLOOKUP($B50&amp;$C50,'[1]FC1 Prod'!$A$6:$BP$36,[2]Consolidated!AA$1)</f>
        <v>39.866250000000008</v>
      </c>
      <c r="AB50" s="31">
        <f>VLOOKUP($B50&amp;$C50,'[1]FC1 Prod'!$A$6:$BP$36,[2]Consolidated!AB$1)</f>
        <v>20.473750000000003</v>
      </c>
      <c r="AC50" s="31">
        <f>VLOOKUP($B50&amp;$C50,'[1]FC1 Prod'!$A$6:$BP$36,[2]Consolidated!AC$1)</f>
        <v>0.51750000000000007</v>
      </c>
      <c r="AD50" s="38">
        <f>VLOOKUP($B50&amp;$C50,'[1]FC1 Prod'!$A$6:$BP$36,[2]Consolidated!AD$1)</f>
        <v>562.2986935830213</v>
      </c>
      <c r="AE50" s="38">
        <f>VLOOKUP($B50&amp;$C50,'[1]FC1 Prod'!$A$6:$BP$36,[2]Consolidated!AE$1)</f>
        <v>669.55669380274662</v>
      </c>
      <c r="AF50" s="39">
        <f>VLOOKUP($B50&amp;$C50,'[1]FC1 Prod'!$A$6:$BP$36,[2]Consolidated!AF$1)</f>
        <v>0.70898706425882707</v>
      </c>
      <c r="AG50" s="39">
        <f>VLOOKUP($B50&amp;$C50,'[1]FC1 Prod'!$A$6:$BP$36,[2]Consolidated!AG$1)</f>
        <v>0.59541261209083995</v>
      </c>
      <c r="AH50" s="34">
        <f>VLOOKUP($B50&amp;$C50,'[1]FC1 Prod'!$A$6:$BP$36,[2]Consolidated!AH$1)</f>
        <v>624.59780873907619</v>
      </c>
      <c r="AI50" s="33">
        <f>VLOOKUP($B50&amp;$C50,'[1]FC1 Prod'!$A$6:$BP$36,[2]Consolidated!AI$1)</f>
        <v>641.1572809987515</v>
      </c>
      <c r="AJ50" s="39">
        <f>VLOOKUP($B50&amp;$C50,'[1]FC1 Prod'!$A$6:$BP$36,[2]Consolidated!AJ$1)</f>
        <v>1.4120188413826227</v>
      </c>
      <c r="AK50" s="39">
        <f>VLOOKUP($B50&amp;$C50,'[1]FC1 Prod'!$A$6:$BP$36,[2]Consolidated!AK$1)</f>
        <v>0.41162020665265642</v>
      </c>
      <c r="AL50" s="40" t="str">
        <f>VLOOKUP($B50&amp;$C50,'[1]FC1 Prod'!$A$6:$BP$36,[2]Consolidated!AL$1)</f>
        <v>10/70</v>
      </c>
      <c r="AM50" s="41">
        <f>VLOOKUP($B50&amp;$C50,'[1]FC1 Prod'!$A$6:$BP$36,[2]Consolidated!AM$1)</f>
        <v>2.4968789013732836E-2</v>
      </c>
      <c r="AN50" s="42">
        <f>VLOOKUP($B50&amp;$C50,'[1]FC1 Prod'!$A$6:$BP$36,[2]Consolidated!AN$1)</f>
        <v>95</v>
      </c>
      <c r="AO50" s="43">
        <f>VLOOKUP($B50&amp;$C50,'[1]FC1 Prod'!$A$6:$BP$36,[2]Consolidated!AO$1)</f>
        <v>3.5409999999999999</v>
      </c>
      <c r="AP50" s="44">
        <f>VLOOKUP($B50&amp;$C50,'[1]FC1 Prod'!$A$6:$BP$36,[2]Consolidated!AP$1)</f>
        <v>4.920898876404495</v>
      </c>
      <c r="AQ50" s="44">
        <f>VLOOKUP($B50&amp;$C50,'[1]FC1 Prod'!$A$6:$BP$36,[2]Consolidated!AQ$1)</f>
        <v>25.265457136880983</v>
      </c>
      <c r="AR50" s="45">
        <f>VLOOKUP($B50&amp;$C50,'[1]FC1 Prod'!$A$6:$BP$36,[2]Consolidated!AR$1)</f>
        <v>0.89962121212121204</v>
      </c>
      <c r="AS50" s="46">
        <f>VLOOKUP($B50&amp;$C50,'[1]FC1 Prod'!$A$6:$BP$36,[2]Consolidated!AS$1)</f>
        <v>2.1350000000000002</v>
      </c>
      <c r="AT50" s="29">
        <f>VLOOKUP($B50&amp;$C50,'[1]FC1 Prod'!$A$6:$BP$36,[2]Consolidated!AT$1)</f>
        <v>0.79327134988218406</v>
      </c>
      <c r="AU50" s="34">
        <f>VLOOKUP($B50&amp;$C50,'[1]FC1 Prod'!$A$6:$BP$36,[2]Consolidated!AU$1)</f>
        <v>391.97569444444451</v>
      </c>
      <c r="AV50" s="34">
        <f>VLOOKUP($B50&amp;$C50,'[1]FC1 Prod'!$A$6:$BP$36,[2]Consolidated!AV$1)</f>
        <v>191.66666666666666</v>
      </c>
      <c r="AW50" s="47">
        <f>VLOOKUP($B50&amp;$C50,'[1]FC1 Prod'!$A$6:$BP$36,[2]Consolidated!AW$1)</f>
        <v>21984.878901373282</v>
      </c>
      <c r="AX50" s="47">
        <f>VLOOKUP($B50&amp;$C50,'[1]FC1 Prod'!$A$6:$BP$36,[2]Consolidated!AX$1)</f>
        <v>18919.750312109863</v>
      </c>
      <c r="AY50" s="48">
        <f>VLOOKUP($B50&amp;$C50,'[1]FC1 Prod'!$A$6:$BP$36,[2]Consolidated!AY$1)</f>
        <v>1585.61797752809</v>
      </c>
      <c r="AZ50" s="47">
        <f>VLOOKUP($B50&amp;$C50,'[1]FC1 Prod'!$A$6:$BP$36,[2]Consolidated!AZ$1)</f>
        <v>3434.7840199750317</v>
      </c>
      <c r="BA50" s="47">
        <f>VLOOKUP($B50&amp;$C50,'[1]FC1 Prod'!$A$6:$BP$36,[2]Consolidated!BA$1)</f>
        <v>28787.258426966295</v>
      </c>
      <c r="BB50" s="47">
        <f>VLOOKUP($B50&amp;$C50,'[1]FC1 Prod'!$A$6:$BP$36,[2]Consolidated!BB$1)</f>
        <v>747.12289637952563</v>
      </c>
      <c r="BC50" s="47">
        <f>VLOOKUP($B50&amp;$C50,'[1]FC1 Prod'!$A$6:$BP$36,[2]Consolidated!BC$1)</f>
        <v>9349.7078651685406</v>
      </c>
      <c r="BD50" s="49">
        <f>VLOOKUP($B50&amp;$C50,'[1]FC1 Prod'!$A$6:$BP$36,[2]Consolidated!BD$1)</f>
        <v>84809.120399500636</v>
      </c>
      <c r="BE50" s="47">
        <f>VLOOKUP($B50&amp;$C50,'[1]FC1 Prod'!$A$6:$BP$36,[2]Consolidated!BE$1)</f>
        <v>25854.419675405748</v>
      </c>
      <c r="BF50" s="47">
        <f>VLOOKUP($B50&amp;$C50,'[1]FC1 Prod'!$A$6:$BP$36,[2]Consolidated!BF$1)</f>
        <v>19565.54307116105</v>
      </c>
      <c r="BG50" s="50">
        <f>VLOOKUP($B50&amp;$C50,'[1]FC1 Prod'!$A$6:$BP$36,[2]Consolidated!BG$1)</f>
        <v>2490.8164794007489</v>
      </c>
      <c r="BH50" s="50">
        <f>VLOOKUP($B50&amp;$C50,'[1]FC1 Prod'!$A$6:$BP$36,[2]Consolidated!BH$1)</f>
        <v>801.32821672908881</v>
      </c>
      <c r="BI50" s="50">
        <f>VLOOKUP($B50&amp;$C50,'[1]FC1 Prod'!$A$6:$BP$36,[2]Consolidated!BI$1)</f>
        <v>90283.857754806508</v>
      </c>
      <c r="BJ50" s="37" t="e">
        <f>VLOOKUP($B50&amp;$C50,'[1]FC1 Prod'!$A$6:$BP$36,[2]Consolidated!BJ$1)</f>
        <v>#REF!</v>
      </c>
      <c r="BK50" s="37" t="e">
        <f>VLOOKUP($B50&amp;$C50,'[1]FC1 Prod'!$A$6:$BP$36,[2]Consolidated!BK$1)</f>
        <v>#REF!</v>
      </c>
      <c r="BL50" s="37" t="e">
        <f>VLOOKUP($B50&amp;$C50,'[1]FC1 Prod'!$A$6:$BP$36,[2]Consolidated!BL$1)</f>
        <v>#REF!</v>
      </c>
      <c r="BM50" s="37" t="e">
        <f>VLOOKUP($B50&amp;$C50,'[1]FC1 Prod'!$A$6:$BP$36,[2]Consolidated!BM$1)</f>
        <v>#REF!</v>
      </c>
      <c r="BN50" s="37">
        <f>VLOOKUP($B50&amp;$C50,'[1]FC1 Prod'!$A$6:$BP$36,[2]Consolidated!BN$1)</f>
        <v>75</v>
      </c>
      <c r="BO50" s="37">
        <f>VLOOKUP($B50&amp;$C50,'[1]FC1 Prod'!$A$6:$BP$36,[2]Consolidated!BO$1)</f>
        <v>75</v>
      </c>
      <c r="BP50" s="37" t="str">
        <f>VLOOKUP($B50&amp;$C50,'[1]FC1 Prod'!$A$6:$BP$36,[2]Consolidated!BP$1)</f>
        <v>Power grids supply failure.</v>
      </c>
      <c r="BQ50" s="51" t="e">
        <f>VLOOKUP($B50&amp;$C50,'[1]FC1 Prod'!$A$6:$BP$36,[2]Consolidated!BQ$1)</f>
        <v>#REF!</v>
      </c>
      <c r="BR50" s="51">
        <f>VLOOKUP($B50&amp;$C50,'[1]FC1 Prod'!$A$6:$BQ$36,[2]Consolidated!BR$1)</f>
        <v>60759</v>
      </c>
      <c r="BS50" s="52">
        <f t="shared" ref="BS50:BS52" si="60">BE50+BF50+BG50+BA50</f>
        <v>76698.037652933839</v>
      </c>
      <c r="BT50" s="32">
        <f>BR50-BS50</f>
        <v>-15939.037652933839</v>
      </c>
      <c r="BU50" s="37">
        <f>E50*BT50</f>
        <v>-319179.22900000011</v>
      </c>
      <c r="BV50" s="53" t="s">
        <v>131</v>
      </c>
      <c r="BW50" s="54" cm="1">
        <f t="array" ref="BW50">IFERROR(VLOOKUP($A50,TRANSPOSE('[1]Fur 1 PLC'!$AR$1:$BV$38),8,0),0)</f>
        <v>0</v>
      </c>
      <c r="BX50" s="54" cm="1">
        <f t="array" ref="BX50">IFERROR(VLOOKUP($A50,TRANSPOSE('[1]Fur 1 PLC'!$AR$1:$BV$38),30,0),0)</f>
        <v>114.20724094881399</v>
      </c>
      <c r="BY50" s="54" cm="1">
        <f t="array" ref="BY50">IFERROR(VLOOKUP($A50,TRANSPOSE('[1]Fur 1 PLC'!$AR$1:$BV$38),14,0),0)</f>
        <v>0</v>
      </c>
      <c r="BZ50" s="54" cm="1">
        <f t="array" ref="BZ50">IFERROR(VLOOKUP($A50,TRANSPOSE('[1]Fur 1 PLC'!$AR$1:$BV$38),16,0),0)</f>
        <v>0</v>
      </c>
      <c r="CA50" s="54" cm="1">
        <f t="array" ref="CA50">IFERROR(VLOOKUP($A50,TRANSPOSE('[1]Fur 1 PLC'!$AR$1:$BV$38),9,0),0)</f>
        <v>478.90137328339574</v>
      </c>
      <c r="CB50" s="54" cm="1">
        <f t="array" ref="CB50">IFERROR(VLOOKUP($A50,TRANSPOSE('[1]Fur 1 PLC'!$AR$1:$BV$38),17,0),0)</f>
        <v>183.57053682896381</v>
      </c>
      <c r="CC50" s="54" cm="1">
        <f t="array" ref="CC50">IFERROR(VLOOKUP($A50,TRANSPOSE('[1]Fur 1 PLC'!$AR$1:$BV$38),20,0),0)</f>
        <v>628.46441947565552</v>
      </c>
      <c r="CD50" s="54" cm="1">
        <f t="array" ref="CD50">IFERROR(VLOOKUP($A50,TRANSPOSE('[1]Fur 1 PLC'!$AR$1:$BV$38),28,0),0)</f>
        <v>68.863920099875159</v>
      </c>
      <c r="CE50" s="54" cm="1">
        <f t="array" ref="CE50">IFERROR(VLOOKUP($A50,TRANSPOSE('[1]Fur 1 PLC'!$AR$1:$BV$38),13,0),0)</f>
        <v>0</v>
      </c>
      <c r="CF50" s="54" cm="1">
        <f t="array" ref="CF50">IFERROR(VLOOKUP($A50,TRANSPOSE('[1]Fur 1 PLC'!$AR$1:$BV$38),37,0),0)</f>
        <v>749.76279650436959</v>
      </c>
      <c r="CG50" s="54" cm="1">
        <f t="array" ref="CG50">IFERROR(VLOOKUP($A50,TRANSPOSE('[1]Fur 1 PLC'!$AR$1:$BV$38),6,0),0)</f>
        <v>0</v>
      </c>
      <c r="CH50" s="54" cm="1">
        <f t="array" ref="CH50">IFERROR(VLOOKUP($A50,TRANSPOSE('[1]Fur 1 PLC'!$AR$1:$BV$38),21,0),0)</f>
        <v>0</v>
      </c>
      <c r="CI50" s="54" cm="1">
        <f t="array" ref="CI50">IFERROR(VLOOKUP($A50,TRANSPOSE('[1]Fur 1 PLC'!$AR$1:$BV$38),12,0),0)</f>
        <v>0</v>
      </c>
      <c r="CJ50" s="54" cm="1">
        <f t="array" ref="CJ50">IFERROR(VLOOKUP($A50,TRANSPOSE('[1]Fur 1 PLC'!$AR$1:$BV$38),25,0),0)</f>
        <v>0</v>
      </c>
      <c r="CK50" s="54" cm="1">
        <f t="array" ref="CK50">IFERROR(VLOOKUP($A50,TRANSPOSE('[1]Fur 1 PLC'!$AR$1:$BV$38),26,0),0)</f>
        <v>0</v>
      </c>
      <c r="CL50" s="54" cm="1">
        <f t="array" ref="CL50">IFERROR(VLOOKUP($A50,TRANSPOSE('[1]Fur 1 PLC'!$AR$1:$BV$38),27,0),0)</f>
        <v>672.60923845193508</v>
      </c>
      <c r="CM50" s="54" cm="1">
        <f t="array" ref="CM50">IFERROR(VLOOKUP($A50,TRANSPOSE('[1]Fur 1 PLC'!$AR$1:$BV$38),22,0),0)</f>
        <v>0</v>
      </c>
      <c r="CN50" s="54"/>
      <c r="CO50" s="54" cm="1">
        <f t="array" ref="CO50">IFERROR(VLOOKUP($A50,TRANSPOSE('[1]Fur 1 PLC'!$AR$1:$BV$38),29,0),0)</f>
        <v>0</v>
      </c>
      <c r="CP50" s="54" cm="1">
        <f t="array" ref="CP50">IFERROR(VLOOKUP($A50,TRANSPOSE('[1]Fur 1 PLC'!$AR$1:$BV$38),10,0),0)</f>
        <v>0</v>
      </c>
      <c r="CQ50" s="54" cm="1">
        <f t="array" ref="CQ50">IFERROR(VLOOKUP($A50,TRANSPOSE('[1]Fur 1 PLC'!$AR$1:$BV$38),7,0),0)</f>
        <v>293.48314606741576</v>
      </c>
      <c r="CR50" s="54" cm="1">
        <f t="array" ref="CR50">IFERROR(VLOOKUP($A50,TRANSPOSE('[1]Fur 1 PLC'!$AR$1:$BV$38),35,0),0)</f>
        <v>194.35705368289638</v>
      </c>
      <c r="CS50" s="54" cm="1">
        <f t="array" ref="CS50">IFERROR(VLOOKUP($A50,TRANSPOSE('[1]Fur 1 PLC'!$AR$1:$BV$38),11,0),0)</f>
        <v>380.37453183520603</v>
      </c>
      <c r="CT50" s="54" cm="1">
        <f t="array" ref="CT50">IFERROR(VLOOKUP($A50,TRANSPOSE('[1]Fur 1 PLC'!$AR$1:$BV$38),19,0),0)</f>
        <v>0</v>
      </c>
      <c r="CU50" s="54" cm="1">
        <f t="array" ref="CU50">IFERROR(VLOOKUP($A50,TRANSPOSE('[1]Fur 1 PLC'!$AR$1:$BV$38),18,0),0)</f>
        <v>401.69787765293393</v>
      </c>
      <c r="CV50" s="54" cm="1">
        <f t="array" ref="CV50">IFERROR(VLOOKUP($A50,TRANSPOSE('[1]Fur 1 PLC'!$AR$1:$BV$38),15,0),0)</f>
        <v>283.59550561797761</v>
      </c>
      <c r="CW50" s="54" cm="1">
        <f t="array" ref="CW50">IFERROR(VLOOKUP($A50,TRANSPOSE('[1]Fur 1 PLC'!$CL$1:$DP$38),8,0),0)</f>
        <v>0</v>
      </c>
      <c r="CX50" s="54" cm="1">
        <f t="array" ref="CX50">IFERROR(VLOOKUP($A50,TRANSPOSE('[1]Fur 1 PLC'!$CL$1:$DP$38),30,0),0)</f>
        <v>32.671428571428571</v>
      </c>
      <c r="CY50" s="54" cm="1">
        <f t="array" ref="CY50">IFERROR(VLOOKUP($A50,TRANSPOSE('[1]Fur 1 PLC'!$CL$1:$DP$38),14,0),0)</f>
        <v>0</v>
      </c>
      <c r="CZ50" s="54" cm="1">
        <f t="array" ref="CZ50">IFERROR(VLOOKUP($A50,TRANSPOSE('[1]Fur 1 PLC'!$CL$1:$DP$38),16,0),0)</f>
        <v>0</v>
      </c>
      <c r="DA50" s="54" cm="1">
        <f t="array" ref="DA50">IFERROR(VLOOKUP($A50,TRANSPOSE('[1]Fur 1 PLC'!$CL$1:$DP$38),9,0),0)</f>
        <v>137</v>
      </c>
      <c r="DB50" s="55" cm="1">
        <f t="array" ref="DB50">IFERROR(VLOOKUP($A50,TRANSPOSE('[1]Fur 1 PLC'!$CL$1:$DP$38),17,0),0)</f>
        <v>52.514285714285712</v>
      </c>
      <c r="DC50" s="55" cm="1">
        <f t="array" ref="DC50">IFERROR(VLOOKUP($A50,TRANSPOSE('[1]Fur 1 PLC'!$CL$1:$DP$38),20,0),0)</f>
        <v>179.78571428571431</v>
      </c>
      <c r="DD50" s="54" cm="1">
        <f t="array" ref="DD50">IFERROR(VLOOKUP($A50,TRANSPOSE('[1]Fur 1 PLC'!$CL$1:$DP$38),28,0),0)</f>
        <v>19.7</v>
      </c>
      <c r="DE50" s="54" cm="1">
        <f t="array" ref="DE50">IFERROR(VLOOKUP($A50,TRANSPOSE('[1]Fur 1 PLC'!$CL$1:$DP$38),13,0),0)</f>
        <v>0</v>
      </c>
      <c r="DF50" s="54" cm="1">
        <f t="array" ref="DF50">IFERROR(VLOOKUP($A50,TRANSPOSE('[1]Fur 1 PLC'!$CL$1:$DP$38),37,0),0)</f>
        <v>214.48571428571427</v>
      </c>
      <c r="DG50" s="54" cm="1">
        <f t="array" ref="DG50">IFERROR(VLOOKUP($A50,TRANSPOSE('[1]Fur 1 PLC'!$CL$1:$DP$38),6,0),0)</f>
        <v>0</v>
      </c>
      <c r="DH50" s="54" cm="1">
        <f t="array" ref="DH50">IFERROR(VLOOKUP($A50,TRANSPOSE('[1]Fur 1 PLC'!$CL$1:$DP$38),21,0),0)</f>
        <v>0</v>
      </c>
      <c r="DI50" s="54" cm="1">
        <f t="array" ref="DI50">IFERROR(VLOOKUP($A50,TRANSPOSE('[1]Fur 1 PLC'!$CL$1:$DP$38),12,0),0)</f>
        <v>0</v>
      </c>
      <c r="DJ50" s="54" cm="1">
        <f t="array" ref="DJ50">IFERROR(VLOOKUP($A50,TRANSPOSE('[1]Fur 1 PLC'!$CL$1:$DP$38),25,0),0)</f>
        <v>0</v>
      </c>
      <c r="DK50" s="54" cm="1">
        <f t="array" ref="DK50">IFERROR(VLOOKUP($A50,TRANSPOSE('[1]Fur 1 PLC'!$CL$1:$DP$38),26,0),0)</f>
        <v>0</v>
      </c>
      <c r="DL50" s="54" cm="1">
        <f t="array" ref="DL50">IFERROR(VLOOKUP($A50,TRANSPOSE('[1]Fur 1 PLC'!$CL$1:$DP$38),27,0),0)</f>
        <v>192.41428571428571</v>
      </c>
      <c r="DM50" s="54" cm="1">
        <f t="array" ref="DM50">IFERROR(VLOOKUP($A50,TRANSPOSE('[1]Fur 1 PLC'!$CL$1:$DP$38),22,0),0)</f>
        <v>0</v>
      </c>
      <c r="DN50" s="54" cm="1">
        <f t="array" ref="DN50">IFERROR(VLOOKUP($A50,TRANSPOSE('[1]Fur 1 PLC'!$CL$1:$DP$38),19,0),0)</f>
        <v>0</v>
      </c>
      <c r="DO50" s="54" cm="1">
        <f t="array" ref="DO50">IFERROR(VLOOKUP($A50,TRANSPOSE('[1]Fur 1 PLC'!$CL$1:$DP$38),29,0),0)</f>
        <v>0</v>
      </c>
      <c r="DP50" s="54" cm="1">
        <f t="array" ref="DP50">IFERROR(VLOOKUP($A50,TRANSPOSE('[1]Fur 1 PLC'!$CL$1:$DP$38),10,0),0)</f>
        <v>0</v>
      </c>
      <c r="DQ50" s="54" cm="1">
        <f t="array" ref="DQ50">IFERROR(VLOOKUP($A50,TRANSPOSE('[1]Fur 1 PLC'!$CL$1:$DP$38),7,0),0)</f>
        <v>83.957142857142856</v>
      </c>
      <c r="DR50" s="54" cm="1">
        <f t="array" ref="DR50">IFERROR(VLOOKUP($A50,TRANSPOSE('[1]Fur 1 PLC'!$CL$1:$DP$38),35,0),0)</f>
        <v>55.599999999999994</v>
      </c>
      <c r="DS50" s="54" cm="1">
        <f t="array" ref="DS50">IFERROR(VLOOKUP($A50,TRANSPOSE('[1]Fur 1 PLC'!$CL$1:$DP$38),11,0),0)</f>
        <v>108.81428571428572</v>
      </c>
      <c r="DT50" s="54" cm="1">
        <f t="array" ref="DT50">IFERROR(VLOOKUP($A50,TRANSPOSE('[1]Fur 1 PLC'!$CL$1:$DP$38),19,0),0)</f>
        <v>0</v>
      </c>
      <c r="DU50" s="54" cm="1">
        <f t="array" ref="DU50">IFERROR(VLOOKUP($A50,TRANSPOSE('[1]Fur 1 PLC'!$CL$1:$DP$38),18,0),0)</f>
        <v>114.91428571428573</v>
      </c>
      <c r="DV50" s="54" cm="1">
        <f t="array" ref="DV50">IFERROR(VLOOKUP($A50,TRANSPOSE('[1]Fur 1 PLC'!$CL$1:$DP$38),15,0),0)</f>
        <v>81.128571428571433</v>
      </c>
      <c r="DW50" t="str">
        <f>TEXT(C50,"Mmm-yy")</f>
        <v>Dec-25</v>
      </c>
    </row>
    <row r="51" spans="1:127" x14ac:dyDescent="0.3">
      <c r="A51" s="28" t="str">
        <f t="shared" si="59"/>
        <v>F246004</v>
      </c>
      <c r="B51" s="29" t="s">
        <v>27</v>
      </c>
      <c r="C51" s="30">
        <f>C50</f>
        <v>46004</v>
      </c>
      <c r="D51" s="29" t="str">
        <f>VLOOKUP($B51&amp;$C51,'[1]FC2 Prod'!$A$6:$BP$36,[2]Consolidated!D$1)</f>
        <v>Mr. Girish Malik</v>
      </c>
      <c r="E51" s="29">
        <f>VLOOKUP($B51&amp;$C51,'[1]FC2 Prod'!$A$6:$BP$36,[2]Consolidated!E$1)</f>
        <v>28</v>
      </c>
      <c r="F51" s="29">
        <f>VLOOKUP($B51&amp;$C51,'[1]FC2 Prod'!$A$6:$BP$36,[2]Consolidated!F$1)</f>
        <v>0</v>
      </c>
      <c r="G51" s="29">
        <f>VLOOKUP($B51&amp;$C51,'[1]FC2 Prod'!$A$6:$BP$36,[2]Consolidated!G$1)</f>
        <v>28</v>
      </c>
      <c r="H51" s="32">
        <f>VLOOKUP($B51&amp;$C51,'[1]FC2 Prod'!$A$6:$BP$36,[2]Consolidated!H$1)</f>
        <v>19.630000000000003</v>
      </c>
      <c r="I51" s="32">
        <f>VLOOKUP($B51&amp;$C51,'[1]FC2 Prod'!$A$6:$BP$36,[2]Consolidated!I$1)</f>
        <v>5.32</v>
      </c>
      <c r="J51" s="32">
        <f>VLOOKUP($B51&amp;$C51,'[1]FC2 Prod'!$A$6:$BP$36,[2]Consolidated!J$1)</f>
        <v>40.21</v>
      </c>
      <c r="K51" s="32">
        <f>VLOOKUP($B51&amp;$C51,'[1]FC2 Prod'!$A$6:$BP$36,[2]Consolidated!K$1)</f>
        <v>1.28</v>
      </c>
      <c r="L51" s="32">
        <f>VLOOKUP($B51&amp;$C51,'[1]FC2 Prod'!$A$6:$BP$36,[2]Consolidated!L$1)</f>
        <v>28.92</v>
      </c>
      <c r="M51" s="32">
        <f>VLOOKUP($B51&amp;$C51,'[1]FC2 Prod'!$A$6:$BP$36,[2]Consolidated!M$1)</f>
        <v>4.88</v>
      </c>
      <c r="N51" s="32">
        <f>VLOOKUP($B51&amp;$C51,'[1]FC2 Prod'!$A$6:$BP$36,[2]Consolidated!N$1)</f>
        <v>15.88</v>
      </c>
      <c r="O51" s="32">
        <f>VLOOKUP($B51&amp;$C51,'[1]FC2 Prod'!$A$6:$BP$36,[2]Consolidated!O$1)</f>
        <v>0.84</v>
      </c>
      <c r="P51" s="34">
        <f>VLOOKUP($B51&amp;$C51,'[1]FC2 Prod'!$A$6:$BP$36,[2]Consolidated!P$1)</f>
        <v>9</v>
      </c>
      <c r="Q51" s="29">
        <f>VLOOKUP($B51&amp;$C51,'[1]FC2 Prod'!$A$6:$BP$36,[2]Consolidated!Q$1)</f>
        <v>60.370999999999995</v>
      </c>
      <c r="R51" s="29">
        <f>VLOOKUP($B51&amp;$C51,'[1]FC2 Prod'!$A$6:$BP$36,[2]Consolidated!R$1)</f>
        <v>19.365000000000002</v>
      </c>
      <c r="S51" s="34">
        <f>VLOOKUP($B51&amp;$C51,'[1]FC2 Prod'!$A$6:$BP$36,[2]Consolidated!S$1)</f>
        <v>28</v>
      </c>
      <c r="T51" s="34">
        <f>VLOOKUP($B51&amp;$C51,'[1]FC2 Prod'!$A$6:$BP$36,[2]Consolidated!T$1)</f>
        <v>21</v>
      </c>
      <c r="U51" s="34">
        <f>VLOOKUP($B51&amp;$C51,'[1]FC2 Prod'!$A$6:$BP$36,[2]Consolidated!U$1)</f>
        <v>19</v>
      </c>
      <c r="V51" s="34">
        <f>VLOOKUP($B51&amp;$C51,'[1]FC2 Prod'!$A$6:$BP$36,[2]Consolidated!V$1)</f>
        <v>68</v>
      </c>
      <c r="W51" s="29">
        <f>VLOOKUP($B51&amp;$C51,'[1]FC2 Prod'!$A$6:$BP$36,[2]Consolidated!W$1)</f>
        <v>2.1561071428571426</v>
      </c>
      <c r="X51" s="35">
        <f>VLOOKUP($B51&amp;$C51,'[1]FC2 Prod'!$A$6:$BP$36,[2]Consolidated!X$1)</f>
        <v>28.844999999999999</v>
      </c>
      <c r="Y51" s="36">
        <f>VLOOKUP($B51&amp;$C51,'[1]FC2 Prod'!$A$6:$BP$36,[2]Consolidated!Y$1)</f>
        <v>0.97070549488646218</v>
      </c>
      <c r="Z51" s="37" t="str">
        <f>VLOOKUP($B51&amp;$C51,'[1]FC2 Prod'!$A$6:$BP$36,[2]Consolidated!Z$1)</f>
        <v>55/22</v>
      </c>
      <c r="AA51" s="31">
        <f>VLOOKUP($B51&amp;$C51,'[1]FC2 Prod'!$A$6:$BP$36,[2]Consolidated!AA$1)</f>
        <v>54.72</v>
      </c>
      <c r="AB51" s="31">
        <f>VLOOKUP($B51&amp;$C51,'[1]FC2 Prod'!$A$6:$BP$36,[2]Consolidated!AB$1)</f>
        <v>22.367777777777778</v>
      </c>
      <c r="AC51" s="31">
        <f>VLOOKUP($B51&amp;$C51,'[1]FC2 Prod'!$A$6:$BP$36,[2]Consolidated!AC$1)</f>
        <v>0.39777777777777773</v>
      </c>
      <c r="AD51" s="38">
        <f>VLOOKUP($B51&amp;$C51,'[1]FC2 Prod'!$A$6:$BP$36,[2]Consolidated!AD$1)</f>
        <v>492.65986132142859</v>
      </c>
      <c r="AE51" s="38">
        <f>VLOOKUP($B51&amp;$C51,'[1]FC2 Prod'!$A$6:$BP$36,[2]Consolidated!AE$1)</f>
        <v>684.72144946071444</v>
      </c>
      <c r="AF51" s="39">
        <f>VLOOKUP($B51&amp;$C51,'[1]FC2 Prod'!$A$6:$BP$36,[2]Consolidated!AF$1)</f>
        <v>1.1107054642776906</v>
      </c>
      <c r="AG51" s="39">
        <f>VLOOKUP($B51&amp;$C51,'[1]FC2 Prod'!$A$6:$BP$36,[2]Consolidated!AG$1)</f>
        <v>0.79915708852260126</v>
      </c>
      <c r="AH51" s="34">
        <f>VLOOKUP($B51&amp;$C51,'[1]FC2 Prod'!$A$6:$BP$36,[2]Consolidated!AH$1)</f>
        <v>560.02821428571428</v>
      </c>
      <c r="AI51" s="33">
        <f>VLOOKUP($B51&amp;$C51,'[1]FC2 Prod'!$A$6:$BP$36,[2]Consolidated!AI$1)</f>
        <v>505.31291071428575</v>
      </c>
      <c r="AJ51" s="39">
        <f>VLOOKUP($B51&amp;$C51,'[1]FC2 Prod'!$A$6:$BP$36,[2]Consolidated!AJ$1)</f>
        <v>0.42932082612793437</v>
      </c>
      <c r="AK51" s="39">
        <f>VLOOKUP($B51&amp;$C51,'[1]FC2 Prod'!$A$6:$BP$36,[2]Consolidated!AK$1)</f>
        <v>0.46691556650681748</v>
      </c>
      <c r="AL51" s="40" t="str">
        <f>VLOOKUP($B51&amp;$C51,'[1]FC2 Prod'!$A$6:$BP$36,[2]Consolidated!AL$1)</f>
        <v>10/70</v>
      </c>
      <c r="AM51" s="41">
        <f>VLOOKUP($B51&amp;$C51,'[1]FC2 Prod'!$A$6:$BP$36,[2]Consolidated!AM$1)</f>
        <v>2.6785714285714284E-2</v>
      </c>
      <c r="AN51" s="42">
        <f>VLOOKUP($B51&amp;$C51,'[1]FC2 Prod'!$A$6:$BP$36,[2]Consolidated!AN$1)</f>
        <v>136.19999999999999</v>
      </c>
      <c r="AO51" s="43">
        <f>VLOOKUP($B51&amp;$C51,'[1]FC2 Prod'!$A$6:$BP$36,[2]Consolidated!AO$1)</f>
        <v>5.7629999999999999</v>
      </c>
      <c r="AP51" s="44">
        <f>VLOOKUP($B51&amp;$C51,'[1]FC2 Prod'!$A$6:$BP$36,[2]Consolidated!AP$1)</f>
        <v>5.0701071428571423</v>
      </c>
      <c r="AQ51" s="44">
        <f>VLOOKUP($B51&amp;$C51,'[1]FC2 Prod'!$A$6:$BP$36,[2]Consolidated!AQ$1)</f>
        <v>29.134426321156131</v>
      </c>
      <c r="AR51" s="45">
        <f>VLOOKUP($B51&amp;$C51,'[1]FC2 Prod'!$A$6:$BP$36,[2]Consolidated!AR$1)</f>
        <v>0.93032786885245911</v>
      </c>
      <c r="AS51" s="46">
        <f>VLOOKUP($B51&amp;$C51,'[1]FC2 Prod'!$A$6:$BP$36,[2]Consolidated!AS$1)</f>
        <v>2.2250000000000001</v>
      </c>
      <c r="AT51" s="29">
        <f>VLOOKUP($B51&amp;$C51,'[1]FC2 Prod'!$A$6:$BP$36,[2]Consolidated!AT$1)</f>
        <v>0.78275286169607294</v>
      </c>
      <c r="AU51" s="34">
        <f>VLOOKUP($B51&amp;$C51,'[1]FC2 Prod'!$A$6:$BP$36,[2]Consolidated!AU$1)</f>
        <v>499.34837962962962</v>
      </c>
      <c r="AV51" s="34">
        <f>VLOOKUP($B51&amp;$C51,'[1]FC2 Prod'!$A$6:$BP$36,[2]Consolidated!AV$1)</f>
        <v>233.33333333333334</v>
      </c>
      <c r="AW51" s="47">
        <f>VLOOKUP($B51&amp;$C51,'[1]FC2 Prod'!$A$6:$BP$36,[2]Consolidated!AW$1)</f>
        <v>19549.753928571427</v>
      </c>
      <c r="AX51" s="47">
        <f>VLOOKUP($B51&amp;$C51,'[1]FC2 Prod'!$A$6:$BP$36,[2]Consolidated!AX$1)</f>
        <v>15507.497142857143</v>
      </c>
      <c r="AY51" s="48">
        <f>VLOOKUP($B51&amp;$C51,'[1]FC2 Prod'!$A$6:$BP$36,[2]Consolidated!AY$1)</f>
        <v>2259.3214285714284</v>
      </c>
      <c r="AZ51" s="47">
        <f>VLOOKUP($B51&amp;$C51,'[1]FC2 Prod'!$A$6:$BP$36,[2]Consolidated!AZ$1)</f>
        <v>2154.9839285714288</v>
      </c>
      <c r="BA51" s="47">
        <f>VLOOKUP($B51&amp;$C51,'[1]FC2 Prod'!$A$6:$BP$36,[2]Consolidated!BA$1)</f>
        <v>29660.126785714281</v>
      </c>
      <c r="BB51" s="47">
        <f>VLOOKUP($B51&amp;$C51,'[1]FC2 Prod'!$A$6:$BP$36,[2]Consolidated!BB$1)</f>
        <v>691.31683214285704</v>
      </c>
      <c r="BC51" s="47">
        <f>VLOOKUP($B51&amp;$C51,'[1]FC2 Prod'!$A$6:$BP$36,[2]Consolidated!BC$1)</f>
        <v>9633.2035714285703</v>
      </c>
      <c r="BD51" s="49">
        <f>VLOOKUP($B51&amp;$C51,'[1]FC2 Prod'!$A$6:$BP$36,[2]Consolidated!BD$1)</f>
        <v>79456.203617857129</v>
      </c>
      <c r="BE51" s="47">
        <f>VLOOKUP($B51&amp;$C51,'[1]FC2 Prod'!$A$6:$BP$36,[2]Consolidated!BE$1)</f>
        <v>27032.380642857144</v>
      </c>
      <c r="BF51" s="47">
        <f>VLOOKUP($B51&amp;$C51,'[1]FC2 Prod'!$A$6:$BP$36,[2]Consolidated!BF$1)</f>
        <v>15341.262071428571</v>
      </c>
      <c r="BG51" s="50">
        <f>VLOOKUP($B51&amp;$C51,'[1]FC2 Prod'!$A$6:$BP$36,[2]Consolidated!BG$1)</f>
        <v>1901.4750000000001</v>
      </c>
      <c r="BH51" s="50">
        <f>VLOOKUP($B51&amp;$C51,'[1]FC2 Prod'!$A$6:$BP$36,[2]Consolidated!BH$1)</f>
        <v>760.90228428571425</v>
      </c>
      <c r="BI51" s="50">
        <f>VLOOKUP($B51&amp;$C51,'[1]FC2 Prod'!$A$6:$BP$36,[2]Consolidated!BI$1)</f>
        <v>86484.334284285709</v>
      </c>
      <c r="BJ51" s="37" t="e">
        <f>VLOOKUP($B51&amp;$C51,'[1]FC2 Prod'!$A$6:$BP$36,[2]Consolidated!BJ$1)</f>
        <v>#REF!</v>
      </c>
      <c r="BK51" s="37" t="e">
        <f>VLOOKUP($B51&amp;$C51,'[1]FC2 Prod'!$A$6:$BP$36,[2]Consolidated!BK$1)</f>
        <v>#REF!</v>
      </c>
      <c r="BL51" s="37" t="e">
        <f>VLOOKUP($B51&amp;$C51,'[1]FC2 Prod'!$A$6:$BP$36,[2]Consolidated!BL$1)</f>
        <v>#REF!</v>
      </c>
      <c r="BM51" s="37" t="e">
        <f>VLOOKUP($B51&amp;$C51,'[1]FC2 Prod'!$A$6:$BP$36,[2]Consolidated!BM$1)</f>
        <v>#REF!</v>
      </c>
      <c r="BN51" s="37">
        <f>VLOOKUP($B51&amp;$C51,'[1]FC2 Prod'!$A$6:$BP$36,[2]Consolidated!BN$1)</f>
        <v>75</v>
      </c>
      <c r="BO51" s="37">
        <f>VLOOKUP($B51&amp;$C51,'[1]FC2 Prod'!$A$6:$BP$36,[2]Consolidated!BO$1)</f>
        <v>75</v>
      </c>
      <c r="BP51" s="37" t="str">
        <f>VLOOKUP($B51&amp;$C51,'[1]FC2 Prod'!$A$6:$BP$36,[2]Consolidated!BP$1)</f>
        <v>Power grids supply failure.</v>
      </c>
      <c r="BQ51" s="29" t="e">
        <f>VLOOKUP($B51&amp;$C51,'[1]FC2 Prod'!$A$6:$BP$36,[2]Consolidated!BQ$1)</f>
        <v>#REF!</v>
      </c>
      <c r="BR51" s="51">
        <f>VLOOKUP($B51&amp;$C51,'[1]FC2 Prod'!$A$6:$BQ$36,[2]Consolidated!BR$1)</f>
        <v>69902</v>
      </c>
      <c r="BS51" s="52">
        <f t="shared" si="60"/>
        <v>73935.244500000001</v>
      </c>
      <c r="BT51" s="32">
        <f>BR51-BS51</f>
        <v>-4033.2445000000007</v>
      </c>
      <c r="BU51" s="37">
        <f>E51*BT51</f>
        <v>-112930.84600000002</v>
      </c>
      <c r="BV51" s="53" t="s">
        <v>131</v>
      </c>
      <c r="BW51" s="54" cm="1">
        <f t="array" ref="BW51">IFERROR(VLOOKUP($A51,TRANSPOSE('[1]Fur 2 PLC'!$AR$1:$BV$38),8,0),0)</f>
        <v>0</v>
      </c>
      <c r="BX51" s="54" cm="1">
        <f t="array" ref="BX51">IFERROR(VLOOKUP($A51,TRANSPOSE('[1]Fur 2 PLC'!$AR$1:$BV$38),30,0),0)</f>
        <v>0</v>
      </c>
      <c r="BY51" s="54" cm="1">
        <f t="array" ref="BY51">IFERROR(VLOOKUP($A51,TRANSPOSE('[1]Fur 2 PLC'!$AR$1:$BV$38),14,0),0)</f>
        <v>0</v>
      </c>
      <c r="BZ51" s="54" cm="1">
        <f t="array" ref="BZ51">IFERROR(VLOOKUP($A51,TRANSPOSE('[1]Fur 2 PLC'!$AR$1:$BV$38),16,0),0)</f>
        <v>0</v>
      </c>
      <c r="CA51" s="54" cm="1">
        <f t="array" ref="CA51">IFERROR(VLOOKUP($A51,TRANSPOSE('[1]Fur 2 PLC'!$AR$1:$BV$38),9,0),0)</f>
        <v>544.78571428571433</v>
      </c>
      <c r="CB51" s="54" cm="1">
        <f t="array" ref="CB51">IFERROR(VLOOKUP($A51,TRANSPOSE('[1]Fur 2 PLC'!$AR$1:$BV$38),17,0),0)</f>
        <v>428.82142857142856</v>
      </c>
      <c r="CC51" s="54" cm="1">
        <f t="array" ref="CC51">IFERROR(VLOOKUP($A51,TRANSPOSE('[1]Fur 2 PLC'!$AR$1:$BV$38),20,0),0)</f>
        <v>0</v>
      </c>
      <c r="CD51" s="54" cm="1">
        <f t="array" ref="CD51">IFERROR(VLOOKUP($A51,TRANSPOSE('[1]Fur 2 PLC'!$AR$1:$BV$38),28,0),0)</f>
        <v>138.39285714285714</v>
      </c>
      <c r="CE51" s="54" cm="1">
        <f t="array" ref="CE51">IFERROR(VLOOKUP($A51,TRANSPOSE('[1]Fur 2 PLC'!$AR$1:$BV$38),13,0),0)</f>
        <v>0</v>
      </c>
      <c r="CF51" s="54" cm="1">
        <f t="array" ref="CF51">IFERROR(VLOOKUP($A51,TRANSPOSE('[1]Fur 2 PLC'!$AR$1:$BV$38),37,0),0)</f>
        <v>704.25</v>
      </c>
      <c r="CG51" s="54" cm="1">
        <f t="array" ref="CG51">IFERROR(VLOOKUP($A51,TRANSPOSE('[1]Fur 2 PLC'!$AR$1:$BV$38),6,0),0)</f>
        <v>0</v>
      </c>
      <c r="CH51" s="54" cm="1">
        <f t="array" ref="CH51">IFERROR(VLOOKUP($A51,TRANSPOSE('[1]Fur 2 PLC'!$AR$1:$BV$38),21,0),0)</f>
        <v>0</v>
      </c>
      <c r="CI51" s="54" cm="1">
        <f t="array" ref="CI51">IFERROR(VLOOKUP($A51,TRANSPOSE('[1]Fur 2 PLC'!$AR$1:$BV$38),12,0),0)</f>
        <v>0</v>
      </c>
      <c r="CJ51" s="54" cm="1">
        <f t="array" ref="CJ51">IFERROR(VLOOKUP($A51,TRANSPOSE('[1]Fur 2 PLC'!$AR$1:$BV$38),25,0),0)</f>
        <v>0</v>
      </c>
      <c r="CK51" s="54" cm="1">
        <f t="array" ref="CK51">IFERROR(VLOOKUP($A51,TRANSPOSE('[1]Fur 2 PLC'!$AR$1:$BV$38),26,0),0)</f>
        <v>17.035714285714285</v>
      </c>
      <c r="CL51" s="54" cm="1">
        <f t="array" ref="CL51">IFERROR(VLOOKUP($A51,TRANSPOSE('[1]Fur 2 PLC'!$AR$1:$BV$38),27,0),0)</f>
        <v>525.75</v>
      </c>
      <c r="CM51" s="54" cm="1">
        <f t="array" ref="CM51">IFERROR(VLOOKUP($A51,TRANSPOSE('[1]Fur 2 PLC'!$AR$1:$BV$38),22,0),0)</f>
        <v>0</v>
      </c>
      <c r="CN51" s="54"/>
      <c r="CO51" s="54" cm="1">
        <f t="array" ref="CO51">IFERROR(VLOOKUP($A51,TRANSPOSE('[1]Fur 2 PLC'!$AR$1:$BV$38),29,0),0)</f>
        <v>10.428571428571427</v>
      </c>
      <c r="CP51" s="54" cm="1">
        <f t="array" ref="CP51">IFERROR(VLOOKUP($A51,TRANSPOSE('[1]Fur 2 PLC'!$AR$1:$BV$38),10,0),0)</f>
        <v>0</v>
      </c>
      <c r="CQ51" s="54" cm="1">
        <f t="array" ref="CQ51">IFERROR(VLOOKUP($A51,TRANSPOSE('[1]Fur 2 PLC'!$AR$1:$BV$38),7,0),0)</f>
        <v>194.10714285714283</v>
      </c>
      <c r="CR51" s="54" cm="1">
        <f t="array" ref="CR51">IFERROR(VLOOKUP($A51,TRANSPOSE('[1]Fur 2 PLC'!$AR$1:$BV$38),35,0),0)</f>
        <v>0</v>
      </c>
      <c r="CS51" s="54" cm="1">
        <f t="array" ref="CS51">IFERROR(VLOOKUP($A51,TRANSPOSE('[1]Fur 2 PLC'!$AR$1:$BV$38),11,0),0)</f>
        <v>811.21428571428567</v>
      </c>
      <c r="CT51" s="54" cm="1">
        <f t="array" ref="CT51">IFERROR(VLOOKUP($A51,TRANSPOSE('[1]Fur 2 PLC'!$AR$1:$BV$38),19,0),0)</f>
        <v>0</v>
      </c>
      <c r="CU51" s="54" cm="1">
        <f t="array" ref="CU51">IFERROR(VLOOKUP($A51,TRANSPOSE('[1]Fur 2 PLC'!$AR$1:$BV$38),18,0),0)</f>
        <v>0</v>
      </c>
      <c r="CV51" s="54" cm="1">
        <f t="array" ref="CV51">IFERROR(VLOOKUP($A51,TRANSPOSE('[1]Fur 2 PLC'!$AR$1:$BV$38),15,0),0)</f>
        <v>371.28571428571433</v>
      </c>
      <c r="CW51" s="54" cm="1">
        <f t="array" ref="CW51">IFERROR(VLOOKUP($A51,TRANSPOSE('[1]Fur 2 PLC'!$CI$1:$DM$38),8,0),0)</f>
        <v>0</v>
      </c>
      <c r="CX51" s="54" cm="1">
        <f t="array" ref="CX51">IFERROR(VLOOKUP($A51,TRANSPOSE('[1]Fur 2 PLC'!$CI$1:$DM$38),30,0),0)</f>
        <v>0</v>
      </c>
      <c r="CY51" s="54" cm="1">
        <f t="array" ref="CY51">IFERROR(VLOOKUP($A51,TRANSPOSE('[1]Fur 2 PLC'!$CI$1:$DM$38),14,0),0)</f>
        <v>0</v>
      </c>
      <c r="CZ51" s="54" cm="1">
        <f t="array" ref="CZ51">IFERROR(VLOOKUP($A51,TRANSPOSE('[1]Fur 2 PLC'!$CI$1:$DM$38),16,0),0)</f>
        <v>0</v>
      </c>
      <c r="DA51" s="54" cm="1">
        <f t="array" ref="DA51">IFERROR(VLOOKUP($A51,TRANSPOSE('[1]Fur 2 PLC'!$CI$1:$DM$38),9,0),0)</f>
        <v>224.3235294117647</v>
      </c>
      <c r="DB51" s="55" cm="1">
        <f t="array" ref="DB51">IFERROR(VLOOKUP($A51,TRANSPOSE('[1]Fur 2 PLC'!$CI$1:$DM$38),17,0),0)</f>
        <v>176.57352941176472</v>
      </c>
      <c r="DC51" s="55" cm="1">
        <f t="array" ref="DC51">IFERROR(VLOOKUP($A51,TRANSPOSE('[1]Fur 2 PLC'!$CI$1:$DM$38),20,0),0)</f>
        <v>0</v>
      </c>
      <c r="DD51" s="54" cm="1">
        <f t="array" ref="DD51">IFERROR(VLOOKUP($A51,TRANSPOSE('[1]Fur 2 PLC'!$CI$1:$DM$38),28,0),0)</f>
        <v>56.985294117647058</v>
      </c>
      <c r="DE51" s="54" cm="1">
        <f t="array" ref="DE51">IFERROR(VLOOKUP($A51,TRANSPOSE('[1]Fur 2 PLC'!$CI$1:$DM$38),13,0),0)</f>
        <v>0</v>
      </c>
      <c r="DF51" s="54" cm="1">
        <f t="array" ref="DF51">IFERROR(VLOOKUP($A51,TRANSPOSE('[1]Fur 2 PLC'!$CI$1:$DM$38),37,0),0)</f>
        <v>289.98529411764707</v>
      </c>
      <c r="DG51" s="54" cm="1">
        <f t="array" ref="DG51">IFERROR(VLOOKUP($A51,TRANSPOSE('[1]Fur 2 PLC'!$CI$1:$DM$38),6,0),0)</f>
        <v>0</v>
      </c>
      <c r="DH51" s="54" cm="1">
        <f t="array" ref="DH51">IFERROR(VLOOKUP($A51,TRANSPOSE('[1]Fur 2 PLC'!$CI$1:$DM$38),21,0),0)</f>
        <v>0</v>
      </c>
      <c r="DI51" s="54" cm="1">
        <f t="array" ref="DI51">IFERROR(VLOOKUP($A51,TRANSPOSE('[1]Fur 2 PLC'!$CI$1:$DM$38),12,0),0)</f>
        <v>0</v>
      </c>
      <c r="DJ51" s="54" cm="1">
        <f t="array" ref="DJ51">IFERROR(VLOOKUP($A51,TRANSPOSE('[1]Fur 2 PLC'!$CI$1:$DM$38),25,0),0)</f>
        <v>0</v>
      </c>
      <c r="DK51" s="54" cm="1">
        <f t="array" ref="DK51">IFERROR(VLOOKUP($A51,TRANSPOSE('[1]Fur 2 PLC'!$CI$1:$DM$38),26,0),0)</f>
        <v>7.0147058823529411</v>
      </c>
      <c r="DL51" s="54" cm="1">
        <f t="array" ref="DL51">IFERROR(VLOOKUP($A51,TRANSPOSE('[1]Fur 2 PLC'!$CI$1:$DM$38),27,0),0)</f>
        <v>216.48529411764704</v>
      </c>
      <c r="DM51" s="54" cm="1">
        <f t="array" ref="DM51">IFERROR(VLOOKUP($A51,TRANSPOSE('[1]Fur 2 PLC'!$CI$1:$DM$38),22,0),0)</f>
        <v>0</v>
      </c>
      <c r="DN51" s="54" cm="1">
        <f t="array" ref="DN51">IFERROR(VLOOKUP($A51,TRANSPOSE('[1]Fur 2 PLC'!$CI$1:$DM$38),19,0),0)</f>
        <v>0</v>
      </c>
      <c r="DO51" s="54" cm="1">
        <f t="array" ref="DO51">IFERROR(VLOOKUP($A51,TRANSPOSE('[1]Fur 2 PLC'!$CI$1:$DM$38),29,0),0)</f>
        <v>4.2941176470588234</v>
      </c>
      <c r="DP51" s="54" cm="1">
        <f t="array" ref="DP51">IFERROR(VLOOKUP($A51,TRANSPOSE('[1]Fur 2 PLC'!$CI$1:$DM$38),10,0),0)</f>
        <v>0</v>
      </c>
      <c r="DQ51" s="54" cm="1">
        <f t="array" ref="DQ51">IFERROR(VLOOKUP($A51,TRANSPOSE('[1]Fur 2 PLC'!$CI$1:$DM$38),7,0),0)</f>
        <v>79.92647058823529</v>
      </c>
      <c r="DR51" s="54" cm="1">
        <f t="array" ref="DR51">IFERROR(VLOOKUP($A51,TRANSPOSE('[1]Fur 2 PLC'!$CI$1:$DM$38),35,0),0)</f>
        <v>0</v>
      </c>
      <c r="DS51" s="54" cm="1">
        <f t="array" ref="DS51">IFERROR(VLOOKUP($A51,TRANSPOSE('[1]Fur 2 PLC'!$CI$1:$DM$38),11,0),0)</f>
        <v>334.02941176470586</v>
      </c>
      <c r="DT51" s="54" cm="1">
        <f t="array" ref="DT51">IFERROR(VLOOKUP($A51,TRANSPOSE('[1]Fur 2 PLC'!$CI$1:$DM$38),19,0),0)</f>
        <v>0</v>
      </c>
      <c r="DU51" s="54" cm="1">
        <f t="array" ref="DU51">IFERROR(VLOOKUP($A51,TRANSPOSE('[1]Fur 2 PLC'!$CI$1:$DM$38),18,0),0)</f>
        <v>0</v>
      </c>
      <c r="DV51" s="54" cm="1">
        <f t="array" ref="DV51">IFERROR(VLOOKUP($A51,TRANSPOSE('[1]Fur 2 PLC'!$CI$1:$DM$38),15,0),0)</f>
        <v>152.88235294117646</v>
      </c>
      <c r="DW51" t="str">
        <f t="shared" ref="DW51:DW53" si="61">TEXT(C51,"Mmm-yy")</f>
        <v>Dec-25</v>
      </c>
    </row>
    <row r="52" spans="1:127" x14ac:dyDescent="0.3">
      <c r="A52" s="28" t="str">
        <f t="shared" si="59"/>
        <v>F346004</v>
      </c>
      <c r="B52" s="29" t="s">
        <v>28</v>
      </c>
      <c r="C52" s="30">
        <f>C51</f>
        <v>46004</v>
      </c>
      <c r="D52" s="29" t="str">
        <f>VLOOKUP($B52&amp;$C52,'[1]FC3 Prod'!$A$6:$BP$36,[2]Consolidated!D$1)</f>
        <v>Mr. Ajay Singh</v>
      </c>
      <c r="E52" s="29">
        <f>VLOOKUP($B52&amp;$C52,'[1]FC3 Prod'!$A$6:$BP$36,[2]Consolidated!E$1)</f>
        <v>34.220000000000006</v>
      </c>
      <c r="F52" s="31">
        <f>VLOOKUP($B52&amp;$C52,'[1]FC3 Prod'!$A$6:$BP$36,[2]Consolidated!F$1)</f>
        <v>0.19999999999999574</v>
      </c>
      <c r="G52" s="32">
        <f>VLOOKUP($B52&amp;$C52,'[1]FC3 Prod'!$A$6:$BP$36,[2]Consolidated!G$1)</f>
        <v>34.42</v>
      </c>
      <c r="H52" s="32">
        <f>VLOOKUP($B52&amp;$C52,'[1]FC3 Prod'!$A$6:$BP$36,[2]Consolidated!H$1)</f>
        <v>26.42</v>
      </c>
      <c r="I52" s="32">
        <f>VLOOKUP($B52&amp;$C52,'[1]FC3 Prod'!$A$6:$BP$36,[2]Consolidated!I$1)</f>
        <v>10.09</v>
      </c>
      <c r="J52" s="32">
        <f>VLOOKUP($B52&amp;$C52,'[1]FC3 Prod'!$A$6:$BP$36,[2]Consolidated!J$1)</f>
        <v>39.08</v>
      </c>
      <c r="K52" s="32">
        <f>VLOOKUP($B52&amp;$C52,'[1]FC3 Prod'!$A$6:$BP$36,[2]Consolidated!K$1)</f>
        <v>1.3</v>
      </c>
      <c r="L52" s="32">
        <f>VLOOKUP($B52&amp;$C52,'[1]FC3 Prod'!$A$6:$BP$36,[2]Consolidated!L$1)</f>
        <v>25.62</v>
      </c>
      <c r="M52" s="32">
        <f>VLOOKUP($B52&amp;$C52,'[1]FC3 Prod'!$A$6:$BP$36,[2]Consolidated!M$1)</f>
        <v>5.12</v>
      </c>
      <c r="N52" s="32">
        <f>VLOOKUP($B52&amp;$C52,'[1]FC3 Prod'!$A$6:$BP$36,[2]Consolidated!N$1)</f>
        <v>15.62</v>
      </c>
      <c r="O52" s="32">
        <f>VLOOKUP($B52&amp;$C52,'[1]FC3 Prod'!$A$6:$BP$36,[2]Consolidated!O$1)</f>
        <v>0.79</v>
      </c>
      <c r="P52" s="33">
        <f>VLOOKUP($B52&amp;$C52,'[1]FC3 Prod'!$A$6:$BP$36,[2]Consolidated!P$1)</f>
        <v>8</v>
      </c>
      <c r="Q52" s="29">
        <f>VLOOKUP($B52&amp;$C52,'[1]FC3 Prod'!$A$6:$BP$36,[2]Consolidated!Q$1)</f>
        <v>69.494</v>
      </c>
      <c r="R52" s="29">
        <f>VLOOKUP($B52&amp;$C52,'[1]FC3 Prod'!$A$6:$BP$36,[2]Consolidated!R$1)</f>
        <v>23.096999999999998</v>
      </c>
      <c r="S52" s="34">
        <f>VLOOKUP($B52&amp;$C52,'[1]FC3 Prod'!$A$6:$BP$36,[2]Consolidated!S$1)</f>
        <v>32</v>
      </c>
      <c r="T52" s="34">
        <f>VLOOKUP($B52&amp;$C52,'[1]FC3 Prod'!$A$6:$BP$36,[2]Consolidated!T$1)</f>
        <v>18</v>
      </c>
      <c r="U52" s="34">
        <f>VLOOKUP($B52&amp;$C52,'[1]FC3 Prod'!$A$6:$BP$36,[2]Consolidated!U$1)</f>
        <v>16</v>
      </c>
      <c r="V52" s="34">
        <f>VLOOKUP($B52&amp;$C52,'[1]FC3 Prod'!$A$6:$BP$36,[2]Consolidated!V$1)</f>
        <v>66</v>
      </c>
      <c r="W52" s="35">
        <f>VLOOKUP($B52&amp;$C52,'[1]FC3 Prod'!$A$6:$BP$36,[2]Consolidated!W$1)</f>
        <v>2.0308007013442428</v>
      </c>
      <c r="X52" s="35">
        <f>VLOOKUP($B52&amp;$C52,'[1]FC3 Prod'!$A$6:$BP$36,[2]Consolidated!X$1)</f>
        <v>35.484999999999999</v>
      </c>
      <c r="Y52" s="36">
        <f>VLOOKUP($B52&amp;$C52,'[1]FC3 Prod'!$A$6:$BP$36,[2]Consolidated!Y$1)</f>
        <v>0.96435113428209118</v>
      </c>
      <c r="Z52" s="37" t="str">
        <f>VLOOKUP($B52&amp;$C52,'[1]FC3 Prod'!$A$6:$BP$36,[2]Consolidated!Z$1)</f>
        <v>60/15</v>
      </c>
      <c r="AA52" s="31">
        <f>VLOOKUP($B52&amp;$C52,'[1]FC3 Prod'!$A$6:$BP$36,[2]Consolidated!AA$1)</f>
        <v>59.830375000000004</v>
      </c>
      <c r="AB52" s="31">
        <f>VLOOKUP($B52&amp;$C52,'[1]FC3 Prod'!$A$6:$BP$36,[2]Consolidated!AB$1)</f>
        <v>14.497499999999999</v>
      </c>
      <c r="AC52" s="31" t="e">
        <f>VLOOKUP($B52&amp;$C52,'[1]FC3 Prod'!$A$6:$BP$36,[2]Consolidated!AC$1)</f>
        <v>#REF!</v>
      </c>
      <c r="AD52" s="38">
        <f>VLOOKUP($B52&amp;$C52,'[1]FC3 Prod'!$A$6:$BP$36,[2]Consolidated!AD$1)</f>
        <v>738.44949836352998</v>
      </c>
      <c r="AE52" s="38">
        <f>VLOOKUP($B52&amp;$C52,'[1]FC3 Prod'!$A$6:$BP$36,[2]Consolidated!AE$1)</f>
        <v>661.48607867913495</v>
      </c>
      <c r="AF52" s="39">
        <f>VLOOKUP($B52&amp;$C52,'[1]FC3 Prod'!$A$6:$BP$36,[2]Consolidated!AF$1)</f>
        <v>0.81021620479923762</v>
      </c>
      <c r="AG52" s="39">
        <f>VLOOKUP($B52&amp;$C52,'[1]FC3 Prod'!$A$6:$BP$36,[2]Consolidated!AG$1)</f>
        <v>0.90448426548099348</v>
      </c>
      <c r="AH52" s="34">
        <f>VLOOKUP($B52&amp;$C52,'[1]FC3 Prod'!$A$6:$BP$36,[2]Consolidated!AH$1)</f>
        <v>439.39158386908241</v>
      </c>
      <c r="AI52" s="33">
        <f>VLOOKUP($B52&amp;$C52,'[1]FC3 Prod'!$A$6:$BP$36,[2]Consolidated!AI$1)</f>
        <v>394.45629018118052</v>
      </c>
      <c r="AJ52" s="39">
        <f>VLOOKUP($B52&amp;$C52,'[1]FC3 Prod'!$A$6:$BP$36,[2]Consolidated!AJ$1)</f>
        <v>0.49264372494221215</v>
      </c>
      <c r="AK52" s="39">
        <f>VLOOKUP($B52&amp;$C52,'[1]FC3 Prod'!$A$6:$BP$36,[2]Consolidated!AK$1)</f>
        <v>0.44998665041340763</v>
      </c>
      <c r="AL52" s="40" t="str">
        <f>VLOOKUP($B52&amp;$C52,'[1]FC3 Prod'!$A$6:$BP$36,[2]Consolidated!AL$1)</f>
        <v>25/50</v>
      </c>
      <c r="AM52" s="41">
        <f>VLOOKUP($B52&amp;$C52,'[1]FC3 Prod'!$A$6:$BP$36,[2]Consolidated!AM$1)</f>
        <v>3.506721215663354E-2</v>
      </c>
      <c r="AN52" s="42">
        <f>VLOOKUP($B52&amp;$C52,'[1]FC3 Prod'!$A$6:$BP$36,[2]Consolidated!AN$1)</f>
        <v>135.4</v>
      </c>
      <c r="AO52" s="43">
        <f>VLOOKUP($B52&amp;$C52,'[1]FC3 Prod'!$A$6:$BP$36,[2]Consolidated!AO$1)</f>
        <v>5.7629999999999999</v>
      </c>
      <c r="AP52" s="44">
        <f>VLOOKUP($B52&amp;$C52,'[1]FC3 Prod'!$A$6:$BP$36,[2]Consolidated!AP$1)</f>
        <v>4.1251607247223845</v>
      </c>
      <c r="AQ52" s="44">
        <f>VLOOKUP($B52&amp;$C52,'[1]FC3 Prod'!$A$6:$BP$36,[2]Consolidated!AQ$1)</f>
        <v>29.823522545981557</v>
      </c>
      <c r="AR52" s="45">
        <f>VLOOKUP($B52&amp;$C52,'[1]FC3 Prod'!$A$6:$BP$36,[2]Consolidated!AR$1)</f>
        <v>0.92486338797814227</v>
      </c>
      <c r="AS52" s="46">
        <f>VLOOKUP($B52&amp;$C52,'[1]FC3 Prod'!$A$6:$BP$36,[2]Consolidated!AS$1)</f>
        <v>2.1</v>
      </c>
      <c r="AT52" s="29">
        <f>VLOOKUP($B52&amp;$C52,'[1]FC3 Prod'!$A$6:$BP$36,[2]Consolidated!AT$1)</f>
        <v>0.79704808526290438</v>
      </c>
      <c r="AU52" s="34">
        <f>VLOOKUP($B52&amp;$C52,'[1]FC3 Prod'!$A$6:$BP$36,[2]Consolidated!AU$1)</f>
        <v>510.71296296296299</v>
      </c>
      <c r="AV52" s="34">
        <f>VLOOKUP($B52&amp;$C52,'[1]FC3 Prod'!$A$6:$BP$36,[2]Consolidated!AV$1)</f>
        <v>283.33333333333331</v>
      </c>
      <c r="AW52" s="47">
        <f>VLOOKUP($B52&amp;$C52,'[1]FC3 Prod'!$A$6:$BP$36,[2]Consolidated!AW$1)</f>
        <v>28868.576855639974</v>
      </c>
      <c r="AX52" s="47">
        <f>VLOOKUP($B52&amp;$C52,'[1]FC3 Prod'!$A$6:$BP$36,[2]Consolidated!AX$1)</f>
        <v>10038.709526592635</v>
      </c>
      <c r="AY52" s="48">
        <f>VLOOKUP($B52&amp;$C52,'[1]FC3 Prod'!$A$6:$BP$36,[2]Consolidated!AY$1)</f>
        <v>856.07831677381637</v>
      </c>
      <c r="AZ52" s="47">
        <f>VLOOKUP($B52&amp;$C52,'[1]FC3 Prod'!$A$6:$BP$36,[2]Consolidated!AZ$1)</f>
        <v>1905.2001753360605</v>
      </c>
      <c r="BA52" s="47">
        <f>VLOOKUP($B52&amp;$C52,'[1]FC3 Prod'!$A$6:$BP$36,[2]Consolidated!BA$1)</f>
        <v>24132.19023962595</v>
      </c>
      <c r="BB52" s="47">
        <f>VLOOKUP($B52&amp;$C52,'[1]FC3 Prod'!$A$6:$BP$36,[2]Consolidated!BB$1)</f>
        <v>658.00755113968432</v>
      </c>
      <c r="BC52" s="47">
        <f>VLOOKUP($B52&amp;$C52,'[1]FC3 Prod'!$A$6:$BP$36,[2]Consolidated!BC$1)</f>
        <v>7837.8053769725302</v>
      </c>
      <c r="BD52" s="49">
        <f>VLOOKUP($B52&amp;$C52,'[1]FC3 Prod'!$A$6:$BP$36,[2]Consolidated!BD$1)</f>
        <v>74296.568042080646</v>
      </c>
      <c r="BE52" s="47">
        <f>VLOOKUP($B52&amp;$C52,'[1]FC3 Prod'!$A$6:$BP$36,[2]Consolidated!BE$1)</f>
        <v>25705.602425482171</v>
      </c>
      <c r="BF52" s="47">
        <f>VLOOKUP($B52&amp;$C52,'[1]FC3 Prod'!$A$6:$BP$36,[2]Consolidated!BF$1)</f>
        <v>8876.1658094681461</v>
      </c>
      <c r="BG52" s="50">
        <f>VLOOKUP($B52&amp;$C52,'[1]FC3 Prod'!$A$6:$BP$36,[2]Consolidated!BG$1)</f>
        <v>1352.9193454120395</v>
      </c>
      <c r="BH52" s="50">
        <f>VLOOKUP($B52&amp;$C52,'[1]FC3 Prod'!$A$6:$BP$36,[2]Consolidated!BH$1)</f>
        <v>619.72077995324366</v>
      </c>
      <c r="BI52" s="50">
        <f>VLOOKUP($B52&amp;$C52,'[1]FC3 Prod'!$A$6:$BP$36,[2]Consolidated!BI$1)</f>
        <v>70429.604152250133</v>
      </c>
      <c r="BJ52" s="37" t="e">
        <f>VLOOKUP($B52&amp;$C52,'[1]FC3 Prod'!$A$6:$BP$36,[2]Consolidated!BJ$1)</f>
        <v>#REF!</v>
      </c>
      <c r="BK52" s="37" t="e">
        <f>VLOOKUP($B52&amp;$C52,'[1]FC3 Prod'!$A$6:$BP$36,[2]Consolidated!BK$1)</f>
        <v>#REF!</v>
      </c>
      <c r="BL52" s="37">
        <f>VLOOKUP($B52&amp;$C52,'[1]FC3 Prod'!$A$6:$BP$36,[2]Consolidated!BL$1)</f>
        <v>10</v>
      </c>
      <c r="BM52" s="37" t="e">
        <f>VLOOKUP($B52&amp;$C52,'[1]FC3 Prod'!$A$6:$BP$36,[2]Consolidated!BM$1)</f>
        <v>#REF!</v>
      </c>
      <c r="BN52" s="37">
        <f>VLOOKUP($B52&amp;$C52,'[1]FC3 Prod'!$A$6:$BP$36,[2]Consolidated!BN$1)</f>
        <v>75</v>
      </c>
      <c r="BO52" s="37">
        <f>VLOOKUP($B52&amp;$C52,'[1]FC3 Prod'!$A$6:$BP$36,[2]Consolidated!BO$1)</f>
        <v>85</v>
      </c>
      <c r="BP52" s="37" t="str">
        <f>VLOOKUP($B52&amp;$C52,'[1]FC3 Prod'!$A$6:$BP$36,[2]Consolidated!BP$1)</f>
        <v>Power grids supply failure and Electrode Lengths Measurment</v>
      </c>
      <c r="BQ52" s="51" t="e">
        <f>VLOOKUP($B52&amp;$C52,'[1]FC3 Prod'!$A$6:$BP$36,[2]Consolidated!BQ$1)</f>
        <v>#REF!</v>
      </c>
      <c r="BR52" s="51">
        <f>VLOOKUP($B52&amp;$C52,'[1]FC3 Prod'!$A$6:$BQ$36,[2]Consolidated!BR$1)</f>
        <v>60369</v>
      </c>
      <c r="BS52" s="52">
        <f t="shared" si="60"/>
        <v>60066.877819988309</v>
      </c>
      <c r="BT52" s="32">
        <f t="shared" ref="BT52:BT53" si="62">BR52-BS52</f>
        <v>302.12218001169094</v>
      </c>
      <c r="BU52" s="37">
        <f t="shared" ref="BU52:BU53" si="63">E52*BT52</f>
        <v>10338.621000000066</v>
      </c>
      <c r="BV52" s="53" t="s">
        <v>131</v>
      </c>
      <c r="BW52" s="54" cm="1">
        <f t="array" ref="BW52">IFERROR(VLOOKUP($A52,TRANSPOSE('[1]Fur 3 PLC'!$AS$1:$BX$38),8,0),0)</f>
        <v>852.3962594973699</v>
      </c>
      <c r="BX52" s="54" cm="1">
        <f t="array" ref="BX52">IFERROR(VLOOKUP($A52,TRANSPOSE('[1]Fur 3 PLC'!$AS$1:$BX$38),30,0),0)</f>
        <v>0</v>
      </c>
      <c r="BY52" s="54" cm="1">
        <f t="array" ref="BY52">IFERROR(VLOOKUP($A52,TRANSPOSE('[1]Fur 3 PLC'!$AS$1:$BX$38),14,0),0)</f>
        <v>0</v>
      </c>
      <c r="BZ52" s="54" cm="1">
        <f t="array" ref="BZ52">IFERROR(VLOOKUP($A52,TRANSPOSE('[1]Fur 3 PLC'!$AS$1:$BX$38),16,0),0)</f>
        <v>0</v>
      </c>
      <c r="CA52" s="54" cm="1">
        <f t="array" ref="CA52">IFERROR(VLOOKUP($A52,TRANSPOSE('[1]Fur 3 PLC'!$AS$1:$BX$38),9,0),0)</f>
        <v>393.89246054938627</v>
      </c>
      <c r="CB52" s="54" cm="1">
        <f t="array" ref="CB52">IFERROR(VLOOKUP($A52,TRANSPOSE('[1]Fur 3 PLC'!$AS$1:$BX$38),17,0),0)</f>
        <v>0</v>
      </c>
      <c r="CC52" s="54" cm="1">
        <f t="array" ref="CC52">IFERROR(VLOOKUP($A52,TRANSPOSE('[1]Fur 3 PLC'!$AS$1:$BX$38),20,0),0)</f>
        <v>46.960841613091745</v>
      </c>
      <c r="CD52" s="54" cm="1">
        <f t="array" ref="CD52">IFERROR(VLOOKUP($A52,TRANSPOSE('[1]Fur 3 PLC'!$AS$1:$BX$38),28,0),0)</f>
        <v>0</v>
      </c>
      <c r="CE52" s="54" cm="1">
        <f t="array" ref="CE52">IFERROR(VLOOKUP($A52,TRANSPOSE('[1]Fur 3 PLC'!$AS$1:$BX$38),13,0),0)</f>
        <v>0</v>
      </c>
      <c r="CF52" s="54" cm="1">
        <f t="array" ref="CF52">IFERROR(VLOOKUP($A52,TRANSPOSE('[1]Fur 3 PLC'!$AS$1:$BX$38),37,0),0)</f>
        <v>376.00818234950316</v>
      </c>
      <c r="CG52" s="54" cm="1">
        <f t="array" ref="CG52">IFERROR(VLOOKUP($A52,TRANSPOSE('[1]Fur 3 PLC'!$AS$1:$BX$38),6,0),0)</f>
        <v>0</v>
      </c>
      <c r="CH52" s="54" cm="1">
        <f t="array" ref="CH52">IFERROR(VLOOKUP($A52,TRANSPOSE('[1]Fur 3 PLC'!$AS$1:$BX$38),21,0),0)</f>
        <v>0</v>
      </c>
      <c r="CI52" s="54" cm="1">
        <f t="array" ref="CI52">IFERROR(VLOOKUP($A52,TRANSPOSE('[1]Fur 3 PLC'!$AS$1:$BX$38),12,0),0)</f>
        <v>0</v>
      </c>
      <c r="CJ52" s="54" cm="1">
        <f t="array" ref="CJ52">IFERROR(VLOOKUP($A52,TRANSPOSE('[1]Fur 3 PLC'!$AS$1:$BX$38),25,0),0)</f>
        <v>0</v>
      </c>
      <c r="CK52" s="54" cm="1">
        <f t="array" ref="CK52">IFERROR(VLOOKUP($A52,TRANSPOSE('[1]Fur 3 PLC'!$AS$1:$BX$38),26,0),0)</f>
        <v>418.4979544126241</v>
      </c>
      <c r="CL52" s="54" cm="1">
        <f t="array" ref="CL52">IFERROR(VLOOKUP($A52,TRANSPOSE('[1]Fur 3 PLC'!$AS$1:$BX$38),27,0),0)</f>
        <v>120.13442431326708</v>
      </c>
      <c r="CM52" s="54" cm="1">
        <f t="array" ref="CM52">IFERROR(VLOOKUP($A52,TRANSPOSE('[1]Fur 3 PLC'!$AS$1:$BX$38),22,0),0)</f>
        <v>0</v>
      </c>
      <c r="CN52" s="54"/>
      <c r="CO52" s="54" cm="1">
        <f t="array" ref="CO52">IFERROR(VLOOKUP($A52,TRANSPOSE('[1]Fur 3 PLC'!$AS$1:$BX$38),29,0),0)</f>
        <v>136.32378725891289</v>
      </c>
      <c r="CP52" s="54" cm="1">
        <f t="array" ref="CP52">IFERROR(VLOOKUP($A52,TRANSPOSE('[1]Fur 3 PLC'!$AS$1:$BX$38),10,0),0)</f>
        <v>0</v>
      </c>
      <c r="CQ52" s="54" cm="1">
        <f t="array" ref="CQ52">IFERROR(VLOOKUP($A52,TRANSPOSE('[1]Fur 3 PLC'!$AS$1:$BX$38),7,0),0)</f>
        <v>187.20046756282872</v>
      </c>
      <c r="CR52" s="54" cm="1">
        <f t="array" ref="CR52">IFERROR(VLOOKUP($A52,TRANSPOSE('[1]Fur 3 PLC'!$AS$1:$BX$38),35,0),0)</f>
        <v>140.70718877849208</v>
      </c>
      <c r="CS52" s="54" cm="1">
        <f t="array" ref="CS52">IFERROR(VLOOKUP($A52,TRANSPOSE('[1]Fur 3 PLC'!$AS$1:$BX$38),11,0),0)</f>
        <v>0</v>
      </c>
      <c r="CT52" s="54" cm="1">
        <f t="array" ref="CT52">IFERROR(VLOOKUP($A52,TRANSPOSE('[1]Fur 3 PLC'!$AS$1:$BX$38),19,0),0)</f>
        <v>0</v>
      </c>
      <c r="CU52" s="54" cm="1">
        <f t="array" ref="CU52">IFERROR(VLOOKUP($A52,TRANSPOSE('[1]Fur 3 PLC'!$AS$1:$BX$38),18,0),0)</f>
        <v>371.71244886031559</v>
      </c>
      <c r="CV52" s="54" cm="1">
        <f t="array" ref="CV52">IFERROR(VLOOKUP($A52,TRANSPOSE('[1]Fur 3 PLC'!$AR$1:$BV$38),15,0),0)</f>
        <v>365.83869082407944</v>
      </c>
      <c r="CW52" s="54" cm="1">
        <f t="array" ref="CW52">IFERROR(VLOOKUP($A52,TRANSPOSE('[1]Fur 3 PLC'!$CK$1:$DO$38),8,0),0)</f>
        <v>441.9545454545455</v>
      </c>
      <c r="CX52" s="54" cm="1">
        <f t="array" ref="CX52">IFERROR(VLOOKUP($A52,TRANSPOSE('[1]Fur 3 PLC'!$CK$1:$DO$38),30,0),0)</f>
        <v>0</v>
      </c>
      <c r="CY52" s="54" cm="1">
        <f t="array" ref="CY52">IFERROR(VLOOKUP($A52,TRANSPOSE('[1]Fur 3 PLC'!$CK$1:$DO$38),14,0),0)</f>
        <v>0</v>
      </c>
      <c r="CZ52" s="54" cm="1">
        <f t="array" ref="CZ52">IFERROR(VLOOKUP($A52,TRANSPOSE('[1]Fur 3 PLC'!$CK$1:$DO$38),16,0),0)</f>
        <v>0</v>
      </c>
      <c r="DA52" s="54" cm="1">
        <f t="array" ref="DA52">IFERROR(VLOOKUP($A52,TRANSPOSE('[1]Fur 3 PLC'!$CK$1:$DO$38),9,0),0)</f>
        <v>204.22727272727269</v>
      </c>
      <c r="DB52" s="55" cm="1">
        <f t="array" ref="DB52">IFERROR(VLOOKUP($A52,TRANSPOSE('[1]Fur 3 PLC'!$CK$1:$DO$38),17,0),0)</f>
        <v>0</v>
      </c>
      <c r="DC52" s="55" cm="1">
        <f t="array" ref="DC52">IFERROR(VLOOKUP($A52,TRANSPOSE('[1]Fur 3 PLC'!$CK$1:$DO$38),20,0),0)</f>
        <v>24.348484848484848</v>
      </c>
      <c r="DD52" s="54" cm="1">
        <f t="array" ref="DD52">IFERROR(VLOOKUP($A52,TRANSPOSE('[1]Fur 3 PLC'!$CK$1:$DO$38),28,0),0)</f>
        <v>0</v>
      </c>
      <c r="DE52" s="54" cm="1">
        <f t="array" ref="DE52">IFERROR(VLOOKUP($A52,TRANSPOSE('[1]Fur 3 PLC'!$CK$1:$DO$38),13,0),0)</f>
        <v>0</v>
      </c>
      <c r="DF52" s="54" cm="1">
        <f t="array" ref="DF52">IFERROR(VLOOKUP($A52,TRANSPOSE('[1]Fur 3 PLC'!$CK$1:$DO$38),37,0),0)</f>
        <v>194.95454545454547</v>
      </c>
      <c r="DG52" s="54" cm="1">
        <f t="array" ref="DG52">IFERROR(VLOOKUP($A52,TRANSPOSE('[1]Fur 3 PLC'!$CK$1:$DO$38),6,0),0)</f>
        <v>0</v>
      </c>
      <c r="DH52" s="54" cm="1">
        <f t="array" ref="DH52">IFERROR(VLOOKUP($A52,TRANSPOSE('[1]Fur 3 PLC'!$CK$1:$DO$38),21,0),0)</f>
        <v>0</v>
      </c>
      <c r="DI52" s="54" cm="1">
        <f t="array" ref="DI52">IFERROR(VLOOKUP($A52,TRANSPOSE('[1]Fur 3 PLC'!$CK$1:$DO$38),12,0),0)</f>
        <v>0</v>
      </c>
      <c r="DJ52" s="54" cm="1">
        <f t="array" ref="DJ52">IFERROR(VLOOKUP($A52,TRANSPOSE('[1]Fur 3 PLC'!$CK$1:$DO$38),25,0),0)</f>
        <v>0</v>
      </c>
      <c r="DK52" s="54" cm="1">
        <f t="array" ref="DK52">IFERROR(VLOOKUP($A52,TRANSPOSE('[1]Fur 3 PLC'!$CK$1:$DO$38),26,0),0)</f>
        <v>216.98484848484847</v>
      </c>
      <c r="DL52" s="54" cm="1">
        <f t="array" ref="DL52">IFERROR(VLOOKUP($A52,TRANSPOSE('[1]Fur 3 PLC'!$CK$1:$DO$38),27,0),0)</f>
        <v>62.287878787878782</v>
      </c>
      <c r="DM52" s="54" cm="1">
        <f t="array" ref="DM52">IFERROR(VLOOKUP($A52,TRANSPOSE('[1]Fur 3 PLC'!$CK$1:$DO$38),22,0),0)</f>
        <v>0</v>
      </c>
      <c r="DN52" s="54" cm="1">
        <f t="array" ref="DN52">IFERROR(VLOOKUP($A52,TRANSPOSE('[1]Fur 3 PLC'!$CK$1:$DO$38),19,0),0)</f>
        <v>0</v>
      </c>
      <c r="DO52" s="54" cm="1">
        <f t="array" ref="DO52">IFERROR(VLOOKUP($A52,TRANSPOSE('[1]Fur 3 PLC'!$CK$1:$DO$38),29,0),0)</f>
        <v>70.681818181818173</v>
      </c>
      <c r="DP52" s="54" cm="1">
        <f t="array" ref="DP52">IFERROR(VLOOKUP($A52,TRANSPOSE('[1]Fur 3 PLC'!$CK$1:$DO$38),10,0),0)</f>
        <v>0</v>
      </c>
      <c r="DQ52" s="54" cm="1">
        <f t="array" ref="DQ52">IFERROR(VLOOKUP($A52,TRANSPOSE('[1]Fur 3 PLC'!$CK$1:$DO$38),7,0),0)</f>
        <v>97.060606060606062</v>
      </c>
      <c r="DR52" s="54" cm="1">
        <f t="array" ref="DR52">IFERROR(VLOOKUP($A52,TRANSPOSE('[1]Fur 3 PLC'!$CK$1:$DO$38),35,0),0)</f>
        <v>72.954545454545467</v>
      </c>
      <c r="DS52" s="54" cm="1">
        <f t="array" ref="DS52">IFERROR(VLOOKUP($A52,TRANSPOSE('[1]Fur 3 PLC'!$CK$1:$DO$38),11,0),0)</f>
        <v>0</v>
      </c>
      <c r="DT52" s="54" cm="1">
        <f t="array" ref="DT52">IFERROR(VLOOKUP($A52,TRANSPOSE('[1]Fur 3 PLC'!$CK$1:$DO$38),19,0),0)</f>
        <v>0</v>
      </c>
      <c r="DU52" s="54" cm="1">
        <f t="array" ref="DU52">IFERROR(VLOOKUP($A52,TRANSPOSE('[1]Fur 3 PLC'!$CK$1:$DO$38),18,0),0)</f>
        <v>192.72727272727275</v>
      </c>
      <c r="DV52" s="54" cm="1">
        <f t="array" ref="DV52">IFERROR(VLOOKUP($A52,TRANSPOSE('[1]Fur 3 PLC'!$CK$1:$DO$38),15,0),0)</f>
        <v>189.68181818181819</v>
      </c>
      <c r="DW52" t="str">
        <f t="shared" si="61"/>
        <v>Dec-25</v>
      </c>
    </row>
    <row r="53" spans="1:127" x14ac:dyDescent="0.3">
      <c r="A53" s="28" t="str">
        <f t="shared" si="59"/>
        <v>F446004</v>
      </c>
      <c r="B53" s="29" t="s">
        <v>29</v>
      </c>
      <c r="C53" s="30">
        <f>C52</f>
        <v>46004</v>
      </c>
      <c r="D53" s="29" t="str">
        <f>VLOOKUP($B53&amp;$C53,'[1]FC4 Prod'!$A$6:$BP$36,[2]Consolidated!D$1)</f>
        <v>Mr.Ganesh Ghosh Ji</v>
      </c>
      <c r="E53" s="29">
        <f>VLOOKUP($B53&amp;$C53,'[1]FC4 Prod'!$A$6:$BP$36,[2]Consolidated!E$1)</f>
        <v>48.425000000000004</v>
      </c>
      <c r="F53" s="31">
        <f>VLOOKUP($B53&amp;$C53,'[1]FC4 Prod'!$A$6:$BP$36,[2]Consolidated!F$1)</f>
        <v>0.22999999999999687</v>
      </c>
      <c r="G53" s="32">
        <f>VLOOKUP($B53&amp;$C53,'[1]FC4 Prod'!$A$6:$BP$36,[2]Consolidated!G$1)</f>
        <v>48.655000000000001</v>
      </c>
      <c r="H53" s="32">
        <f>VLOOKUP($B53&amp;$C53,'[1]FC4 Prod'!$A$6:$BP$36,[2]Consolidated!H$1)</f>
        <v>20.049999999999997</v>
      </c>
      <c r="I53" s="32">
        <f>VLOOKUP($B53&amp;$C53,'[1]FC4 Prod'!$A$6:$BP$36,[2]Consolidated!I$1)</f>
        <v>9.85</v>
      </c>
      <c r="J53" s="32">
        <f>VLOOKUP($B53&amp;$C53,'[1]FC4 Prod'!$A$6:$BP$36,[2]Consolidated!J$1)</f>
        <v>39.880000000000003</v>
      </c>
      <c r="K53" s="32">
        <f>VLOOKUP($B53&amp;$C53,'[1]FC4 Prod'!$A$6:$BP$36,[2]Consolidated!K$1)</f>
        <v>1.34</v>
      </c>
      <c r="L53" s="32">
        <f>VLOOKUP($B53&amp;$C53,'[1]FC4 Prod'!$A$6:$BP$36,[2]Consolidated!L$1)</f>
        <v>22.58</v>
      </c>
      <c r="M53" s="32">
        <f>VLOOKUP($B53&amp;$C53,'[1]FC4 Prod'!$A$6:$BP$36,[2]Consolidated!M$1)</f>
        <v>4.6500000000000004</v>
      </c>
      <c r="N53" s="32">
        <f>VLOOKUP($B53&amp;$C53,'[1]FC4 Prod'!$A$6:$BP$36,[2]Consolidated!N$1)</f>
        <v>17.920000000000002</v>
      </c>
      <c r="O53" s="32">
        <f>VLOOKUP($B53&amp;$C53,'[1]FC4 Prod'!$A$6:$BP$36,[2]Consolidated!O$1)</f>
        <v>0.68</v>
      </c>
      <c r="P53" s="33">
        <f>VLOOKUP($B53&amp;$C53,'[1]FC4 Prod'!$A$6:$BP$36,[2]Consolidated!P$1)</f>
        <v>8</v>
      </c>
      <c r="Q53" s="29">
        <f>VLOOKUP($B53&amp;$C53,'[1]FC4 Prod'!$A$6:$BP$36,[2]Consolidated!Q$1)</f>
        <v>90.203000000000003</v>
      </c>
      <c r="R53" s="29">
        <f>VLOOKUP($B53&amp;$C53,'[1]FC4 Prod'!$A$6:$BP$36,[2]Consolidated!R$1)</f>
        <v>29.715999999999998</v>
      </c>
      <c r="S53" s="34">
        <f>VLOOKUP($B53&amp;$C53,'[1]FC4 Prod'!$A$6:$BP$36,[2]Consolidated!S$1)</f>
        <v>37</v>
      </c>
      <c r="T53" s="34">
        <f>VLOOKUP($B53&amp;$C53,'[1]FC4 Prod'!$A$6:$BP$36,[2]Consolidated!T$1)</f>
        <v>28</v>
      </c>
      <c r="U53" s="34">
        <f>VLOOKUP($B53&amp;$C53,'[1]FC4 Prod'!$A$6:$BP$36,[2]Consolidated!U$1)</f>
        <v>25</v>
      </c>
      <c r="V53" s="34">
        <f>VLOOKUP($B53&amp;$C53,'[1]FC4 Prod'!$A$6:$BP$36,[2]Consolidated!V$1)</f>
        <v>90</v>
      </c>
      <c r="W53" s="35">
        <f>VLOOKUP($B53&amp;$C53,'[1]FC4 Prod'!$A$6:$BP$36,[2]Consolidated!W$1)</f>
        <v>1.8627361899845121</v>
      </c>
      <c r="X53" s="35">
        <f>VLOOKUP($B53&amp;$C53,'[1]FC4 Prod'!$A$6:$BP$36,[2]Consolidated!X$1)</f>
        <v>50.16</v>
      </c>
      <c r="Y53" s="36">
        <f>VLOOKUP($B53&amp;$C53,'[1]FC4 Prod'!$A$6:$BP$36,[2]Consolidated!Y$1)</f>
        <v>0.96541068580542277</v>
      </c>
      <c r="Z53" s="37" t="str">
        <f>VLOOKUP($B53&amp;$C53,'[1]FC4 Prod'!$A$6:$BP$36,[2]Consolidated!Z$1)</f>
        <v>40/8</v>
      </c>
      <c r="AA53" s="31">
        <f>VLOOKUP($B53&amp;$C53,'[1]FC4 Prod'!$A$6:$BP$36,[2]Consolidated!AA$1)</f>
        <v>37.438000000000002</v>
      </c>
      <c r="AB53" s="31">
        <f>VLOOKUP($B53&amp;$C53,'[1]FC4 Prod'!$A$6:$BP$36,[2]Consolidated!AB$1)</f>
        <v>7.2680000000000007</v>
      </c>
      <c r="AC53" s="31">
        <f>VLOOKUP($B53&amp;$C53,'[1]FC4 Prod'!$A$6:$BP$36,[2]Consolidated!AC$1)</f>
        <v>0</v>
      </c>
      <c r="AD53" s="38">
        <f>VLOOKUP($B53&amp;$C53,'[1]FC4 Prod'!$A$6:$BP$36,[2]Consolidated!AD$1)</f>
        <v>483.53698473928762</v>
      </c>
      <c r="AE53" s="38">
        <f>VLOOKUP($B53&amp;$C53,'[1]FC4 Prod'!$A$6:$BP$36,[2]Consolidated!AE$1)</f>
        <v>397.48139831491989</v>
      </c>
      <c r="AF53" s="39">
        <f>VLOOKUP($B53&amp;$C53,'[1]FC4 Prod'!$A$6:$BP$36,[2]Consolidated!AF$1)</f>
        <v>0.77425308056188791</v>
      </c>
      <c r="AG53" s="39">
        <f>VLOOKUP($B53&amp;$C53,'[1]FC4 Prod'!$A$6:$BP$36,[2]Consolidated!AG$1)</f>
        <v>0.9418805548816731</v>
      </c>
      <c r="AH53" s="34">
        <f>VLOOKUP($B53&amp;$C53,'[1]FC4 Prod'!$A$6:$BP$36,[2]Consolidated!AH$1)</f>
        <v>328.64253009808971</v>
      </c>
      <c r="AI53" s="33">
        <f>VLOOKUP($B53&amp;$C53,'[1]FC4 Prod'!$A$6:$BP$36,[2]Consolidated!AI$1)</f>
        <v>334.87288185854408</v>
      </c>
      <c r="AJ53" s="39">
        <f>VLOOKUP($B53&amp;$C53,'[1]FC4 Prod'!$A$6:$BP$36,[2]Consolidated!AJ$1)</f>
        <v>0.71284141129844336</v>
      </c>
      <c r="AK53" s="39">
        <f>VLOOKUP($B53&amp;$C53,'[1]FC4 Prod'!$A$6:$BP$36,[2]Consolidated!AK$1)</f>
        <v>0.6082745654613646</v>
      </c>
      <c r="AL53" s="40" t="str">
        <f>VLOOKUP($B53&amp;$C53,'[1]FC4 Prod'!$A$6:$BP$36,[2]Consolidated!AL$1)</f>
        <v>25/50</v>
      </c>
      <c r="AM53" s="41">
        <f>VLOOKUP($B53&amp;$C53,'[1]FC4 Prod'!$A$6:$BP$36,[2]Consolidated!AM$1)</f>
        <v>4.8528652555498188E-2</v>
      </c>
      <c r="AN53" s="42">
        <f>VLOOKUP($B53&amp;$C53,'[1]FC4 Prod'!$A$6:$BP$36,[2]Consolidated!AN$1)</f>
        <v>137.19999999999999</v>
      </c>
      <c r="AO53" s="43">
        <f>VLOOKUP($B53&amp;$C53,'[1]FC4 Prod'!$A$6:$BP$36,[2]Consolidated!AO$1)</f>
        <v>5.7629999999999999</v>
      </c>
      <c r="AP53" s="44">
        <f>VLOOKUP($B53&amp;$C53,'[1]FC4 Prod'!$A$6:$BP$36,[2]Consolidated!AP$1)</f>
        <v>2.9522560660815689</v>
      </c>
      <c r="AQ53" s="44">
        <f>VLOOKUP($B53&amp;$C53,'[1]FC4 Prod'!$A$6:$BP$36,[2]Consolidated!AQ$1)</f>
        <v>19.915607889868383</v>
      </c>
      <c r="AR53" s="45">
        <f>VLOOKUP($B53&amp;$C53,'[1]FC4 Prod'!$A$6:$BP$36,[2]Consolidated!AR$1)</f>
        <v>0.93715846994535523</v>
      </c>
      <c r="AS53" s="46">
        <f>VLOOKUP($B53&amp;$C53,'[1]FC4 Prod'!$A$6:$BP$36,[2]Consolidated!AS$1)</f>
        <v>1.9666666666666666</v>
      </c>
      <c r="AT53" s="29">
        <f>VLOOKUP($B53&amp;$C53,'[1]FC4 Prod'!$A$6:$BP$36,[2]Consolidated!AT$1)</f>
        <v>0.80129756644351147</v>
      </c>
      <c r="AU53" s="34">
        <f>VLOOKUP($B53&amp;$C53,'[1]FC4 Prod'!$A$6:$BP$36,[2]Consolidated!AU$1)</f>
        <v>511.70601851851848</v>
      </c>
      <c r="AV53" s="34">
        <f>VLOOKUP($B53&amp;$C53,'[1]FC4 Prod'!$A$6:$BP$36,[2]Consolidated!AV$1)</f>
        <v>233.33333333333334</v>
      </c>
      <c r="AW53" s="47">
        <f>VLOOKUP($B53&amp;$C53,'[1]FC4 Prod'!$A$6:$BP$36,[2]Consolidated!AW$1)</f>
        <v>18366.16004130098</v>
      </c>
      <c r="AX53" s="47">
        <f>VLOOKUP($B53&amp;$C53,'[1]FC4 Prod'!$A$6:$BP$36,[2]Consolidated!AX$1)</f>
        <v>7249.6636035105821</v>
      </c>
      <c r="AY53" s="48">
        <f>VLOOKUP($B53&amp;$C53,'[1]FC4 Prod'!$A$6:$BP$36,[2]Consolidated!AY$1)</f>
        <v>423.2524522457407</v>
      </c>
      <c r="AZ53" s="47">
        <f>VLOOKUP($B53&amp;$C53,'[1]FC4 Prod'!$A$6:$BP$36,[2]Consolidated!AZ$1)</f>
        <v>966.87558079504379</v>
      </c>
      <c r="BA53" s="47">
        <f>VLOOKUP($B53&amp;$C53,'[1]FC4 Prod'!$A$6:$BP$36,[2]Consolidated!BA$1)</f>
        <v>17270.697986577179</v>
      </c>
      <c r="BB53" s="47">
        <f>VLOOKUP($B53&amp;$C53,'[1]FC4 Prod'!$A$6:$BP$36,[2]Consolidated!BB$1)</f>
        <v>442.76649664429527</v>
      </c>
      <c r="BC53" s="47">
        <f>VLOOKUP($B53&amp;$C53,'[1]FC4 Prod'!$A$6:$BP$36,[2]Consolidated!BC$1)</f>
        <v>5609.2865255549805</v>
      </c>
      <c r="BD53" s="49">
        <f>VLOOKUP($B53&amp;$C53,'[1]FC4 Prod'!$A$6:$BP$36,[2]Consolidated!BD$1)</f>
        <v>50328.702686628807</v>
      </c>
      <c r="BE53" s="47">
        <f>VLOOKUP($B53&amp;$C53,'[1]FC4 Prod'!$A$6:$BP$36,[2]Consolidated!BE$1)</f>
        <v>14998.686091894682</v>
      </c>
      <c r="BF53" s="47">
        <f>VLOOKUP($B53&amp;$C53,'[1]FC4 Prod'!$A$6:$BP$36,[2]Consolidated!BF$1)</f>
        <v>6949.9721631388738</v>
      </c>
      <c r="BG53" s="50">
        <f>VLOOKUP($B53&amp;$C53,'[1]FC4 Prod'!$A$6:$BP$36,[2]Consolidated!BG$1)</f>
        <v>513.26071244192053</v>
      </c>
      <c r="BH53" s="50">
        <f>VLOOKUP($B53&amp;$C53,'[1]FC4 Prod'!$A$6:$BP$36,[2]Consolidated!BH$1)</f>
        <v>406.99492534847695</v>
      </c>
      <c r="BI53" s="50">
        <f>VLOOKUP($B53&amp;$C53,'[1]FC4 Prod'!$A$6:$BP$36,[2]Consolidated!BI$1)</f>
        <v>46715.773985751162</v>
      </c>
      <c r="BJ53" s="37" t="e">
        <f>VLOOKUP($B53&amp;$C53,'[1]FC4 Prod'!$A$6:$BP$36,[2]Consolidated!BJ$1)</f>
        <v>#REF!</v>
      </c>
      <c r="BK53" s="37" t="e">
        <f>VLOOKUP($B53&amp;$C53,'[1]FC4 Prod'!$A$6:$BP$36,[2]Consolidated!BK$1)</f>
        <v>#REF!</v>
      </c>
      <c r="BL53" s="37" t="e">
        <f>VLOOKUP($B53&amp;$C53,'[1]FC4 Prod'!$A$6:$BP$36,[2]Consolidated!BL$1)</f>
        <v>#REF!</v>
      </c>
      <c r="BM53" s="37" t="e">
        <f>VLOOKUP($B53&amp;$C53,'[1]FC4 Prod'!$A$6:$BP$36,[2]Consolidated!BM$1)</f>
        <v>#REF!</v>
      </c>
      <c r="BN53" s="37">
        <f>VLOOKUP($B53&amp;$C53,'[1]FC4 Prod'!$A$6:$BP$36,[2]Consolidated!BN$1)</f>
        <v>75</v>
      </c>
      <c r="BO53" s="37">
        <f>VLOOKUP($B53&amp;$C53,'[1]FC4 Prod'!$A$6:$BP$36,[2]Consolidated!BO$1)</f>
        <v>75</v>
      </c>
      <c r="BP53" s="37" t="str">
        <f>VLOOKUP($B53&amp;$C53,'[1]FC4 Prod'!$A$6:$BP$36,[2]Consolidated!BP$1)</f>
        <v>Power Grids supply failure.</v>
      </c>
      <c r="BQ53" s="51" t="e">
        <f>VLOOKUP($B53&amp;$C53,'[1]FC4 Prod'!$A$6:$BP$36,[2]Consolidated!BQ$1)</f>
        <v>#REF!</v>
      </c>
      <c r="BR53" s="51">
        <f>VLOOKUP($B53&amp;$C53,'[1]FC4 Prod'!$A$6:$BQ$36,[2]Consolidated!BR$1)</f>
        <v>41644</v>
      </c>
      <c r="BS53" s="52">
        <f t="shared" ref="BS53" si="64">BE53+BF53*110%+BG53+BA53</f>
        <v>40427.614170366542</v>
      </c>
      <c r="BT53" s="32">
        <f t="shared" si="62"/>
        <v>1216.3858296334583</v>
      </c>
      <c r="BU53" s="37">
        <f t="shared" si="63"/>
        <v>58903.483800000227</v>
      </c>
      <c r="BV53" s="53" t="s">
        <v>131</v>
      </c>
      <c r="BW53" s="54" cm="1">
        <f t="array" ref="BW53">IFERROR(VLOOKUP($A53,TRANSPOSE('[1]Fur 4 PLC'!$AR$1:$BV$39),8,0),0)</f>
        <v>0</v>
      </c>
      <c r="BX53" s="54" cm="1">
        <f t="array" ref="BX53">IFERROR(VLOOKUP($A53,TRANSPOSE('[1]Fur 4 PLC'!$AR$1:$BV$39),30,0),0)</f>
        <v>0</v>
      </c>
      <c r="BY53" s="54" cm="1">
        <f t="array" ref="BY53">IFERROR(VLOOKUP($A53,TRANSPOSE('[1]Fur 4 PLC'!$AR$1:$BV$39),14,0),0)</f>
        <v>0</v>
      </c>
      <c r="BZ53" s="54" cm="1">
        <f t="array" ref="BZ53">IFERROR(VLOOKUP($A53,TRANSPOSE('[1]Fur 4 PLC'!$AR$1:$BV$39),16,0),0)</f>
        <v>0</v>
      </c>
      <c r="CA53" s="54" cm="1">
        <f t="array" ref="CA53">IFERROR(VLOOKUP($A53,TRANSPOSE('[1]Fur 4 PLC'!$AR$1:$BV$39),9,0),0)</f>
        <v>0</v>
      </c>
      <c r="CB53" s="54" cm="1">
        <f t="array" ref="CB53">IFERROR(VLOOKUP($A53,TRANSPOSE('[1]Fur 4 PLC'!$AR$1:$BV$39),17,0),0)</f>
        <v>0</v>
      </c>
      <c r="CC53" s="54" cm="1">
        <f t="array" ref="CC53">IFERROR(VLOOKUP($A53,TRANSPOSE('[1]Fur 4 PLC'!$AR$1:$BV$39),20,0),0)</f>
        <v>0</v>
      </c>
      <c r="CD53" s="54" cm="1">
        <f t="array" ref="CD53">IFERROR(VLOOKUP($A53,TRANSPOSE('[1]Fur 4 PLC'!$AR$1:$BV$39),28,0),0)</f>
        <v>0</v>
      </c>
      <c r="CE53" s="54" cm="1">
        <f t="array" ref="CE53">IFERROR(VLOOKUP($A53,TRANSPOSE('[1]Fur 4 PLC'!$AR$1:$BV$39),13,0),0)</f>
        <v>93.91843056272586</v>
      </c>
      <c r="CF53" s="54" cm="1">
        <f t="array" ref="CF53">IFERROR(VLOOKUP($A53,TRANSPOSE('[1]Fur 4 PLC'!$AR$1:$BV$39),37,0),0)</f>
        <v>35.332989158492516</v>
      </c>
      <c r="CG53" s="54" cm="1">
        <f t="array" ref="CG53">IFERROR(VLOOKUP($A53,TRANSPOSE('[1]Fur 4 PLC'!$AR$1:$BV$39),6,0),0)</f>
        <v>0</v>
      </c>
      <c r="CH53" s="54" cm="1">
        <f t="array" ref="CH53">IFERROR(VLOOKUP($A53,TRANSPOSE('[1]Fur 4 PLC'!$AR$1:$BV$39),21,0),0)</f>
        <v>1360.3304078471861</v>
      </c>
      <c r="CI53" s="54" cm="1">
        <f t="array" ref="CI53">IFERROR(VLOOKUP($A53,TRANSPOSE('[1]Fur 4 PLC'!$AR$1:$BV$39),12,0),0)</f>
        <v>0</v>
      </c>
      <c r="CJ53" s="54" cm="1">
        <f t="array" ref="CJ53">IFERROR(VLOOKUP($A53,TRANSPOSE('[1]Fur 4 PLC'!$AR$1:$BV$39),25,0),0)</f>
        <v>118.88487351574598</v>
      </c>
      <c r="CK53" s="54" cm="1">
        <f t="array" ref="CK53">IFERROR(VLOOKUP($A53,TRANSPOSE('[1]Fur 4 PLC'!$AR$1:$BV$39),26,0),0)</f>
        <v>383.54155911202884</v>
      </c>
      <c r="CL53" s="54" cm="1">
        <f t="array" ref="CL53">IFERROR(VLOOKUP($A53,TRANSPOSE('[1]Fur 4 PLC'!$AR$1:$BV$39),27,0),0)</f>
        <v>0</v>
      </c>
      <c r="CM53" s="54" cm="1">
        <f t="array" ref="CM53">IFERROR(VLOOKUP($A53,TRANSPOSE('[1]Fur 4 PLC'!$AR$1:$BV$39),22,0),0)</f>
        <v>0</v>
      </c>
      <c r="CN53" s="54"/>
      <c r="CO53" s="54" cm="1">
        <f t="array" ref="CO53">IFERROR(VLOOKUP($A53,TRANSPOSE('[1]Fur 4 PLC'!$AR$1:$BV$39),29,0),0)</f>
        <v>111.22354155911202</v>
      </c>
      <c r="CP53" s="54" cm="1">
        <f t="array" ref="CP53">IFERROR(VLOOKUP($A53,TRANSPOSE('[1]Fur 4 PLC'!$AR$1:$BV$39),10,0),0)</f>
        <v>0</v>
      </c>
      <c r="CQ53" s="54" cm="1">
        <f t="array" ref="CQ53">IFERROR(VLOOKUP($A53,TRANSPOSE('[1]Fur 4 PLC'!$AR$1:$BV$39),7,0),0)</f>
        <v>133.09241094475993</v>
      </c>
      <c r="CR53" s="54" cm="1">
        <f t="array" ref="CR53">IFERROR(VLOOKUP($A53,TRANSPOSE('[1]Fur 4 PLC'!$AR$1:$BV$39),36,0),0)</f>
        <v>205.76148683531235</v>
      </c>
      <c r="CS53" s="54" cm="1">
        <f t="array" ref="CS53">IFERROR(VLOOKUP($A53,TRANSPOSE('[1]Fur 4 PLC'!$AR$1:$BV$39),11,0),0)</f>
        <v>0</v>
      </c>
      <c r="CT53" s="54" cm="1">
        <f t="array" ref="CT53">IFERROR(VLOOKUP($A53,TRANSPOSE('[1]Fur 4 PLC'!$AR$1:$BV$39),19,0),0)</f>
        <v>104.09912235415591</v>
      </c>
      <c r="CU53" s="54" cm="1">
        <f t="array" ref="CU53">IFERROR(VLOOKUP($A53,TRANSPOSE('[1]Fur 4 PLC'!$AR$1:$BV$39),18,0),0)</f>
        <v>304.38822922044398</v>
      </c>
      <c r="CV53" s="54" cm="1">
        <f t="array" ref="CV53">IFERROR(VLOOKUP($A53,TRANSPOSE('[1]Fur 4 PLC'!$AR$1:$BV$38),15,0),0)</f>
        <v>0</v>
      </c>
      <c r="CW53" s="54" cm="1">
        <f t="array" ref="CW53">IFERROR(VLOOKUP($A53,TRANSPOSE('[1]Fur 4 PLC'!$CK$1:$DO$39),8,0),0)</f>
        <v>0</v>
      </c>
      <c r="CX53" s="54" cm="1">
        <f t="array" ref="CX53">IFERROR(VLOOKUP($A53,TRANSPOSE('[1]Fur 4 PLC'!$CK$1:$DO$39),30,0),0)</f>
        <v>0</v>
      </c>
      <c r="CY53" s="54" cm="1">
        <f t="array" ref="CY53">IFERROR(VLOOKUP($A53,TRANSPOSE('[1]Fur 4 PLC'!$CK$1:$DO$39),14,0),0)</f>
        <v>0</v>
      </c>
      <c r="CZ53" s="54" cm="1">
        <f t="array" ref="CZ53">IFERROR(VLOOKUP($A53,TRANSPOSE('[1]Fur 4 PLC'!$CK$1:$DO$39),16,0),0)</f>
        <v>0</v>
      </c>
      <c r="DA53" s="54" cm="1">
        <f t="array" ref="DA53">IFERROR(VLOOKUP($A53,TRANSPOSE('[1]Fur 4 PLC'!$CK$1:$DO$39),9,0),0)</f>
        <v>0</v>
      </c>
      <c r="DB53" s="55" cm="1">
        <f t="array" ref="DB53">IFERROR(VLOOKUP($A53,TRANSPOSE('[1]Fur 4 PLC'!$CK$1:$DO$39),17,0),0)</f>
        <v>0</v>
      </c>
      <c r="DC53" s="55" cm="1">
        <f t="array" ref="DC53">IFERROR(VLOOKUP($A53,TRANSPOSE('[1]Fur 4 PLC'!$CK$1:$DO$39),20,0),0)</f>
        <v>0</v>
      </c>
      <c r="DD53" s="54" cm="1">
        <f t="array" ref="DD53">IFERROR(VLOOKUP($A53,TRANSPOSE('[1]Fur 4 PLC'!$CK$1:$DO$39),28,0),0)</f>
        <v>0</v>
      </c>
      <c r="DE53" s="54" cm="1">
        <f t="array" ref="DE53">IFERROR(VLOOKUP($A53,TRANSPOSE('[1]Fur 4 PLC'!$CK$1:$DO$39),13,0),0)</f>
        <v>50.533333333333331</v>
      </c>
      <c r="DF53" s="54" cm="1">
        <f t="array" ref="DF53">IFERROR(VLOOKUP($A53,TRANSPOSE('[1]Fur 4 PLC'!$CK$1:$DO$39),37,0),0)</f>
        <v>19.011111111111109</v>
      </c>
      <c r="DG53" s="54" cm="1">
        <f t="array" ref="DG53">IFERROR(VLOOKUP($A53,TRANSPOSE('[1]Fur 4 PLC'!$CK$1:$DO$39),6,0),0)</f>
        <v>0</v>
      </c>
      <c r="DH53" s="54" cm="1">
        <f t="array" ref="DH53">IFERROR(VLOOKUP($A53,TRANSPOSE('[1]Fur 4 PLC'!$CK$1:$DO$39),21,0),0)</f>
        <v>731.93333333333328</v>
      </c>
      <c r="DI53" s="54" cm="1">
        <f t="array" ref="DI53">IFERROR(VLOOKUP($A53,TRANSPOSE('[1]Fur 4 PLC'!$CK$1:$DO$39),12,0),0)</f>
        <v>0</v>
      </c>
      <c r="DJ53" s="54" cm="1">
        <f t="array" ref="DJ53">IFERROR(VLOOKUP($A53,TRANSPOSE('[1]Fur 4 PLC'!$CK$1:$DO$39),25,0),0)</f>
        <v>63.966666666666654</v>
      </c>
      <c r="DK53" s="54" cm="1">
        <f t="array" ref="DK53">IFERROR(VLOOKUP($A53,TRANSPOSE('[1]Fur 4 PLC'!$CK$1:$DO$39),26,0),0)</f>
        <v>206.36666666666667</v>
      </c>
      <c r="DL53" s="54" cm="1">
        <f t="array" ref="DL53">IFERROR(VLOOKUP($A53,TRANSPOSE('[1]Fur 4 PLC'!$CK$1:$DO$39),27,0),0)</f>
        <v>0</v>
      </c>
      <c r="DM53" s="54" cm="1">
        <f t="array" ref="DM53">IFERROR(VLOOKUP($A53,TRANSPOSE('[1]Fur 4 PLC'!$CK$1:$DO$39),22,0),0)</f>
        <v>0</v>
      </c>
      <c r="DN53" s="54" cm="1">
        <f t="array" ref="DN53">IFERROR(VLOOKUP($A53,TRANSPOSE('[1]Fur 4 PLC'!$CK$1:$DO$39),19,0),0)</f>
        <v>56.011111111111113</v>
      </c>
      <c r="DO53" s="54" cm="1">
        <f t="array" ref="DO53">IFERROR(VLOOKUP($A53,TRANSPOSE('[1]Fur 4 PLC'!$CK$1:$DO$39),29,0),0)</f>
        <v>59.844444444444441</v>
      </c>
      <c r="DP53" s="54" cm="1">
        <f t="array" ref="DP53">IFERROR(VLOOKUP($A53,TRANSPOSE('[1]Fur 4 PLC'!$CK$1:$DO$39),10,0),0)</f>
        <v>0</v>
      </c>
      <c r="DQ53" s="54" cm="1">
        <f t="array" ref="DQ53">IFERROR(VLOOKUP($A53,TRANSPOSE('[1]Fur 4 PLC'!$CK$1:$DO$39),7,0),0)</f>
        <v>71.611111111111114</v>
      </c>
      <c r="DR53" s="54" cm="1">
        <f t="array" ref="DR53">IFERROR(VLOOKUP($A53,TRANSPOSE('[1]Fur 4 PLC'!$CK$1:$DO$39),36,0),0)</f>
        <v>110.71111111111112</v>
      </c>
      <c r="DS53" s="54" cm="1">
        <f t="array" ref="DS53">IFERROR(VLOOKUP($A53,TRANSPOSE('[1]Fur 4 PLC'!$CK$1:$DO$39),11,0),0)</f>
        <v>0</v>
      </c>
      <c r="DT53" s="54" cm="1">
        <f t="array" ref="DT53">IFERROR(VLOOKUP($A53,TRANSPOSE('[1]Fur 4 PLC'!$CK$1:$DO$39),19,0),0)</f>
        <v>56.011111111111113</v>
      </c>
      <c r="DU53" s="54" cm="1">
        <f t="array" ref="DU53">IFERROR(VLOOKUP($A53,TRANSPOSE('[1]Fur 4 PLC'!$CK$1:$DO$39),18,0),0)</f>
        <v>163.77777777777777</v>
      </c>
      <c r="DV53" s="54" cm="1">
        <f t="array" ref="DV53">IFERROR(VLOOKUP($A53,TRANSPOSE('[1]Fur 4 PLC'!$CK$1:$DO$39),15,0),0)</f>
        <v>0</v>
      </c>
      <c r="DW53" t="str">
        <f t="shared" si="61"/>
        <v>Dec-25</v>
      </c>
    </row>
    <row r="54" spans="1:127" x14ac:dyDescent="0.3">
      <c r="A54" s="28" t="str">
        <f t="shared" si="59"/>
        <v>F146005</v>
      </c>
      <c r="B54" s="29" t="s">
        <v>26</v>
      </c>
      <c r="C54" s="30">
        <f>C50+1</f>
        <v>46005</v>
      </c>
      <c r="D54" s="29" t="str">
        <f>VLOOKUP($B54&amp;$C54,'[1]FC1 Prod'!$A$6:$BP$36,[2]Consolidated!D$1)</f>
        <v>Raju Singh</v>
      </c>
      <c r="E54" s="29">
        <f>VLOOKUP($B54&amp;$C54,'[1]FC1 Prod'!$A$6:$BP$36,[2]Consolidated!E$1)</f>
        <v>15.135</v>
      </c>
      <c r="F54" s="31">
        <f>VLOOKUP($B54&amp;$C54,'[1]FC1 Prod'!$A$6:$BP$36,[2]Consolidated!F$1)</f>
        <v>0</v>
      </c>
      <c r="G54" s="32">
        <f>VLOOKUP($B54&amp;$C54,'[1]FC1 Prod'!$A$6:$BP$36,[2]Consolidated!G$1)</f>
        <v>15.135</v>
      </c>
      <c r="H54" s="32">
        <f>VLOOKUP($B54&amp;$C54,'[1]FC1 Prod'!$A$6:$BP$36,[2]Consolidated!H$1)</f>
        <v>11.280000000000001</v>
      </c>
      <c r="I54" s="32">
        <f>VLOOKUP($B54&amp;$C54,'[1]FC1 Prod'!$A$6:$BP$36,[2]Consolidated!I$1)</f>
        <v>6.42</v>
      </c>
      <c r="J54" s="32">
        <f>VLOOKUP($B54&amp;$C54,'[1]FC1 Prod'!$A$6:$BP$36,[2]Consolidated!J$1)</f>
        <v>40.200000000000003</v>
      </c>
      <c r="K54" s="32">
        <f>VLOOKUP($B54&amp;$C54,'[1]FC1 Prod'!$A$6:$BP$36,[2]Consolidated!K$1)</f>
        <v>1.3</v>
      </c>
      <c r="L54" s="32">
        <f>VLOOKUP($B54&amp;$C54,'[1]FC1 Prod'!$A$6:$BP$36,[2]Consolidated!L$1)</f>
        <v>28.38</v>
      </c>
      <c r="M54" s="32">
        <f>VLOOKUP($B54&amp;$C54,'[1]FC1 Prod'!$A$6:$BP$36,[2]Consolidated!M$1)</f>
        <v>4.82</v>
      </c>
      <c r="N54" s="32">
        <f>VLOOKUP($B54&amp;$C54,'[1]FC1 Prod'!$A$6:$BP$36,[2]Consolidated!N$1)</f>
        <v>16.21</v>
      </c>
      <c r="O54" s="32">
        <f>VLOOKUP($B54&amp;$C54,'[1]FC1 Prod'!$A$6:$BP$36,[2]Consolidated!O$1)</f>
        <v>0.83</v>
      </c>
      <c r="P54" s="33">
        <f>VLOOKUP($B54&amp;$C54,'[1]FC1 Prod'!$A$6:$BP$36,[2]Consolidated!P$1)</f>
        <v>6</v>
      </c>
      <c r="Q54" s="29">
        <f>VLOOKUP($B54&amp;$C54,'[1]FC1 Prod'!$A$6:$BP$36,[2]Consolidated!Q$1)</f>
        <v>34.238</v>
      </c>
      <c r="R54" s="29">
        <f>VLOOKUP($B54&amp;$C54,'[1]FC1 Prod'!$A$6:$BP$36,[2]Consolidated!R$1)</f>
        <v>11.212</v>
      </c>
      <c r="S54" s="34">
        <f>VLOOKUP($B54&amp;$C54,'[1]FC1 Prod'!$A$6:$BP$36,[2]Consolidated!S$1)</f>
        <v>10</v>
      </c>
      <c r="T54" s="34">
        <f>VLOOKUP($B54&amp;$C54,'[1]FC1 Prod'!$A$6:$BP$36,[2]Consolidated!T$1)</f>
        <v>15</v>
      </c>
      <c r="U54" s="34">
        <f>VLOOKUP($B54&amp;$C54,'[1]FC1 Prod'!$A$6:$BP$36,[2]Consolidated!U$1)</f>
        <v>14</v>
      </c>
      <c r="V54" s="34">
        <f>VLOOKUP($B54&amp;$C54,'[1]FC1 Prod'!$A$6:$BP$36,[2]Consolidated!V$1)</f>
        <v>39</v>
      </c>
      <c r="W54" s="35">
        <f>VLOOKUP($B54&amp;$C54,'[1]FC1 Prod'!$A$6:$BP$36,[2]Consolidated!W$1)</f>
        <v>2.2621737694086552</v>
      </c>
      <c r="X54" s="35">
        <f>VLOOKUP($B54&amp;$C54,'[1]FC1 Prod'!$A$6:$BP$36,[2]Consolidated!X$1)</f>
        <v>15.605</v>
      </c>
      <c r="Y54" s="36">
        <f>VLOOKUP($B54&amp;$C54,'[1]FC1 Prod'!$A$6:$BP$36,[2]Consolidated!Y$1)</f>
        <v>0.96988144825376477</v>
      </c>
      <c r="Z54" s="37" t="str">
        <f>VLOOKUP($B54&amp;$C54,'[1]FC1 Prod'!$A$6:$BP$36,[2]Consolidated!Z$1)</f>
        <v>55/22</v>
      </c>
      <c r="AA54" s="31">
        <f>VLOOKUP($B54&amp;$C54,'[1]FC1 Prod'!$A$6:$BP$36,[2]Consolidated!AA$1)</f>
        <v>52.648333333333333</v>
      </c>
      <c r="AB54" s="31">
        <f>VLOOKUP($B54&amp;$C54,'[1]FC1 Prod'!$A$6:$BP$36,[2]Consolidated!AB$1)</f>
        <v>20.930000000000003</v>
      </c>
      <c r="AC54" s="31">
        <f>VLOOKUP($B54&amp;$C54,'[1]FC1 Prod'!$A$6:$BP$36,[2]Consolidated!AC$1)</f>
        <v>0.47833333333333328</v>
      </c>
      <c r="AD54" s="38">
        <f>VLOOKUP($B54&amp;$C54,'[1]FC1 Prod'!$A$6:$BP$36,[2]Consolidated!AD$1)</f>
        <v>980.5806271555997</v>
      </c>
      <c r="AE54" s="38">
        <f>VLOOKUP($B54&amp;$C54,'[1]FC1 Prod'!$A$6:$BP$36,[2]Consolidated!AE$1)</f>
        <v>719.12397611496533</v>
      </c>
      <c r="AF54" s="39">
        <f>VLOOKUP($B54&amp;$C54,'[1]FC1 Prod'!$A$6:$BP$36,[2]Consolidated!AF$1)</f>
        <v>0.53690978462476835</v>
      </c>
      <c r="AG54" s="39">
        <f>VLOOKUP($B54&amp;$C54,'[1]FC1 Prod'!$A$6:$BP$36,[2]Consolidated!AG$1)</f>
        <v>0.7321176192422838</v>
      </c>
      <c r="AH54" s="34">
        <f>VLOOKUP($B54&amp;$C54,'[1]FC1 Prod'!$A$6:$BP$36,[2]Consolidated!AH$1)</f>
        <v>1017.9218130161877</v>
      </c>
      <c r="AI54" s="33">
        <f>VLOOKUP($B54&amp;$C54,'[1]FC1 Prod'!$A$6:$BP$36,[2]Consolidated!AI$1)</f>
        <v>545.07110670630993</v>
      </c>
      <c r="AJ54" s="39">
        <f>VLOOKUP($B54&amp;$C54,'[1]FC1 Prod'!$A$6:$BP$36,[2]Consolidated!AJ$1)</f>
        <v>1.0560517861968295</v>
      </c>
      <c r="AK54" s="39">
        <f>VLOOKUP($B54&amp;$C54,'[1]FC1 Prod'!$A$6:$BP$36,[2]Consolidated!AK$1)</f>
        <v>0.40703409968037407</v>
      </c>
      <c r="AL54" s="40" t="str">
        <f>VLOOKUP($B54&amp;$C54,'[1]FC1 Prod'!$A$6:$BP$36,[2]Consolidated!AL$1)</f>
        <v>10/70</v>
      </c>
      <c r="AM54" s="41">
        <f>VLOOKUP($B54&amp;$C54,'[1]FC1 Prod'!$A$6:$BP$36,[2]Consolidated!AM$1)</f>
        <v>2.3785926660059464E-2</v>
      </c>
      <c r="AN54" s="42">
        <f>VLOOKUP($B54&amp;$C54,'[1]FC1 Prod'!$A$6:$BP$36,[2]Consolidated!AN$1)</f>
        <v>81.5</v>
      </c>
      <c r="AO54" s="43">
        <f>VLOOKUP($B54&amp;$C54,'[1]FC1 Prod'!$A$6:$BP$36,[2]Consolidated!AO$1)</f>
        <v>2.6659999999999999</v>
      </c>
      <c r="AP54" s="44">
        <f>VLOOKUP($B54&amp;$C54,'[1]FC1 Prod'!$A$6:$BP$36,[2]Consolidated!AP$1)</f>
        <v>5.5610175090849028</v>
      </c>
      <c r="AQ54" s="44">
        <f>VLOOKUP($B54&amp;$C54,'[1]FC1 Prod'!$A$6:$BP$36,[2]Consolidated!AQ$1)</f>
        <v>29.255547613095718</v>
      </c>
      <c r="AR54" s="45">
        <f>VLOOKUP($B54&amp;$C54,'[1]FC1 Prod'!$A$6:$BP$36,[2]Consolidated!AR$1)</f>
        <v>0.77178030303030298</v>
      </c>
      <c r="AS54" s="46">
        <f>VLOOKUP($B54&amp;$C54,'[1]FC1 Prod'!$A$6:$BP$36,[2]Consolidated!AS$1)</f>
        <v>2.0699999999999998</v>
      </c>
      <c r="AT54" s="29">
        <f>VLOOKUP($B54&amp;$C54,'[1]FC1 Prod'!$A$6:$BP$36,[2]Consolidated!AT$1)</f>
        <v>0.78229222715309155</v>
      </c>
      <c r="AU54" s="34">
        <f>VLOOKUP($B54&amp;$C54,'[1]FC1 Prod'!$A$6:$BP$36,[2]Consolidated!AU$1)</f>
        <v>373.1180555555556</v>
      </c>
      <c r="AV54" s="34">
        <f>VLOOKUP($B54&amp;$C54,'[1]FC1 Prod'!$A$6:$BP$36,[2]Consolidated!AV$1)</f>
        <v>83.333333333333329</v>
      </c>
      <c r="AW54" s="47">
        <f>VLOOKUP($B54&amp;$C54,'[1]FC1 Prod'!$A$6:$BP$36,[2]Consolidated!AW$1)</f>
        <v>39455.287743640569</v>
      </c>
      <c r="AX54" s="47">
        <f>VLOOKUP($B54&amp;$C54,'[1]FC1 Prod'!$A$6:$BP$36,[2]Consolidated!AX$1)</f>
        <v>31072.084572183681</v>
      </c>
      <c r="AY54" s="48">
        <f>VLOOKUP($B54&amp;$C54,'[1]FC1 Prod'!$A$6:$BP$36,[2]Consolidated!AY$1)</f>
        <v>1942.7155599603568</v>
      </c>
      <c r="AZ54" s="47">
        <f>VLOOKUP($B54&amp;$C54,'[1]FC1 Prod'!$A$6:$BP$36,[2]Consolidated!AZ$1)</f>
        <v>2704.350842418236</v>
      </c>
      <c r="BA54" s="47">
        <f>VLOOKUP($B54&amp;$C54,'[1]FC1 Prod'!$A$6:$BP$36,[2]Consolidated!BA$1)</f>
        <v>32531.95242814668</v>
      </c>
      <c r="BB54" s="47">
        <f>VLOOKUP($B54&amp;$C54,'[1]FC1 Prod'!$A$6:$BP$36,[2]Consolidated!BB$1)</f>
        <v>1077.0639114634953</v>
      </c>
      <c r="BC54" s="47">
        <f>VLOOKUP($B54&amp;$C54,'[1]FC1 Prod'!$A$6:$BP$36,[2]Consolidated!BC$1)</f>
        <v>10565.933267261315</v>
      </c>
      <c r="BD54" s="49">
        <f>VLOOKUP($B54&amp;$C54,'[1]FC1 Prod'!$A$6:$BP$36,[2]Consolidated!BD$1)</f>
        <v>119349.38832507432</v>
      </c>
      <c r="BE54" s="47">
        <f>VLOOKUP($B54&amp;$C54,'[1]FC1 Prod'!$A$6:$BP$36,[2]Consolidated!BE$1)</f>
        <v>28395.649884373965</v>
      </c>
      <c r="BF54" s="47">
        <f>VLOOKUP($B54&amp;$C54,'[1]FC1 Prod'!$A$6:$BP$36,[2]Consolidated!BF$1)</f>
        <v>16700.891972249752</v>
      </c>
      <c r="BG54" s="50">
        <f>VLOOKUP($B54&amp;$C54,'[1]FC1 Prod'!$A$6:$BP$36,[2]Consolidated!BG$1)</f>
        <v>2196.0951437066406</v>
      </c>
      <c r="BH54" s="50">
        <f>VLOOKUP($B54&amp;$C54,'[1]FC1 Prod'!$A$6:$BP$36,[2]Consolidated!BH$1)</f>
        <v>825.28940270895282</v>
      </c>
      <c r="BI54" s="50">
        <f>VLOOKUP($B54&amp;$C54,'[1]FC1 Prod'!$A$6:$BP$36,[2]Consolidated!BI$1)</f>
        <v>93920.162940865528</v>
      </c>
      <c r="BJ54" s="37" t="e">
        <f>VLOOKUP($B54&amp;$C54,'[1]FC1 Prod'!$A$6:$BP$36,[2]Consolidated!BJ$1)</f>
        <v>#REF!</v>
      </c>
      <c r="BK54" s="37" t="e">
        <f>VLOOKUP($B54&amp;$C54,'[1]FC1 Prod'!$A$6:$BP$36,[2]Consolidated!BK$1)</f>
        <v>#REF!</v>
      </c>
      <c r="BL54" s="37" t="e">
        <f>VLOOKUP($B54&amp;$C54,'[1]FC1 Prod'!$A$6:$BP$36,[2]Consolidated!BL$1)</f>
        <v>#REF!</v>
      </c>
      <c r="BM54" s="37" t="e">
        <f>VLOOKUP($B54&amp;$C54,'[1]FC1 Prod'!$A$6:$BP$36,[2]Consolidated!BM$1)</f>
        <v>#REF!</v>
      </c>
      <c r="BN54" s="37">
        <f>VLOOKUP($B54&amp;$C54,'[1]FC1 Prod'!$A$6:$BP$36,[2]Consolidated!BN$1)</f>
        <v>220</v>
      </c>
      <c r="BO54" s="37">
        <f>VLOOKUP($B54&amp;$C54,'[1]FC1 Prod'!$A$6:$BP$36,[2]Consolidated!BO$1)</f>
        <v>220</v>
      </c>
      <c r="BP54" s="37" t="str">
        <f>VLOOKUP($B54&amp;$C54,'[1]FC1 Prod'!$A$6:$BP$36,[2]Consolidated!BP$1)</f>
        <v>Power grids supply failure.</v>
      </c>
      <c r="BQ54" s="51" t="e">
        <f>VLOOKUP($B54&amp;$C54,'[1]FC1 Prod'!$A$6:$BP$36,[2]Consolidated!BQ$1)</f>
        <v>#REF!</v>
      </c>
      <c r="BR54" s="51">
        <f>VLOOKUP($B54&amp;$C54,'[1]FC1 Prod'!$A$6:$BQ$36,[2]Consolidated!BR$1)</f>
        <v>69902</v>
      </c>
      <c r="BS54" s="52">
        <f t="shared" ref="BS54:BS56" si="65">BE54+BF54+BG54+BA54</f>
        <v>79824.589428477047</v>
      </c>
      <c r="BT54" s="32">
        <f>BR54-BS54</f>
        <v>-9922.5894284770475</v>
      </c>
      <c r="BU54" s="37">
        <f>E54*BT54</f>
        <v>-150178.39100000012</v>
      </c>
      <c r="BV54" s="53" t="s">
        <v>131</v>
      </c>
      <c r="BW54" s="54" cm="1">
        <f t="array" ref="BW54">IFERROR(VLOOKUP($A54,TRANSPOSE('[1]Fur 1 PLC'!$AR$1:$BV$38),8,0),0)</f>
        <v>0</v>
      </c>
      <c r="BX54" s="54" cm="1">
        <f t="array" ref="BX54">IFERROR(VLOOKUP($A54,TRANSPOSE('[1]Fur 1 PLC'!$AR$1:$BV$38),30,0),0)</f>
        <v>0</v>
      </c>
      <c r="BY54" s="54" cm="1">
        <f t="array" ref="BY54">IFERROR(VLOOKUP($A54,TRANSPOSE('[1]Fur 1 PLC'!$AR$1:$BV$38),14,0),0)</f>
        <v>0</v>
      </c>
      <c r="BZ54" s="54" cm="1">
        <f t="array" ref="BZ54">IFERROR(VLOOKUP($A54,TRANSPOSE('[1]Fur 1 PLC'!$AR$1:$BV$38),16,0),0)</f>
        <v>0</v>
      </c>
      <c r="CA54" s="54" cm="1">
        <f t="array" ref="CA54">IFERROR(VLOOKUP($A54,TRANSPOSE('[1]Fur 1 PLC'!$AR$1:$BV$38),9,0),0)</f>
        <v>582.88734720845719</v>
      </c>
      <c r="CB54" s="54" cm="1">
        <f t="array" ref="CB54">IFERROR(VLOOKUP($A54,TRANSPOSE('[1]Fur 1 PLC'!$AR$1:$BV$38),17,0),0)</f>
        <v>418.36802114304595</v>
      </c>
      <c r="CC54" s="54" cm="1">
        <f t="array" ref="CC54">IFERROR(VLOOKUP($A54,TRANSPOSE('[1]Fur 1 PLC'!$AR$1:$BV$38),20,0),0)</f>
        <v>0</v>
      </c>
      <c r="CD54" s="54" cm="1">
        <f t="array" ref="CD54">IFERROR(VLOOKUP($A54,TRANSPOSE('[1]Fur 1 PLC'!$AR$1:$BV$38),28,0),0)</f>
        <v>158.57284440039643</v>
      </c>
      <c r="CE54" s="54" cm="1">
        <f t="array" ref="CE54">IFERROR(VLOOKUP($A54,TRANSPOSE('[1]Fur 1 PLC'!$AR$1:$BV$38),13,0),0)</f>
        <v>0</v>
      </c>
      <c r="CF54" s="54" cm="1">
        <f t="array" ref="CF54">IFERROR(VLOOKUP($A54,TRANSPOSE('[1]Fur 1 PLC'!$AR$1:$BV$38),37,0),0)</f>
        <v>760.68714899240172</v>
      </c>
      <c r="CG54" s="54" cm="1">
        <f t="array" ref="CG54">IFERROR(VLOOKUP($A54,TRANSPOSE('[1]Fur 1 PLC'!$AR$1:$BV$38),6,0),0)</f>
        <v>0</v>
      </c>
      <c r="CH54" s="54" cm="1">
        <f t="array" ref="CH54">IFERROR(VLOOKUP($A54,TRANSPOSE('[1]Fur 1 PLC'!$AR$1:$BV$38),21,0),0)</f>
        <v>0</v>
      </c>
      <c r="CI54" s="54" cm="1">
        <f t="array" ref="CI54">IFERROR(VLOOKUP($A54,TRANSPOSE('[1]Fur 1 PLC'!$AR$1:$BV$38),12,0),0)</f>
        <v>0</v>
      </c>
      <c r="CJ54" s="54" cm="1">
        <f t="array" ref="CJ54">IFERROR(VLOOKUP($A54,TRANSPOSE('[1]Fur 1 PLC'!$AR$1:$BV$38),25,0),0)</f>
        <v>0</v>
      </c>
      <c r="CK54" s="54" cm="1">
        <f t="array" ref="CK54">IFERROR(VLOOKUP($A54,TRANSPOSE('[1]Fur 1 PLC'!$AR$1:$BV$38),26,0),0)</f>
        <v>0</v>
      </c>
      <c r="CL54" s="54" cm="1">
        <f t="array" ref="CL54">IFERROR(VLOOKUP($A54,TRANSPOSE('[1]Fur 1 PLC'!$AR$1:$BV$38),27,0),0)</f>
        <v>582.22662702345553</v>
      </c>
      <c r="CM54" s="54" cm="1">
        <f t="array" ref="CM54">IFERROR(VLOOKUP($A54,TRANSPOSE('[1]Fur 1 PLC'!$AR$1:$BV$38),22,0),0)</f>
        <v>0</v>
      </c>
      <c r="CN54" s="54"/>
      <c r="CO54" s="54" cm="1">
        <f t="array" ref="CO54">IFERROR(VLOOKUP($A54,TRANSPOSE('[1]Fur 1 PLC'!$AR$1:$BV$38),29,0),0)</f>
        <v>0</v>
      </c>
      <c r="CP54" s="54" cm="1">
        <f t="array" ref="CP54">IFERROR(VLOOKUP($A54,TRANSPOSE('[1]Fur 1 PLC'!$AR$1:$BV$38),10,0),0)</f>
        <v>0</v>
      </c>
      <c r="CQ54" s="54" cm="1">
        <f t="array" ref="CQ54">IFERROR(VLOOKUP($A54,TRANSPOSE('[1]Fur 1 PLC'!$AR$1:$BV$38),7,0),0)</f>
        <v>195.90353485298976</v>
      </c>
      <c r="CR54" s="54" cm="1">
        <f t="array" ref="CR54">IFERROR(VLOOKUP($A54,TRANSPOSE('[1]Fur 1 PLC'!$AR$1:$BV$38),35,0),0)</f>
        <v>59.266600594648168</v>
      </c>
      <c r="CS54" s="54" cm="1">
        <f t="array" ref="CS54">IFERROR(VLOOKUP($A54,TRANSPOSE('[1]Fur 1 PLC'!$AR$1:$BV$38),11,0),0)</f>
        <v>861.77733729765441</v>
      </c>
      <c r="CT54" s="54" cm="1">
        <f t="array" ref="CT54">IFERROR(VLOOKUP($A54,TRANSPOSE('[1]Fur 1 PLC'!$AR$1:$BV$38),19,0),0)</f>
        <v>0</v>
      </c>
      <c r="CU54" s="54" cm="1">
        <f t="array" ref="CU54">IFERROR(VLOOKUP($A54,TRANSPOSE('[1]Fur 1 PLC'!$AR$1:$BV$38),18,0),0)</f>
        <v>0</v>
      </c>
      <c r="CV54" s="54" cm="1">
        <f t="array" ref="CV54">IFERROR(VLOOKUP($A54,TRANSPOSE('[1]Fur 1 PLC'!$AR$1:$BV$38),15,0),0)</f>
        <v>399.14106375949785</v>
      </c>
      <c r="CW54" s="54" cm="1">
        <f t="array" ref="CW54">IFERROR(VLOOKUP($A54,TRANSPOSE('[1]Fur 1 PLC'!$CL$1:$DP$38),8,0),0)</f>
        <v>0</v>
      </c>
      <c r="CX54" s="54" cm="1">
        <f t="array" ref="CX54">IFERROR(VLOOKUP($A54,TRANSPOSE('[1]Fur 1 PLC'!$CL$1:$DP$38),30,0),0)</f>
        <v>0</v>
      </c>
      <c r="CY54" s="54" cm="1">
        <f t="array" ref="CY54">IFERROR(VLOOKUP($A54,TRANSPOSE('[1]Fur 1 PLC'!$CL$1:$DP$38),14,0),0)</f>
        <v>0</v>
      </c>
      <c r="CZ54" s="54" cm="1">
        <f t="array" ref="CZ54">IFERROR(VLOOKUP($A54,TRANSPOSE('[1]Fur 1 PLC'!$CL$1:$DP$38),16,0),0)</f>
        <v>0</v>
      </c>
      <c r="DA54" s="54" cm="1">
        <f t="array" ref="DA54">IFERROR(VLOOKUP($A54,TRANSPOSE('[1]Fur 1 PLC'!$CL$1:$DP$38),9,0),0)</f>
        <v>226.2051282051282</v>
      </c>
      <c r="DB54" s="55" cm="1">
        <f t="array" ref="DB54">IFERROR(VLOOKUP($A54,TRANSPOSE('[1]Fur 1 PLC'!$CL$1:$DP$38),17,0),0)</f>
        <v>162.35897435897436</v>
      </c>
      <c r="DC54" s="55" cm="1">
        <f t="array" ref="DC54">IFERROR(VLOOKUP($A54,TRANSPOSE('[1]Fur 1 PLC'!$CL$1:$DP$38),20,0),0)</f>
        <v>0</v>
      </c>
      <c r="DD54" s="54" cm="1">
        <f t="array" ref="DD54">IFERROR(VLOOKUP($A54,TRANSPOSE('[1]Fur 1 PLC'!$CL$1:$DP$38),28,0),0)</f>
        <v>61.538461538461533</v>
      </c>
      <c r="DE54" s="54" cm="1">
        <f t="array" ref="DE54">IFERROR(VLOOKUP($A54,TRANSPOSE('[1]Fur 1 PLC'!$CL$1:$DP$38),13,0),0)</f>
        <v>0</v>
      </c>
      <c r="DF54" s="54" cm="1">
        <f t="array" ref="DF54">IFERROR(VLOOKUP($A54,TRANSPOSE('[1]Fur 1 PLC'!$CL$1:$DP$38),37,0),0)</f>
        <v>295.20512820512818</v>
      </c>
      <c r="DG54" s="54" cm="1">
        <f t="array" ref="DG54">IFERROR(VLOOKUP($A54,TRANSPOSE('[1]Fur 1 PLC'!$CL$1:$DP$38),6,0),0)</f>
        <v>0</v>
      </c>
      <c r="DH54" s="54" cm="1">
        <f t="array" ref="DH54">IFERROR(VLOOKUP($A54,TRANSPOSE('[1]Fur 1 PLC'!$CL$1:$DP$38),21,0),0)</f>
        <v>0</v>
      </c>
      <c r="DI54" s="54" cm="1">
        <f t="array" ref="DI54">IFERROR(VLOOKUP($A54,TRANSPOSE('[1]Fur 1 PLC'!$CL$1:$DP$38),12,0),0)</f>
        <v>0</v>
      </c>
      <c r="DJ54" s="54" cm="1">
        <f t="array" ref="DJ54">IFERROR(VLOOKUP($A54,TRANSPOSE('[1]Fur 1 PLC'!$CL$1:$DP$38),25,0),0)</f>
        <v>0</v>
      </c>
      <c r="DK54" s="54" cm="1">
        <f t="array" ref="DK54">IFERROR(VLOOKUP($A54,TRANSPOSE('[1]Fur 1 PLC'!$CL$1:$DP$38),26,0),0)</f>
        <v>0</v>
      </c>
      <c r="DL54" s="54" cm="1">
        <f t="array" ref="DL54">IFERROR(VLOOKUP($A54,TRANSPOSE('[1]Fur 1 PLC'!$CL$1:$DP$38),27,0),0)</f>
        <v>225.94871794871793</v>
      </c>
      <c r="DM54" s="54" cm="1">
        <f t="array" ref="DM54">IFERROR(VLOOKUP($A54,TRANSPOSE('[1]Fur 1 PLC'!$CL$1:$DP$38),22,0),0)</f>
        <v>0</v>
      </c>
      <c r="DN54" s="54" cm="1">
        <f t="array" ref="DN54">IFERROR(VLOOKUP($A54,TRANSPOSE('[1]Fur 1 PLC'!$CL$1:$DP$38),19,0),0)</f>
        <v>0</v>
      </c>
      <c r="DO54" s="54" cm="1">
        <f t="array" ref="DO54">IFERROR(VLOOKUP($A54,TRANSPOSE('[1]Fur 1 PLC'!$CL$1:$DP$38),29,0),0)</f>
        <v>0</v>
      </c>
      <c r="DP54" s="54" cm="1">
        <f t="array" ref="DP54">IFERROR(VLOOKUP($A54,TRANSPOSE('[1]Fur 1 PLC'!$CL$1:$DP$38),10,0),0)</f>
        <v>0</v>
      </c>
      <c r="DQ54" s="54" cm="1">
        <f t="array" ref="DQ54">IFERROR(VLOOKUP($A54,TRANSPOSE('[1]Fur 1 PLC'!$CL$1:$DP$38),7,0),0)</f>
        <v>76.025641025641022</v>
      </c>
      <c r="DR54" s="54" cm="1">
        <f t="array" ref="DR54">IFERROR(VLOOKUP($A54,TRANSPOSE('[1]Fur 1 PLC'!$CL$1:$DP$38),35,0),0)</f>
        <v>23</v>
      </c>
      <c r="DS54" s="54" cm="1">
        <f t="array" ref="DS54">IFERROR(VLOOKUP($A54,TRANSPOSE('[1]Fur 1 PLC'!$CL$1:$DP$38),11,0),0)</f>
        <v>334.4358974358974</v>
      </c>
      <c r="DT54" s="54" cm="1">
        <f t="array" ref="DT54">IFERROR(VLOOKUP($A54,TRANSPOSE('[1]Fur 1 PLC'!$CL$1:$DP$38),19,0),0)</f>
        <v>0</v>
      </c>
      <c r="DU54" s="54" cm="1">
        <f t="array" ref="DU54">IFERROR(VLOOKUP($A54,TRANSPOSE('[1]Fur 1 PLC'!$CL$1:$DP$38),18,0),0)</f>
        <v>0</v>
      </c>
      <c r="DV54" s="54" cm="1">
        <f t="array" ref="DV54">IFERROR(VLOOKUP($A54,TRANSPOSE('[1]Fur 1 PLC'!$CL$1:$DP$38),15,0),0)</f>
        <v>154.89743589743591</v>
      </c>
      <c r="DW54" t="str">
        <f>TEXT(C54,"Mmm-yy")</f>
        <v>Dec-25</v>
      </c>
    </row>
    <row r="55" spans="1:127" x14ac:dyDescent="0.3">
      <c r="A55" s="28" t="str">
        <f t="shared" si="59"/>
        <v>F246005</v>
      </c>
      <c r="B55" s="29" t="s">
        <v>27</v>
      </c>
      <c r="C55" s="30">
        <f>C54</f>
        <v>46005</v>
      </c>
      <c r="D55" s="29" t="str">
        <f>VLOOKUP($B55&amp;$C55,'[1]FC2 Prod'!$A$6:$BP$36,[2]Consolidated!D$1)</f>
        <v>Mr. Girish Malik</v>
      </c>
      <c r="E55" s="29">
        <f>VLOOKUP($B55&amp;$C55,'[1]FC2 Prod'!$A$6:$BP$36,[2]Consolidated!E$1)</f>
        <v>24.150000000000002</v>
      </c>
      <c r="F55" s="29">
        <f>VLOOKUP($B55&amp;$C55,'[1]FC2 Prod'!$A$6:$BP$36,[2]Consolidated!F$1)</f>
        <v>0</v>
      </c>
      <c r="G55" s="29">
        <f>VLOOKUP($B55&amp;$C55,'[1]FC2 Prod'!$A$6:$BP$36,[2]Consolidated!G$1)</f>
        <v>24.15</v>
      </c>
      <c r="H55" s="32">
        <f>VLOOKUP($B55&amp;$C55,'[1]FC2 Prod'!$A$6:$BP$36,[2]Consolidated!H$1)</f>
        <v>17.510000000000002</v>
      </c>
      <c r="I55" s="32">
        <f>VLOOKUP($B55&amp;$C55,'[1]FC2 Prod'!$A$6:$BP$36,[2]Consolidated!I$1)</f>
        <v>5.42</v>
      </c>
      <c r="J55" s="32">
        <f>VLOOKUP($B55&amp;$C55,'[1]FC2 Prod'!$A$6:$BP$36,[2]Consolidated!J$1)</f>
        <v>40.76</v>
      </c>
      <c r="K55" s="32">
        <f>VLOOKUP($B55&amp;$C55,'[1]FC2 Prod'!$A$6:$BP$36,[2]Consolidated!K$1)</f>
        <v>1.36</v>
      </c>
      <c r="L55" s="32">
        <f>VLOOKUP($B55&amp;$C55,'[1]FC2 Prod'!$A$6:$BP$36,[2]Consolidated!L$1)</f>
        <v>28.32</v>
      </c>
      <c r="M55" s="32">
        <f>VLOOKUP($B55&amp;$C55,'[1]FC2 Prod'!$A$6:$BP$36,[2]Consolidated!M$1)</f>
        <v>4.8499999999999996</v>
      </c>
      <c r="N55" s="32">
        <f>VLOOKUP($B55&amp;$C55,'[1]FC2 Prod'!$A$6:$BP$36,[2]Consolidated!N$1)</f>
        <v>15.92</v>
      </c>
      <c r="O55" s="32">
        <f>VLOOKUP($B55&amp;$C55,'[1]FC2 Prod'!$A$6:$BP$36,[2]Consolidated!O$1)</f>
        <v>0.81</v>
      </c>
      <c r="P55" s="34">
        <f>VLOOKUP($B55&amp;$C55,'[1]FC2 Prod'!$A$6:$BP$36,[2]Consolidated!P$1)</f>
        <v>7</v>
      </c>
      <c r="Q55" s="29">
        <f>VLOOKUP($B55&amp;$C55,'[1]FC2 Prod'!$A$6:$BP$36,[2]Consolidated!Q$1)</f>
        <v>51.510999999999996</v>
      </c>
      <c r="R55" s="29">
        <f>VLOOKUP($B55&amp;$C55,'[1]FC2 Prod'!$A$6:$BP$36,[2]Consolidated!R$1)</f>
        <v>16.038999999999998</v>
      </c>
      <c r="S55" s="34">
        <f>VLOOKUP($B55&amp;$C55,'[1]FC2 Prod'!$A$6:$BP$36,[2]Consolidated!S$1)</f>
        <v>18</v>
      </c>
      <c r="T55" s="34">
        <f>VLOOKUP($B55&amp;$C55,'[1]FC2 Prod'!$A$6:$BP$36,[2]Consolidated!T$1)</f>
        <v>15</v>
      </c>
      <c r="U55" s="34">
        <f>VLOOKUP($B55&amp;$C55,'[1]FC2 Prod'!$A$6:$BP$36,[2]Consolidated!U$1)</f>
        <v>25</v>
      </c>
      <c r="V55" s="34">
        <f>VLOOKUP($B55&amp;$C55,'[1]FC2 Prod'!$A$6:$BP$36,[2]Consolidated!V$1)</f>
        <v>58</v>
      </c>
      <c r="W55" s="29">
        <f>VLOOKUP($B55&amp;$C55,'[1]FC2 Prod'!$A$6:$BP$36,[2]Consolidated!W$1)</f>
        <v>2.1329606625258797</v>
      </c>
      <c r="X55" s="35">
        <f>VLOOKUP($B55&amp;$C55,'[1]FC2 Prod'!$A$6:$BP$36,[2]Consolidated!X$1)</f>
        <v>24.9</v>
      </c>
      <c r="Y55" s="36">
        <f>VLOOKUP($B55&amp;$C55,'[1]FC2 Prod'!$A$6:$BP$36,[2]Consolidated!Y$1)</f>
        <v>0.96987951807228912</v>
      </c>
      <c r="Z55" s="37" t="str">
        <f>VLOOKUP($B55&amp;$C55,'[1]FC2 Prod'!$A$6:$BP$36,[2]Consolidated!Z$1)</f>
        <v xml:space="preserve">55/22 </v>
      </c>
      <c r="AA55" s="31">
        <f>VLOOKUP($B55&amp;$C55,'[1]FC2 Prod'!$A$6:$BP$36,[2]Consolidated!AA$1)</f>
        <v>54.961428571428577</v>
      </c>
      <c r="AB55" s="31">
        <f>VLOOKUP($B55&amp;$C55,'[1]FC2 Prod'!$A$6:$BP$36,[2]Consolidated!AB$1)</f>
        <v>22.24</v>
      </c>
      <c r="AC55" s="31">
        <f>VLOOKUP($B55&amp;$C55,'[1]FC2 Prod'!$A$6:$BP$36,[2]Consolidated!AC$1)</f>
        <v>0.40142857142857141</v>
      </c>
      <c r="AD55" s="38">
        <f>VLOOKUP($B55&amp;$C55,'[1]FC2 Prod'!$A$6:$BP$36,[2]Consolidated!AD$1)</f>
        <v>727.78737031055914</v>
      </c>
      <c r="AE55" s="38">
        <f>VLOOKUP($B55&amp;$C55,'[1]FC2 Prod'!$A$6:$BP$36,[2]Consolidated!AE$1)</f>
        <v>676.98308064596279</v>
      </c>
      <c r="AF55" s="39">
        <f>VLOOKUP($B55&amp;$C55,'[1]FC2 Prod'!$A$6:$BP$36,[2]Consolidated!AF$1)</f>
        <v>0.75518524796570197</v>
      </c>
      <c r="AG55" s="39">
        <f>VLOOKUP($B55&amp;$C55,'[1]FC2 Prod'!$A$6:$BP$36,[2]Consolidated!AG$1)</f>
        <v>0.81185823017889247</v>
      </c>
      <c r="AH55" s="34">
        <f>VLOOKUP($B55&amp;$C55,'[1]FC2 Prod'!$A$6:$BP$36,[2]Consolidated!AH$1)</f>
        <v>522.59534161490694</v>
      </c>
      <c r="AI55" s="33">
        <f>VLOOKUP($B55&amp;$C55,'[1]FC2 Prod'!$A$6:$BP$36,[2]Consolidated!AI$1)</f>
        <v>475.49334368530026</v>
      </c>
      <c r="AJ55" s="39">
        <f>VLOOKUP($B55&amp;$C55,'[1]FC2 Prod'!$A$6:$BP$36,[2]Consolidated!AJ$1)</f>
        <v>0.5657558063640038</v>
      </c>
      <c r="AK55" s="39">
        <f>VLOOKUP($B55&amp;$C55,'[1]FC2 Prod'!$A$6:$BP$36,[2]Consolidated!AK$1)</f>
        <v>0.46934020903951573</v>
      </c>
      <c r="AL55" s="40" t="str">
        <f>VLOOKUP($B55&amp;$C55,'[1]FC2 Prod'!$A$6:$BP$36,[2]Consolidated!AL$1)</f>
        <v>10/70</v>
      </c>
      <c r="AM55" s="41">
        <f>VLOOKUP($B55&amp;$C55,'[1]FC2 Prod'!$A$6:$BP$36,[2]Consolidated!AM$1)</f>
        <v>2.5672877846790888E-2</v>
      </c>
      <c r="AN55" s="42">
        <f>VLOOKUP($B55&amp;$C55,'[1]FC2 Prod'!$A$6:$BP$36,[2]Consolidated!AN$1)</f>
        <v>116.7</v>
      </c>
      <c r="AO55" s="43">
        <f>VLOOKUP($B55&amp;$C55,'[1]FC2 Prod'!$A$6:$BP$36,[2]Consolidated!AO$1)</f>
        <v>4.3380000000000001</v>
      </c>
      <c r="AP55" s="44">
        <f>VLOOKUP($B55&amp;$C55,'[1]FC2 Prod'!$A$6:$BP$36,[2]Consolidated!AP$1)</f>
        <v>5.0119254658385097</v>
      </c>
      <c r="AQ55" s="44">
        <f>VLOOKUP($B55&amp;$C55,'[1]FC2 Prod'!$A$6:$BP$36,[2]Consolidated!AQ$1)</f>
        <v>29.114311098922624</v>
      </c>
      <c r="AR55" s="45">
        <f>VLOOKUP($B55&amp;$C55,'[1]FC2 Prod'!$A$6:$BP$36,[2]Consolidated!AR$1)</f>
        <v>0.7971311475409838</v>
      </c>
      <c r="AS55" s="46">
        <f>VLOOKUP($B55&amp;$C55,'[1]FC2 Prod'!$A$6:$BP$36,[2]Consolidated!AS$1)</f>
        <v>2.165</v>
      </c>
      <c r="AT55" s="29">
        <f>VLOOKUP($B55&amp;$C55,'[1]FC2 Prod'!$A$6:$BP$36,[2]Consolidated!AT$1)</f>
        <v>0.77713812723128528</v>
      </c>
      <c r="AU55" s="34">
        <f>VLOOKUP($B55&amp;$C55,'[1]FC2 Prod'!$A$6:$BP$36,[2]Consolidated!AU$1)</f>
        <v>536.44097222222217</v>
      </c>
      <c r="AV55" s="34">
        <f>VLOOKUP($B55&amp;$C55,'[1]FC2 Prod'!$A$6:$BP$36,[2]Consolidated!AV$1)</f>
        <v>125</v>
      </c>
      <c r="AW55" s="47">
        <f>VLOOKUP($B55&amp;$C55,'[1]FC2 Prod'!$A$6:$BP$36,[2]Consolidated!AW$1)</f>
        <v>28677.378881987577</v>
      </c>
      <c r="AX55" s="47">
        <f>VLOOKUP($B55&amp;$C55,'[1]FC2 Prod'!$A$6:$BP$36,[2]Consolidated!AX$1)</f>
        <v>14809.53540372671</v>
      </c>
      <c r="AY55" s="48">
        <f>VLOOKUP($B55&amp;$C55,'[1]FC2 Prod'!$A$6:$BP$36,[2]Consolidated!AY$1)</f>
        <v>1344.9689440993789</v>
      </c>
      <c r="AZ55" s="47">
        <f>VLOOKUP($B55&amp;$C55,'[1]FC2 Prod'!$A$6:$BP$36,[2]Consolidated!AZ$1)</f>
        <v>1694.8385093167701</v>
      </c>
      <c r="BA55" s="47">
        <f>VLOOKUP($B55&amp;$C55,'[1]FC2 Prod'!$A$6:$BP$36,[2]Consolidated!BA$1)</f>
        <v>29319.763975155282</v>
      </c>
      <c r="BB55" s="47">
        <f>VLOOKUP($B55&amp;$C55,'[1]FC2 Prod'!$A$6:$BP$36,[2]Consolidated!BB$1)</f>
        <v>758.46485714285723</v>
      </c>
      <c r="BC55" s="47">
        <f>VLOOKUP($B55&amp;$C55,'[1]FC2 Prod'!$A$6:$BP$36,[2]Consolidated!BC$1)</f>
        <v>9522.6583850931693</v>
      </c>
      <c r="BD55" s="49">
        <f>VLOOKUP($B55&amp;$C55,'[1]FC2 Prod'!$A$6:$BP$36,[2]Consolidated!BD$1)</f>
        <v>86127.608956521741</v>
      </c>
      <c r="BE55" s="47">
        <f>VLOOKUP($B55&amp;$C55,'[1]FC2 Prod'!$A$6:$BP$36,[2]Consolidated!BE$1)</f>
        <v>26720.615817805385</v>
      </c>
      <c r="BF55" s="47">
        <f>VLOOKUP($B55&amp;$C55,'[1]FC2 Prod'!$A$6:$BP$36,[2]Consolidated!BF$1)</f>
        <v>13978.930351966876</v>
      </c>
      <c r="BG55" s="50">
        <f>VLOOKUP($B55&amp;$C55,'[1]FC2 Prod'!$A$6:$BP$36,[2]Consolidated!BG$1)</f>
        <v>1880.496894409938</v>
      </c>
      <c r="BH55" s="50">
        <f>VLOOKUP($B55&amp;$C55,'[1]FC2 Prod'!$A$6:$BP$36,[2]Consolidated!BH$1)</f>
        <v>735.9464554865425</v>
      </c>
      <c r="BI55" s="50">
        <f>VLOOKUP($B55&amp;$C55,'[1]FC2 Prod'!$A$6:$BP$36,[2]Consolidated!BI$1)</f>
        <v>83853.250389233959</v>
      </c>
      <c r="BJ55" s="37" t="e">
        <f>VLOOKUP($B55&amp;$C55,'[1]FC2 Prod'!$A$6:$BP$36,[2]Consolidated!BJ$1)</f>
        <v>#REF!</v>
      </c>
      <c r="BK55" s="37" t="e">
        <f>VLOOKUP($B55&amp;$C55,'[1]FC2 Prod'!$A$6:$BP$36,[2]Consolidated!BK$1)</f>
        <v>#REF!</v>
      </c>
      <c r="BL55" s="37" t="e">
        <f>VLOOKUP($B55&amp;$C55,'[1]FC2 Prod'!$A$6:$BP$36,[2]Consolidated!BL$1)</f>
        <v>#REF!</v>
      </c>
      <c r="BM55" s="37" t="e">
        <f>VLOOKUP($B55&amp;$C55,'[1]FC2 Prod'!$A$6:$BP$36,[2]Consolidated!BM$1)</f>
        <v>#REF!</v>
      </c>
      <c r="BN55" s="37">
        <f>VLOOKUP($B55&amp;$C55,'[1]FC2 Prod'!$A$6:$BP$36,[2]Consolidated!BN$1)</f>
        <v>220</v>
      </c>
      <c r="BO55" s="37">
        <f>VLOOKUP($B55&amp;$C55,'[1]FC2 Prod'!$A$6:$BP$36,[2]Consolidated!BO$1)</f>
        <v>220</v>
      </c>
      <c r="BP55" s="37" t="str">
        <f>VLOOKUP($B55&amp;$C55,'[1]FC2 Prod'!$A$6:$BP$36,[2]Consolidated!BP$1)</f>
        <v>Power grids supply failure.</v>
      </c>
      <c r="BQ55" s="29" t="e">
        <f>VLOOKUP($B55&amp;$C55,'[1]FC2 Prod'!$A$6:$BP$36,[2]Consolidated!BQ$1)</f>
        <v>#REF!</v>
      </c>
      <c r="BR55" s="51">
        <f>VLOOKUP($B55&amp;$C55,'[1]FC2 Prod'!$A$6:$BQ$36,[2]Consolidated!BR$1)</f>
        <v>68163</v>
      </c>
      <c r="BS55" s="52">
        <f t="shared" si="65"/>
        <v>71899.80703933748</v>
      </c>
      <c r="BT55" s="32">
        <f>BR55-BS55</f>
        <v>-3736.8070393374801</v>
      </c>
      <c r="BU55" s="37">
        <f>E55*BT55</f>
        <v>-90243.890000000145</v>
      </c>
      <c r="BV55" s="53" t="s">
        <v>131</v>
      </c>
      <c r="BW55" s="54" cm="1">
        <f t="array" ref="BW55">IFERROR(VLOOKUP($A55,TRANSPOSE('[1]Fur 2 PLC'!$AR$1:$BV$38),8,0),0)</f>
        <v>0</v>
      </c>
      <c r="BX55" s="54" cm="1">
        <f t="array" ref="BX55">IFERROR(VLOOKUP($A55,TRANSPOSE('[1]Fur 2 PLC'!$AR$1:$BV$38),30,0),0)</f>
        <v>0</v>
      </c>
      <c r="BY55" s="54" cm="1">
        <f t="array" ref="BY55">IFERROR(VLOOKUP($A55,TRANSPOSE('[1]Fur 2 PLC'!$AR$1:$BV$38),14,0),0)</f>
        <v>0</v>
      </c>
      <c r="BZ55" s="54" cm="1">
        <f t="array" ref="BZ55">IFERROR(VLOOKUP($A55,TRANSPOSE('[1]Fur 2 PLC'!$AR$1:$BV$38),16,0),0)</f>
        <v>0</v>
      </c>
      <c r="CA55" s="54" cm="1">
        <f t="array" ref="CA55">IFERROR(VLOOKUP($A55,TRANSPOSE('[1]Fur 2 PLC'!$AR$1:$BV$38),9,0),0)</f>
        <v>542.85714285714278</v>
      </c>
      <c r="CB55" s="54" cm="1">
        <f t="array" ref="CB55">IFERROR(VLOOKUP($A55,TRANSPOSE('[1]Fur 2 PLC'!$AR$1:$BV$38),17,0),0)</f>
        <v>420.45548654244305</v>
      </c>
      <c r="CC55" s="54" cm="1">
        <f t="array" ref="CC55">IFERROR(VLOOKUP($A55,TRANSPOSE('[1]Fur 2 PLC'!$AR$1:$BV$38),20,0),0)</f>
        <v>0</v>
      </c>
      <c r="CD55" s="54" cm="1">
        <f t="array" ref="CD55">IFERROR(VLOOKUP($A55,TRANSPOSE('[1]Fur 2 PLC'!$AR$1:$BV$38),28,0),0)</f>
        <v>0</v>
      </c>
      <c r="CE55" s="54" cm="1">
        <f t="array" ref="CE55">IFERROR(VLOOKUP($A55,TRANSPOSE('[1]Fur 2 PLC'!$AR$1:$BV$38),13,0),0)</f>
        <v>0</v>
      </c>
      <c r="CF55" s="54" cm="1">
        <f t="array" ref="CF55">IFERROR(VLOOKUP($A55,TRANSPOSE('[1]Fur 2 PLC'!$AR$1:$BV$38),37,0),0)</f>
        <v>696.48033126294001</v>
      </c>
      <c r="CG55" s="54" cm="1">
        <f t="array" ref="CG55">IFERROR(VLOOKUP($A55,TRANSPOSE('[1]Fur 2 PLC'!$AR$1:$BV$38),6,0),0)</f>
        <v>0</v>
      </c>
      <c r="CH55" s="54" cm="1">
        <f t="array" ref="CH55">IFERROR(VLOOKUP($A55,TRANSPOSE('[1]Fur 2 PLC'!$AR$1:$BV$38),21,0),0)</f>
        <v>0</v>
      </c>
      <c r="CI55" s="54" cm="1">
        <f t="array" ref="CI55">IFERROR(VLOOKUP($A55,TRANSPOSE('[1]Fur 2 PLC'!$AR$1:$BV$38),12,0),0)</f>
        <v>0</v>
      </c>
      <c r="CJ55" s="54" cm="1">
        <f t="array" ref="CJ55">IFERROR(VLOOKUP($A55,TRANSPOSE('[1]Fur 2 PLC'!$AR$1:$BV$38),25,0),0)</f>
        <v>0</v>
      </c>
      <c r="CK55" s="54" cm="1">
        <f t="array" ref="CK55">IFERROR(VLOOKUP($A55,TRANSPOSE('[1]Fur 2 PLC'!$AR$1:$BV$38),26,0),0)</f>
        <v>106.50103519668738</v>
      </c>
      <c r="CL55" s="54" cm="1">
        <f t="array" ref="CL55">IFERROR(VLOOKUP($A55,TRANSPOSE('[1]Fur 2 PLC'!$AR$1:$BV$38),27,0),0)</f>
        <v>496.89440993788827</v>
      </c>
      <c r="CM55" s="54" cm="1">
        <f t="array" ref="CM55">IFERROR(VLOOKUP($A55,TRANSPOSE('[1]Fur 2 PLC'!$AR$1:$BV$38),22,0),0)</f>
        <v>0</v>
      </c>
      <c r="CN55" s="54"/>
      <c r="CO55" s="54" cm="1">
        <f t="array" ref="CO55">IFERROR(VLOOKUP($A55,TRANSPOSE('[1]Fur 2 PLC'!$AR$1:$BV$38),29,0),0)</f>
        <v>60.745341614906842</v>
      </c>
      <c r="CP55" s="54" cm="1">
        <f t="array" ref="CP55">IFERROR(VLOOKUP($A55,TRANSPOSE('[1]Fur 2 PLC'!$AR$1:$BV$38),10,0),0)</f>
        <v>0</v>
      </c>
      <c r="CQ55" s="54" cm="1">
        <f t="array" ref="CQ55">IFERROR(VLOOKUP($A55,TRANSPOSE('[1]Fur 2 PLC'!$AR$1:$BV$38),7,0),0)</f>
        <v>192.29813664596273</v>
      </c>
      <c r="CR55" s="54" cm="1">
        <f t="array" ref="CR55">IFERROR(VLOOKUP($A55,TRANSPOSE('[1]Fur 2 PLC'!$AR$1:$BV$38),35,0),0)</f>
        <v>0</v>
      </c>
      <c r="CS55" s="54" cm="1">
        <f t="array" ref="CS55">IFERROR(VLOOKUP($A55,TRANSPOSE('[1]Fur 2 PLC'!$AR$1:$BV$38),11,0),0)</f>
        <v>801.90476190476193</v>
      </c>
      <c r="CT55" s="54" cm="1">
        <f t="array" ref="CT55">IFERROR(VLOOKUP($A55,TRANSPOSE('[1]Fur 2 PLC'!$AR$1:$BV$38),19,0),0)</f>
        <v>0</v>
      </c>
      <c r="CU55" s="54" cm="1">
        <f t="array" ref="CU55">IFERROR(VLOOKUP($A55,TRANSPOSE('[1]Fur 2 PLC'!$AR$1:$BV$38),18,0),0)</f>
        <v>0</v>
      </c>
      <c r="CV55" s="54" cm="1">
        <f t="array" ref="CV55">IFERROR(VLOOKUP($A55,TRANSPOSE('[1]Fur 2 PLC'!$AR$1:$BV$38),15,0),0)</f>
        <v>367.7432712215321</v>
      </c>
      <c r="CW55" s="54" cm="1">
        <f t="array" ref="CW55">IFERROR(VLOOKUP($A55,TRANSPOSE('[1]Fur 2 PLC'!$CI$1:$DM$38),8,0),0)</f>
        <v>0</v>
      </c>
      <c r="CX55" s="54" cm="1">
        <f t="array" ref="CX55">IFERROR(VLOOKUP($A55,TRANSPOSE('[1]Fur 2 PLC'!$CI$1:$DM$38),30,0),0)</f>
        <v>0</v>
      </c>
      <c r="CY55" s="54" cm="1">
        <f t="array" ref="CY55">IFERROR(VLOOKUP($A55,TRANSPOSE('[1]Fur 2 PLC'!$CI$1:$DM$38),14,0),0)</f>
        <v>0</v>
      </c>
      <c r="CZ55" s="54" cm="1">
        <f t="array" ref="CZ55">IFERROR(VLOOKUP($A55,TRANSPOSE('[1]Fur 2 PLC'!$CI$1:$DM$38),16,0),0)</f>
        <v>0</v>
      </c>
      <c r="DA55" s="54" cm="1">
        <f t="array" ref="DA55">IFERROR(VLOOKUP($A55,TRANSPOSE('[1]Fur 2 PLC'!$CI$1:$DM$38),9,0),0)</f>
        <v>226.03448275862067</v>
      </c>
      <c r="DB55" s="55" cm="1">
        <f t="array" ref="DB55">IFERROR(VLOOKUP($A55,TRANSPOSE('[1]Fur 2 PLC'!$CI$1:$DM$38),17,0),0)</f>
        <v>175.06896551724139</v>
      </c>
      <c r="DC55" s="55" cm="1">
        <f t="array" ref="DC55">IFERROR(VLOOKUP($A55,TRANSPOSE('[1]Fur 2 PLC'!$CI$1:$DM$38),20,0),0)</f>
        <v>0</v>
      </c>
      <c r="DD55" s="54" cm="1">
        <f t="array" ref="DD55">IFERROR(VLOOKUP($A55,TRANSPOSE('[1]Fur 2 PLC'!$CI$1:$DM$38),28,0),0)</f>
        <v>0</v>
      </c>
      <c r="DE55" s="54" cm="1">
        <f t="array" ref="DE55">IFERROR(VLOOKUP($A55,TRANSPOSE('[1]Fur 2 PLC'!$CI$1:$DM$38),13,0),0)</f>
        <v>0</v>
      </c>
      <c r="DF55" s="54" cm="1">
        <f t="array" ref="DF55">IFERROR(VLOOKUP($A55,TRANSPOSE('[1]Fur 2 PLC'!$CI$1:$DM$38),37,0),0)</f>
        <v>290</v>
      </c>
      <c r="DG55" s="54" cm="1">
        <f t="array" ref="DG55">IFERROR(VLOOKUP($A55,TRANSPOSE('[1]Fur 2 PLC'!$CI$1:$DM$38),6,0),0)</f>
        <v>0</v>
      </c>
      <c r="DH55" s="54" cm="1">
        <f t="array" ref="DH55">IFERROR(VLOOKUP($A55,TRANSPOSE('[1]Fur 2 PLC'!$CI$1:$DM$38),21,0),0)</f>
        <v>0</v>
      </c>
      <c r="DI55" s="54" cm="1">
        <f t="array" ref="DI55">IFERROR(VLOOKUP($A55,TRANSPOSE('[1]Fur 2 PLC'!$CI$1:$DM$38),12,0),0)</f>
        <v>0</v>
      </c>
      <c r="DJ55" s="54" cm="1">
        <f t="array" ref="DJ55">IFERROR(VLOOKUP($A55,TRANSPOSE('[1]Fur 2 PLC'!$CI$1:$DM$38),25,0),0)</f>
        <v>0</v>
      </c>
      <c r="DK55" s="54" cm="1">
        <f t="array" ref="DK55">IFERROR(VLOOKUP($A55,TRANSPOSE('[1]Fur 2 PLC'!$CI$1:$DM$38),26,0),0)</f>
        <v>44.344827586206897</v>
      </c>
      <c r="DL55" s="54" cm="1">
        <f t="array" ref="DL55">IFERROR(VLOOKUP($A55,TRANSPOSE('[1]Fur 2 PLC'!$CI$1:$DM$38),27,0),0)</f>
        <v>206.89655172413794</v>
      </c>
      <c r="DM55" s="54" cm="1">
        <f t="array" ref="DM55">IFERROR(VLOOKUP($A55,TRANSPOSE('[1]Fur 2 PLC'!$CI$1:$DM$38),22,0),0)</f>
        <v>0</v>
      </c>
      <c r="DN55" s="54" cm="1">
        <f t="array" ref="DN55">IFERROR(VLOOKUP($A55,TRANSPOSE('[1]Fur 2 PLC'!$CI$1:$DM$38),19,0),0)</f>
        <v>0</v>
      </c>
      <c r="DO55" s="54" cm="1">
        <f t="array" ref="DO55">IFERROR(VLOOKUP($A55,TRANSPOSE('[1]Fur 2 PLC'!$CI$1:$DM$38),29,0),0)</f>
        <v>25.293103448275865</v>
      </c>
      <c r="DP55" s="54" cm="1">
        <f t="array" ref="DP55">IFERROR(VLOOKUP($A55,TRANSPOSE('[1]Fur 2 PLC'!$CI$1:$DM$38),10,0),0)</f>
        <v>0</v>
      </c>
      <c r="DQ55" s="54" cm="1">
        <f t="array" ref="DQ55">IFERROR(VLOOKUP($A55,TRANSPOSE('[1]Fur 2 PLC'!$CI$1:$DM$38),7,0),0)</f>
        <v>80.068965517241381</v>
      </c>
      <c r="DR55" s="54" cm="1">
        <f t="array" ref="DR55">IFERROR(VLOOKUP($A55,TRANSPOSE('[1]Fur 2 PLC'!$CI$1:$DM$38),35,0),0)</f>
        <v>0</v>
      </c>
      <c r="DS55" s="54" cm="1">
        <f t="array" ref="DS55">IFERROR(VLOOKUP($A55,TRANSPOSE('[1]Fur 2 PLC'!$CI$1:$DM$38),11,0),0)</f>
        <v>333.89655172413791</v>
      </c>
      <c r="DT55" s="54" cm="1">
        <f t="array" ref="DT55">IFERROR(VLOOKUP($A55,TRANSPOSE('[1]Fur 2 PLC'!$CI$1:$DM$38),19,0),0)</f>
        <v>0</v>
      </c>
      <c r="DU55" s="54" cm="1">
        <f t="array" ref="DU55">IFERROR(VLOOKUP($A55,TRANSPOSE('[1]Fur 2 PLC'!$CI$1:$DM$38),18,0),0)</f>
        <v>0</v>
      </c>
      <c r="DV55" s="54" cm="1">
        <f t="array" ref="DV55">IFERROR(VLOOKUP($A55,TRANSPOSE('[1]Fur 2 PLC'!$CI$1:$DM$38),15,0),0)</f>
        <v>153.12068965517241</v>
      </c>
      <c r="DW55" t="str">
        <f t="shared" ref="DW55:DW57" si="66">TEXT(C55,"Mmm-yy")</f>
        <v>Dec-25</v>
      </c>
    </row>
    <row r="56" spans="1:127" x14ac:dyDescent="0.3">
      <c r="A56" s="28" t="str">
        <f t="shared" si="59"/>
        <v>F346005</v>
      </c>
      <c r="B56" s="29" t="s">
        <v>28</v>
      </c>
      <c r="C56" s="30">
        <f>C55</f>
        <v>46005</v>
      </c>
      <c r="D56" s="29" t="str">
        <f>VLOOKUP($B56&amp;$C56,'[1]FC3 Prod'!$A$6:$BP$36,[2]Consolidated!D$1)</f>
        <v>Mr. Ajay Singh</v>
      </c>
      <c r="E56" s="29">
        <f>VLOOKUP($B56&amp;$C56,'[1]FC3 Prod'!$A$6:$BP$36,[2]Consolidated!E$1)</f>
        <v>21.61</v>
      </c>
      <c r="F56" s="31">
        <f>VLOOKUP($B56&amp;$C56,'[1]FC3 Prod'!$A$6:$BP$36,[2]Consolidated!F$1)</f>
        <v>0</v>
      </c>
      <c r="G56" s="32">
        <f>VLOOKUP($B56&amp;$C56,'[1]FC3 Prod'!$A$6:$BP$36,[2]Consolidated!G$1)</f>
        <v>21.61</v>
      </c>
      <c r="H56" s="32">
        <f>VLOOKUP($B56&amp;$C56,'[1]FC3 Prod'!$A$6:$BP$36,[2]Consolidated!H$1)</f>
        <v>16.701999999999998</v>
      </c>
      <c r="I56" s="32">
        <f>VLOOKUP($B56&amp;$C56,'[1]FC3 Prod'!$A$6:$BP$36,[2]Consolidated!I$1)</f>
        <v>10.52</v>
      </c>
      <c r="J56" s="32">
        <f>VLOOKUP($B56&amp;$C56,'[1]FC3 Prod'!$A$6:$BP$36,[2]Consolidated!J$1)</f>
        <v>39.380000000000003</v>
      </c>
      <c r="K56" s="32">
        <f>VLOOKUP($B56&amp;$C56,'[1]FC3 Prod'!$A$6:$BP$36,[2]Consolidated!K$1)</f>
        <v>1.32</v>
      </c>
      <c r="L56" s="32">
        <f>VLOOKUP($B56&amp;$C56,'[1]FC3 Prod'!$A$6:$BP$36,[2]Consolidated!L$1)</f>
        <v>25.72</v>
      </c>
      <c r="M56" s="32">
        <f>VLOOKUP($B56&amp;$C56,'[1]FC3 Prod'!$A$6:$BP$36,[2]Consolidated!M$1)</f>
        <v>5.21</v>
      </c>
      <c r="N56" s="32">
        <f>VLOOKUP($B56&amp;$C56,'[1]FC3 Prod'!$A$6:$BP$36,[2]Consolidated!N$1)</f>
        <v>14.88</v>
      </c>
      <c r="O56" s="32">
        <f>VLOOKUP($B56&amp;$C56,'[1]FC3 Prod'!$A$6:$BP$36,[2]Consolidated!O$1)</f>
        <v>0.79</v>
      </c>
      <c r="P56" s="33">
        <f>VLOOKUP($B56&amp;$C56,'[1]FC3 Prod'!$A$6:$BP$36,[2]Consolidated!P$1)</f>
        <v>4</v>
      </c>
      <c r="Q56" s="29">
        <f>VLOOKUP($B56&amp;$C56,'[1]FC3 Prod'!$A$6:$BP$36,[2]Consolidated!Q$1)</f>
        <v>52.545000000000009</v>
      </c>
      <c r="R56" s="29">
        <f>VLOOKUP($B56&amp;$C56,'[1]FC3 Prod'!$A$6:$BP$36,[2]Consolidated!R$1)</f>
        <v>17.578999999999997</v>
      </c>
      <c r="S56" s="34">
        <f>VLOOKUP($B56&amp;$C56,'[1]FC3 Prod'!$A$6:$BP$36,[2]Consolidated!S$1)</f>
        <v>22</v>
      </c>
      <c r="T56" s="34">
        <f>VLOOKUP($B56&amp;$C56,'[1]FC3 Prod'!$A$6:$BP$36,[2]Consolidated!T$1)</f>
        <v>9</v>
      </c>
      <c r="U56" s="34">
        <f>VLOOKUP($B56&amp;$C56,'[1]FC3 Prod'!$A$6:$BP$36,[2]Consolidated!U$1)</f>
        <v>17</v>
      </c>
      <c r="V56" s="34">
        <f>VLOOKUP($B56&amp;$C56,'[1]FC3 Prod'!$A$6:$BP$36,[2]Consolidated!V$1)</f>
        <v>48</v>
      </c>
      <c r="W56" s="35">
        <f>VLOOKUP($B56&amp;$C56,'[1]FC3 Prod'!$A$6:$BP$36,[2]Consolidated!W$1)</f>
        <v>2.4315131883387324</v>
      </c>
      <c r="X56" s="35">
        <f>VLOOKUP($B56&amp;$C56,'[1]FC3 Prod'!$A$6:$BP$36,[2]Consolidated!X$1)</f>
        <v>22.28</v>
      </c>
      <c r="Y56" s="36">
        <f>VLOOKUP($B56&amp;$C56,'[1]FC3 Prod'!$A$6:$BP$36,[2]Consolidated!Y$1)</f>
        <v>0.96992818671454206</v>
      </c>
      <c r="Z56" s="37" t="str">
        <f>VLOOKUP($B56&amp;$C56,'[1]FC3 Prod'!$A$6:$BP$36,[2]Consolidated!Z$1)</f>
        <v>60/15</v>
      </c>
      <c r="AA56" s="31">
        <f>VLOOKUP($B56&amp;$C56,'[1]FC3 Prod'!$A$6:$BP$36,[2]Consolidated!AA$1)</f>
        <v>59.515000000000001</v>
      </c>
      <c r="AB56" s="31">
        <f>VLOOKUP($B56&amp;$C56,'[1]FC3 Prod'!$A$6:$BP$36,[2]Consolidated!AB$1)</f>
        <v>15.15</v>
      </c>
      <c r="AC56" s="31" t="e">
        <f>VLOOKUP($B56&amp;$C56,'[1]FC3 Prod'!$A$6:$BP$36,[2]Consolidated!AC$1)</f>
        <v>#REF!</v>
      </c>
      <c r="AD56" s="38">
        <f>VLOOKUP($B56&amp;$C56,'[1]FC3 Prod'!$A$6:$BP$36,[2]Consolidated!AD$1)</f>
        <v>821.16212031466932</v>
      </c>
      <c r="AE56" s="38">
        <f>VLOOKUP($B56&amp;$C56,'[1]FC3 Prod'!$A$6:$BP$36,[2]Consolidated!AE$1)</f>
        <v>787.99600313280905</v>
      </c>
      <c r="AF56" s="39">
        <f>VLOOKUP($B56&amp;$C56,'[1]FC3 Prod'!$A$6:$BP$36,[2]Consolidated!AF$1)</f>
        <v>0.72476553079669392</v>
      </c>
      <c r="AG56" s="39">
        <f>VLOOKUP($B56&amp;$C56,'[1]FC3 Prod'!$A$6:$BP$36,[2]Consolidated!AG$1)</f>
        <v>0.75527032831877605</v>
      </c>
      <c r="AH56" s="34">
        <f>VLOOKUP($B56&amp;$C56,'[1]FC3 Prod'!$A$6:$BP$36,[2]Consolidated!AH$1)</f>
        <v>528.43706617306805</v>
      </c>
      <c r="AI56" s="33">
        <f>VLOOKUP($B56&amp;$C56,'[1]FC3 Prod'!$A$6:$BP$36,[2]Consolidated!AI$1)</f>
        <v>479.81491207774172</v>
      </c>
      <c r="AJ56" s="39">
        <f>VLOOKUP($B56&amp;$C56,'[1]FC3 Prod'!$A$6:$BP$36,[2]Consolidated!AJ$1)</f>
        <v>0.37257701109212865</v>
      </c>
      <c r="AK56" s="39">
        <f>VLOOKUP($B56&amp;$C56,'[1]FC3 Prod'!$A$6:$BP$36,[2]Consolidated!AK$1)</f>
        <v>0.3973762477565923</v>
      </c>
      <c r="AL56" s="40" t="str">
        <f>VLOOKUP($B56&amp;$C56,'[1]FC3 Prod'!$A$6:$BP$36,[2]Consolidated!AL$1)</f>
        <v>25/50</v>
      </c>
      <c r="AM56" s="41">
        <f>VLOOKUP($B56&amp;$C56,'[1]FC3 Prod'!$A$6:$BP$36,[2]Consolidated!AM$1)</f>
        <v>3.2855159648310969E-2</v>
      </c>
      <c r="AN56" s="42">
        <f>VLOOKUP($B56&amp;$C56,'[1]FC3 Prod'!$A$6:$BP$36,[2]Consolidated!AN$1)</f>
        <v>90.1</v>
      </c>
      <c r="AO56" s="43">
        <f>VLOOKUP($B56&amp;$C56,'[1]FC3 Prod'!$A$6:$BP$36,[2]Consolidated!AO$1)</f>
        <v>4.3380000000000001</v>
      </c>
      <c r="AP56" s="44">
        <f>VLOOKUP($B56&amp;$C56,'[1]FC3 Prod'!$A$6:$BP$36,[2]Consolidated!AP$1)</f>
        <v>4.3701064322073107</v>
      </c>
      <c r="AQ56" s="44">
        <f>VLOOKUP($B56&amp;$C56,'[1]FC3 Prod'!$A$6:$BP$36,[2]Consolidated!AQ$1)</f>
        <v>29.994704480553796</v>
      </c>
      <c r="AR56" s="45">
        <f>VLOOKUP($B56&amp;$C56,'[1]FC3 Prod'!$A$6:$BP$36,[2]Consolidated!AR$1)</f>
        <v>0.6154371584699454</v>
      </c>
      <c r="AS56" s="46">
        <f>VLOOKUP($B56&amp;$C56,'[1]FC3 Prod'!$A$6:$BP$36,[2]Consolidated!AS$1)</f>
        <v>2.1</v>
      </c>
      <c r="AT56" s="29">
        <f>VLOOKUP($B56&amp;$C56,'[1]FC3 Prod'!$A$6:$BP$36,[2]Consolidated!AT$1)</f>
        <v>0.80585773790085435</v>
      </c>
      <c r="AU56" s="34">
        <f>VLOOKUP($B56&amp;$C56,'[1]FC3 Prod'!$A$6:$BP$36,[2]Consolidated!AU$1)</f>
        <v>480.97453703703701</v>
      </c>
      <c r="AV56" s="34">
        <f>VLOOKUP($B56&amp;$C56,'[1]FC3 Prod'!$A$6:$BP$36,[2]Consolidated!AV$1)</f>
        <v>150</v>
      </c>
      <c r="AW56" s="47">
        <f>VLOOKUP($B56&amp;$C56,'[1]FC3 Prod'!$A$6:$BP$36,[2]Consolidated!AW$1)</f>
        <v>31554.641369736237</v>
      </c>
      <c r="AX56" s="47">
        <f>VLOOKUP($B56&amp;$C56,'[1]FC3 Prod'!$A$6:$BP$36,[2]Consolidated!AX$1)</f>
        <v>12012.680240629339</v>
      </c>
      <c r="AY56" s="48">
        <f>VLOOKUP($B56&amp;$C56,'[1]FC3 Prod'!$A$6:$BP$36,[2]Consolidated!AY$1)</f>
        <v>1193.1975937066175</v>
      </c>
      <c r="AZ56" s="47">
        <f>VLOOKUP($B56&amp;$C56,'[1]FC3 Prod'!$A$6:$BP$36,[2]Consolidated!AZ$1)</f>
        <v>3410.8352614530309</v>
      </c>
      <c r="BA56" s="47">
        <f>VLOOKUP($B56&amp;$C56,'[1]FC3 Prod'!$A$6:$BP$36,[2]Consolidated!BA$1)</f>
        <v>25565.122628412766</v>
      </c>
      <c r="BB56" s="47">
        <f>VLOOKUP($B56&amp;$C56,'[1]FC3 Prod'!$A$6:$BP$36,[2]Consolidated!BB$1)</f>
        <v>737.36477093937981</v>
      </c>
      <c r="BC56" s="47">
        <f>VLOOKUP($B56&amp;$C56,'[1]FC3 Prod'!$A$6:$BP$36,[2]Consolidated!BC$1)</f>
        <v>8303.2022211938911</v>
      </c>
      <c r="BD56" s="49">
        <f>VLOOKUP($B56&amp;$C56,'[1]FC3 Prod'!$A$6:$BP$36,[2]Consolidated!BD$1)</f>
        <v>82777.044086071255</v>
      </c>
      <c r="BE56" s="47">
        <f>VLOOKUP($B56&amp;$C56,'[1]FC3 Prod'!$A$6:$BP$36,[2]Consolidated!BE$1)</f>
        <v>30600.20384081444</v>
      </c>
      <c r="BF56" s="47">
        <f>VLOOKUP($B56&amp;$C56,'[1]FC3 Prod'!$A$6:$BP$36,[2]Consolidated!BF$1)</f>
        <v>10866.286904211012</v>
      </c>
      <c r="BG56" s="50">
        <f>VLOOKUP($B56&amp;$C56,'[1]FC3 Prod'!$A$6:$BP$36,[2]Consolidated!BG$1)</f>
        <v>1240.0647848218418</v>
      </c>
      <c r="BH56" s="50">
        <f>VLOOKUP($B56&amp;$C56,'[1]FC3 Prod'!$A$6:$BP$36,[2]Consolidated!BH$1)</f>
        <v>716.82513419713098</v>
      </c>
      <c r="BI56" s="50">
        <f>VLOOKUP($B56&amp;$C56,'[1]FC3 Prod'!$A$6:$BP$36,[2]Consolidated!BI$1)</f>
        <v>80702.54077510412</v>
      </c>
      <c r="BJ56" s="37">
        <f>VLOOKUP($B56&amp;$C56,'[1]FC3 Prod'!$A$6:$BP$36,[2]Consolidated!BJ$1)</f>
        <v>40</v>
      </c>
      <c r="BK56" s="37" t="e">
        <f>VLOOKUP($B56&amp;$C56,'[1]FC3 Prod'!$A$6:$BP$36,[2]Consolidated!BK$1)</f>
        <v>#REF!</v>
      </c>
      <c r="BL56" s="37" t="e">
        <f>VLOOKUP($B56&amp;$C56,'[1]FC3 Prod'!$A$6:$BP$36,[2]Consolidated!BL$1)</f>
        <v>#REF!</v>
      </c>
      <c r="BM56" s="37" t="e">
        <f>VLOOKUP($B56&amp;$C56,'[1]FC3 Prod'!$A$6:$BP$36,[2]Consolidated!BM$1)</f>
        <v>#REF!</v>
      </c>
      <c r="BN56" s="37">
        <f>VLOOKUP($B56&amp;$C56,'[1]FC3 Prod'!$A$6:$BP$36,[2]Consolidated!BN$1)</f>
        <v>455</v>
      </c>
      <c r="BO56" s="37">
        <f>VLOOKUP($B56&amp;$C56,'[1]FC3 Prod'!$A$6:$BP$36,[2]Consolidated!BO$1)</f>
        <v>495</v>
      </c>
      <c r="BP56" s="37" t="str">
        <f>VLOOKUP($B56&amp;$C56,'[1]FC3 Prod'!$A$6:$BP$36,[2]Consolidated!BP$1)</f>
        <v>Power Grids supply failure and Pressure Ring Change.</v>
      </c>
      <c r="BQ56" s="51" t="e">
        <f>VLOOKUP($B56&amp;$C56,'[1]FC3 Prod'!$A$6:$BP$36,[2]Consolidated!BQ$1)</f>
        <v>#REF!</v>
      </c>
      <c r="BR56" s="51">
        <f>VLOOKUP($B56&amp;$C56,'[1]FC3 Prod'!$A$6:$BQ$36,[2]Consolidated!BR$1)</f>
        <v>60369</v>
      </c>
      <c r="BS56" s="52">
        <f t="shared" si="65"/>
        <v>68271.678158260067</v>
      </c>
      <c r="BT56" s="32">
        <f t="shared" ref="BT56:BT57" si="67">BR56-BS56</f>
        <v>-7902.678158260067</v>
      </c>
      <c r="BU56" s="37">
        <f t="shared" ref="BU56:BU57" si="68">E56*BT56</f>
        <v>-170776.87500000003</v>
      </c>
      <c r="BV56" s="53" t="s">
        <v>131</v>
      </c>
      <c r="BW56" s="54" cm="1">
        <f t="array" ref="BW56">IFERROR(VLOOKUP($A56,TRANSPOSE('[1]Fur 3 PLC'!$AS$1:$BX$38),8,0),0)</f>
        <v>1011.8926422952337</v>
      </c>
      <c r="BX56" s="54" cm="1">
        <f t="array" ref="BX56">IFERROR(VLOOKUP($A56,TRANSPOSE('[1]Fur 3 PLC'!$AS$1:$BX$38),30,0),0)</f>
        <v>0</v>
      </c>
      <c r="BY56" s="54" cm="1">
        <f t="array" ref="BY56">IFERROR(VLOOKUP($A56,TRANSPOSE('[1]Fur 3 PLC'!$AS$1:$BX$38),14,0),0)</f>
        <v>0</v>
      </c>
      <c r="BZ56" s="54" cm="1">
        <f t="array" ref="BZ56">IFERROR(VLOOKUP($A56,TRANSPOSE('[1]Fur 3 PLC'!$AS$1:$BX$38),16,0),0)</f>
        <v>0</v>
      </c>
      <c r="CA56" s="54" cm="1">
        <f t="array" ref="CA56">IFERROR(VLOOKUP($A56,TRANSPOSE('[1]Fur 3 PLC'!$AS$1:$BX$38),9,0),0)</f>
        <v>474.40999537251275</v>
      </c>
      <c r="CB56" s="54" cm="1">
        <f t="array" ref="CB56">IFERROR(VLOOKUP($A56,TRANSPOSE('[1]Fur 3 PLC'!$AS$1:$BX$38),17,0),0)</f>
        <v>0</v>
      </c>
      <c r="CC56" s="54" cm="1">
        <f t="array" ref="CC56">IFERROR(VLOOKUP($A56,TRANSPOSE('[1]Fur 3 PLC'!$AS$1:$BX$38),20,0),0)</f>
        <v>80.379453956501635</v>
      </c>
      <c r="CD56" s="54" cm="1">
        <f t="array" ref="CD56">IFERROR(VLOOKUP($A56,TRANSPOSE('[1]Fur 3 PLC'!$AS$1:$BX$38),28,0),0)</f>
        <v>0</v>
      </c>
      <c r="CE56" s="54" cm="1">
        <f t="array" ref="CE56">IFERROR(VLOOKUP($A56,TRANSPOSE('[1]Fur 3 PLC'!$AS$1:$BX$38),13,0),0)</f>
        <v>0</v>
      </c>
      <c r="CF56" s="54" cm="1">
        <f t="array" ref="CF56">IFERROR(VLOOKUP($A56,TRANSPOSE('[1]Fur 3 PLC'!$AS$1:$BX$38),37,0),0)</f>
        <v>446.73762147154093</v>
      </c>
      <c r="CG56" s="54" cm="1">
        <f t="array" ref="CG56">IFERROR(VLOOKUP($A56,TRANSPOSE('[1]Fur 3 PLC'!$AS$1:$BX$38),6,0),0)</f>
        <v>0</v>
      </c>
      <c r="CH56" s="54" cm="1">
        <f t="array" ref="CH56">IFERROR(VLOOKUP($A56,TRANSPOSE('[1]Fur 3 PLC'!$AS$1:$BX$38),21,0),0)</f>
        <v>0</v>
      </c>
      <c r="CI56" s="54" cm="1">
        <f t="array" ref="CI56">IFERROR(VLOOKUP($A56,TRANSPOSE('[1]Fur 3 PLC'!$AS$1:$BX$38),12,0),0)</f>
        <v>0</v>
      </c>
      <c r="CJ56" s="54" cm="1">
        <f t="array" ref="CJ56">IFERROR(VLOOKUP($A56,TRANSPOSE('[1]Fur 3 PLC'!$AS$1:$BX$38),25,0),0)</f>
        <v>0</v>
      </c>
      <c r="CK56" s="54" cm="1">
        <f t="array" ref="CK56">IFERROR(VLOOKUP($A56,TRANSPOSE('[1]Fur 3 PLC'!$AS$1:$BX$38),26,0),0)</f>
        <v>490.9763998149005</v>
      </c>
      <c r="CL56" s="54" cm="1">
        <f t="array" ref="CL56">IFERROR(VLOOKUP($A56,TRANSPOSE('[1]Fur 3 PLC'!$AS$1:$BX$38),27,0),0)</f>
        <v>144.84035168903287</v>
      </c>
      <c r="CM56" s="54" cm="1">
        <f t="array" ref="CM56">IFERROR(VLOOKUP($A56,TRANSPOSE('[1]Fur 3 PLC'!$AS$1:$BX$38),22,0),0)</f>
        <v>0</v>
      </c>
      <c r="CN56" s="54"/>
      <c r="CO56" s="54" cm="1">
        <f t="array" ref="CO56">IFERROR(VLOOKUP($A56,TRANSPOSE('[1]Fur 3 PLC'!$AS$1:$BX$38),29,0),0)</f>
        <v>177.64923646459974</v>
      </c>
      <c r="CP56" s="54" cm="1">
        <f t="array" ref="CP56">IFERROR(VLOOKUP($A56,TRANSPOSE('[1]Fur 3 PLC'!$AS$1:$BX$38),10,0),0)</f>
        <v>0</v>
      </c>
      <c r="CQ56" s="54" cm="1">
        <f t="array" ref="CQ56">IFERROR(VLOOKUP($A56,TRANSPOSE('[1]Fur 3 PLC'!$AS$1:$BX$38),7,0),0)</f>
        <v>195.60388708931055</v>
      </c>
      <c r="CR56" s="54" cm="1">
        <f t="array" ref="CR56">IFERROR(VLOOKUP($A56,TRANSPOSE('[1]Fur 3 PLC'!$AS$1:$BX$38),35,0),0)</f>
        <v>14.113836186950486</v>
      </c>
      <c r="CS56" s="54" cm="1">
        <f t="array" ref="CS56">IFERROR(VLOOKUP($A56,TRANSPOSE('[1]Fur 3 PLC'!$AS$1:$BX$38),11,0),0)</f>
        <v>0</v>
      </c>
      <c r="CT56" s="54" cm="1">
        <f t="array" ref="CT56">IFERROR(VLOOKUP($A56,TRANSPOSE('[1]Fur 3 PLC'!$AS$1:$BX$38),19,0),0)</f>
        <v>0</v>
      </c>
      <c r="CU56" s="54" cm="1">
        <f t="array" ref="CU56">IFERROR(VLOOKUP($A56,TRANSPOSE('[1]Fur 3 PLC'!$AS$1:$BX$38),18,0),0)</f>
        <v>432.06848681166127</v>
      </c>
      <c r="CV56" s="54" cm="1">
        <f t="array" ref="CV56">IFERROR(VLOOKUP($A56,TRANSPOSE('[1]Fur 3 PLC'!$AR$1:$BV$38),15,0),0)</f>
        <v>432.76260990282276</v>
      </c>
      <c r="CW56" s="54" cm="1">
        <f t="array" ref="CW56">IFERROR(VLOOKUP($A56,TRANSPOSE('[1]Fur 3 PLC'!$CK$1:$DO$38),8,0),0)</f>
        <v>455.56250000000006</v>
      </c>
      <c r="CX56" s="54" cm="1">
        <f t="array" ref="CX56">IFERROR(VLOOKUP($A56,TRANSPOSE('[1]Fur 3 PLC'!$CK$1:$DO$38),30,0),0)</f>
        <v>0</v>
      </c>
      <c r="CY56" s="54" cm="1">
        <f t="array" ref="CY56">IFERROR(VLOOKUP($A56,TRANSPOSE('[1]Fur 3 PLC'!$CK$1:$DO$38),14,0),0)</f>
        <v>0</v>
      </c>
      <c r="CZ56" s="54" cm="1">
        <f t="array" ref="CZ56">IFERROR(VLOOKUP($A56,TRANSPOSE('[1]Fur 3 PLC'!$CK$1:$DO$38),16,0),0)</f>
        <v>0</v>
      </c>
      <c r="DA56" s="54" cm="1">
        <f t="array" ref="DA56">IFERROR(VLOOKUP($A56,TRANSPOSE('[1]Fur 3 PLC'!$CK$1:$DO$38),9,0),0)</f>
        <v>213.58333333333334</v>
      </c>
      <c r="DB56" s="55" cm="1">
        <f t="array" ref="DB56">IFERROR(VLOOKUP($A56,TRANSPOSE('[1]Fur 3 PLC'!$CK$1:$DO$38),17,0),0)</f>
        <v>0</v>
      </c>
      <c r="DC56" s="55" cm="1">
        <f t="array" ref="DC56">IFERROR(VLOOKUP($A56,TRANSPOSE('[1]Fur 3 PLC'!$CK$1:$DO$38),20,0),0)</f>
        <v>36.187500000000007</v>
      </c>
      <c r="DD56" s="54" cm="1">
        <f t="array" ref="DD56">IFERROR(VLOOKUP($A56,TRANSPOSE('[1]Fur 3 PLC'!$CK$1:$DO$38),28,0),0)</f>
        <v>0</v>
      </c>
      <c r="DE56" s="54" cm="1">
        <f t="array" ref="DE56">IFERROR(VLOOKUP($A56,TRANSPOSE('[1]Fur 3 PLC'!$CK$1:$DO$38),13,0),0)</f>
        <v>0</v>
      </c>
      <c r="DF56" s="54" cm="1">
        <f t="array" ref="DF56">IFERROR(VLOOKUP($A56,TRANSPOSE('[1]Fur 3 PLC'!$CK$1:$DO$38),37,0),0)</f>
        <v>201.125</v>
      </c>
      <c r="DG56" s="54" cm="1">
        <f t="array" ref="DG56">IFERROR(VLOOKUP($A56,TRANSPOSE('[1]Fur 3 PLC'!$CK$1:$DO$38),6,0),0)</f>
        <v>0</v>
      </c>
      <c r="DH56" s="54" cm="1">
        <f t="array" ref="DH56">IFERROR(VLOOKUP($A56,TRANSPOSE('[1]Fur 3 PLC'!$CK$1:$DO$38),21,0),0)</f>
        <v>0</v>
      </c>
      <c r="DI56" s="54" cm="1">
        <f t="array" ref="DI56">IFERROR(VLOOKUP($A56,TRANSPOSE('[1]Fur 3 PLC'!$CK$1:$DO$38),12,0),0)</f>
        <v>0</v>
      </c>
      <c r="DJ56" s="54" cm="1">
        <f t="array" ref="DJ56">IFERROR(VLOOKUP($A56,TRANSPOSE('[1]Fur 3 PLC'!$CK$1:$DO$38),25,0),0)</f>
        <v>0</v>
      </c>
      <c r="DK56" s="54" cm="1">
        <f t="array" ref="DK56">IFERROR(VLOOKUP($A56,TRANSPOSE('[1]Fur 3 PLC'!$CK$1:$DO$38),26,0),0)</f>
        <v>221.04166666666666</v>
      </c>
      <c r="DL56" s="54" cm="1">
        <f t="array" ref="DL56">IFERROR(VLOOKUP($A56,TRANSPOSE('[1]Fur 3 PLC'!$CK$1:$DO$38),27,0),0)</f>
        <v>65.208333333333329</v>
      </c>
      <c r="DM56" s="54" cm="1">
        <f t="array" ref="DM56">IFERROR(VLOOKUP($A56,TRANSPOSE('[1]Fur 3 PLC'!$CK$1:$DO$38),22,0),0)</f>
        <v>0</v>
      </c>
      <c r="DN56" s="54" cm="1">
        <f t="array" ref="DN56">IFERROR(VLOOKUP($A56,TRANSPOSE('[1]Fur 3 PLC'!$CK$1:$DO$38),19,0),0)</f>
        <v>0</v>
      </c>
      <c r="DO56" s="54" cm="1">
        <f t="array" ref="DO56">IFERROR(VLOOKUP($A56,TRANSPOSE('[1]Fur 3 PLC'!$CK$1:$DO$38),29,0),0)</f>
        <v>79.979166666666671</v>
      </c>
      <c r="DP56" s="54" cm="1">
        <f t="array" ref="DP56">IFERROR(VLOOKUP($A56,TRANSPOSE('[1]Fur 3 PLC'!$CK$1:$DO$38),10,0),0)</f>
        <v>0</v>
      </c>
      <c r="DQ56" s="54" cm="1">
        <f t="array" ref="DQ56">IFERROR(VLOOKUP($A56,TRANSPOSE('[1]Fur 3 PLC'!$CK$1:$DO$38),7,0),0)</f>
        <v>88.0625</v>
      </c>
      <c r="DR56" s="54" cm="1">
        <f t="array" ref="DR56">IFERROR(VLOOKUP($A56,TRANSPOSE('[1]Fur 3 PLC'!$CK$1:$DO$38),35,0),0)</f>
        <v>6.354166666666667</v>
      </c>
      <c r="DS56" s="54" cm="1">
        <f t="array" ref="DS56">IFERROR(VLOOKUP($A56,TRANSPOSE('[1]Fur 3 PLC'!$CK$1:$DO$38),11,0),0)</f>
        <v>0</v>
      </c>
      <c r="DT56" s="54" cm="1">
        <f t="array" ref="DT56">IFERROR(VLOOKUP($A56,TRANSPOSE('[1]Fur 3 PLC'!$CK$1:$DO$38),19,0),0)</f>
        <v>0</v>
      </c>
      <c r="DU56" s="54" cm="1">
        <f t="array" ref="DU56">IFERROR(VLOOKUP($A56,TRANSPOSE('[1]Fur 3 PLC'!$CK$1:$DO$38),18,0),0)</f>
        <v>194.52083333333334</v>
      </c>
      <c r="DV56" s="54" cm="1">
        <f t="array" ref="DV56">IFERROR(VLOOKUP($A56,TRANSPOSE('[1]Fur 3 PLC'!$CK$1:$DO$38),15,0),0)</f>
        <v>194.83333333333334</v>
      </c>
      <c r="DW56" t="str">
        <f t="shared" si="66"/>
        <v>Dec-25</v>
      </c>
    </row>
    <row r="57" spans="1:127" x14ac:dyDescent="0.3">
      <c r="A57" s="28" t="str">
        <f t="shared" si="59"/>
        <v>F446005</v>
      </c>
      <c r="B57" s="29" t="s">
        <v>29</v>
      </c>
      <c r="C57" s="30">
        <f>C56</f>
        <v>46005</v>
      </c>
      <c r="D57" s="29" t="str">
        <f>VLOOKUP($B57&amp;$C57,'[1]FC4 Prod'!$A$6:$BP$36,[2]Consolidated!D$1)</f>
        <v>Mr.Ganesh Ghosh Ji</v>
      </c>
      <c r="E57" s="29">
        <f>VLOOKUP($B57&amp;$C57,'[1]FC4 Prod'!$A$6:$BP$36,[2]Consolidated!E$1)</f>
        <v>34.19</v>
      </c>
      <c r="F57" s="31">
        <f>VLOOKUP($B57&amp;$C57,'[1]FC4 Prod'!$A$6:$BP$36,[2]Consolidated!F$1)</f>
        <v>0.19000000000000483</v>
      </c>
      <c r="G57" s="32">
        <f>VLOOKUP($B57&amp;$C57,'[1]FC4 Prod'!$A$6:$BP$36,[2]Consolidated!G$1)</f>
        <v>34.380000000000003</v>
      </c>
      <c r="H57" s="32">
        <f>VLOOKUP($B57&amp;$C57,'[1]FC4 Prod'!$A$6:$BP$36,[2]Consolidated!H$1)</f>
        <v>14.620000000000001</v>
      </c>
      <c r="I57" s="32">
        <f>VLOOKUP($B57&amp;$C57,'[1]FC4 Prod'!$A$6:$BP$36,[2]Consolidated!I$1)</f>
        <v>11.62</v>
      </c>
      <c r="J57" s="32">
        <f>VLOOKUP($B57&amp;$C57,'[1]FC4 Prod'!$A$6:$BP$36,[2]Consolidated!J$1)</f>
        <v>39.92</v>
      </c>
      <c r="K57" s="32">
        <f>VLOOKUP($B57&amp;$C57,'[1]FC4 Prod'!$A$6:$BP$36,[2]Consolidated!K$1)</f>
        <v>1.41</v>
      </c>
      <c r="L57" s="32">
        <f>VLOOKUP($B57&amp;$C57,'[1]FC4 Prod'!$A$6:$BP$36,[2]Consolidated!L$1)</f>
        <v>22.06</v>
      </c>
      <c r="M57" s="32">
        <f>VLOOKUP($B57&amp;$C57,'[1]FC4 Prod'!$A$6:$BP$36,[2]Consolidated!M$1)</f>
        <v>4.66</v>
      </c>
      <c r="N57" s="32">
        <f>VLOOKUP($B57&amp;$C57,'[1]FC4 Prod'!$A$6:$BP$36,[2]Consolidated!N$1)</f>
        <v>17.52</v>
      </c>
      <c r="O57" s="32">
        <f>VLOOKUP($B57&amp;$C57,'[1]FC4 Prod'!$A$6:$BP$36,[2]Consolidated!O$1)</f>
        <v>0.67</v>
      </c>
      <c r="P57" s="33">
        <f>VLOOKUP($B57&amp;$C57,'[1]FC4 Prod'!$A$6:$BP$36,[2]Consolidated!P$1)</f>
        <v>5</v>
      </c>
      <c r="Q57" s="29">
        <f>VLOOKUP($B57&amp;$C57,'[1]FC4 Prod'!$A$6:$BP$36,[2]Consolidated!Q$1)</f>
        <v>62.924000000000007</v>
      </c>
      <c r="R57" s="29">
        <f>VLOOKUP($B57&amp;$C57,'[1]FC4 Prod'!$A$6:$BP$36,[2]Consolidated!R$1)</f>
        <v>20.042999999999999</v>
      </c>
      <c r="S57" s="34">
        <f>VLOOKUP($B57&amp;$C57,'[1]FC4 Prod'!$A$6:$BP$36,[2]Consolidated!S$1)</f>
        <v>21</v>
      </c>
      <c r="T57" s="34">
        <f>VLOOKUP($B57&amp;$C57,'[1]FC4 Prod'!$A$6:$BP$36,[2]Consolidated!T$1)</f>
        <v>13</v>
      </c>
      <c r="U57" s="34">
        <f>VLOOKUP($B57&amp;$C57,'[1]FC4 Prod'!$A$6:$BP$36,[2]Consolidated!U$1)</f>
        <v>28</v>
      </c>
      <c r="V57" s="34">
        <f>VLOOKUP($B57&amp;$C57,'[1]FC4 Prod'!$A$6:$BP$36,[2]Consolidated!V$1)</f>
        <v>62</v>
      </c>
      <c r="W57" s="35">
        <f>VLOOKUP($B57&amp;$C57,'[1]FC4 Prod'!$A$6:$BP$36,[2]Consolidated!W$1)</f>
        <v>1.8404211757823927</v>
      </c>
      <c r="X57" s="35">
        <f>VLOOKUP($B57&amp;$C57,'[1]FC4 Prod'!$A$6:$BP$36,[2]Consolidated!X$1)</f>
        <v>35.445</v>
      </c>
      <c r="Y57" s="36">
        <f>VLOOKUP($B57&amp;$C57,'[1]FC4 Prod'!$A$6:$BP$36,[2]Consolidated!Y$1)</f>
        <v>0.96459303145718711</v>
      </c>
      <c r="Z57" s="37" t="str">
        <f>VLOOKUP($B57&amp;$C57,'[1]FC4 Prod'!$A$6:$BP$36,[2]Consolidated!Z$1)</f>
        <v>40/8</v>
      </c>
      <c r="AA57" s="31">
        <f>VLOOKUP($B57&amp;$C57,'[1]FC4 Prod'!$A$6:$BP$36,[2]Consolidated!AA$1)</f>
        <v>36.762500000000003</v>
      </c>
      <c r="AB57" s="31">
        <f>VLOOKUP($B57&amp;$C57,'[1]FC4 Prod'!$A$6:$BP$36,[2]Consolidated!AB$1)</f>
        <v>5.5024999999999995</v>
      </c>
      <c r="AC57" s="31">
        <f>VLOOKUP($B57&amp;$C57,'[1]FC4 Prod'!$A$6:$BP$36,[2]Consolidated!AC$1)</f>
        <v>0</v>
      </c>
      <c r="AD57" s="38">
        <f>VLOOKUP($B57&amp;$C57,'[1]FC4 Prod'!$A$6:$BP$36,[2]Consolidated!AD$1)</f>
        <v>182.61642178999708</v>
      </c>
      <c r="AE57" s="38">
        <f>VLOOKUP($B57&amp;$C57,'[1]FC4 Prod'!$A$6:$BP$36,[2]Consolidated!AE$1)</f>
        <v>396.99140072535835</v>
      </c>
      <c r="AF57" s="39">
        <f>VLOOKUP($B57&amp;$C57,'[1]FC4 Prod'!$A$6:$BP$36,[2]Consolidated!AF$1)</f>
        <v>2.0130993499738854</v>
      </c>
      <c r="AG57" s="39">
        <f>VLOOKUP($B57&amp;$C57,'[1]FC4 Prod'!$A$6:$BP$36,[2]Consolidated!AG$1)</f>
        <v>0.92602761502717235</v>
      </c>
      <c r="AH57" s="34">
        <f>VLOOKUP($B57&amp;$C57,'[1]FC4 Prod'!$A$6:$BP$36,[2]Consolidated!AH$1)</f>
        <v>279.96190406551625</v>
      </c>
      <c r="AI57" s="33">
        <f>VLOOKUP($B57&amp;$C57,'[1]FC4 Prod'!$A$6:$BP$36,[2]Consolidated!AI$1)</f>
        <v>320.51991383445454</v>
      </c>
      <c r="AJ57" s="39">
        <f>VLOOKUP($B57&amp;$C57,'[1]FC4 Prod'!$A$6:$BP$36,[2]Consolidated!AJ$1)</f>
        <v>0.86349737327523091</v>
      </c>
      <c r="AK57" s="39">
        <f>VLOOKUP($B57&amp;$C57,'[1]FC4 Prod'!$A$6:$BP$36,[2]Consolidated!AK$1)</f>
        <v>0.5298825508442182</v>
      </c>
      <c r="AL57" s="40" t="str">
        <f>VLOOKUP($B57&amp;$C57,'[1]FC4 Prod'!$A$6:$BP$36,[2]Consolidated!AL$1)</f>
        <v>25/50</v>
      </c>
      <c r="AM57" s="41">
        <f>VLOOKUP($B57&amp;$C57,'[1]FC4 Prod'!$A$6:$BP$36,[2]Consolidated!AM$1)</f>
        <v>4.7382275519157656E-2</v>
      </c>
      <c r="AN57" s="42">
        <f>VLOOKUP($B57&amp;$C57,'[1]FC4 Prod'!$A$6:$BP$36,[2]Consolidated!AN$1)</f>
        <v>93.6</v>
      </c>
      <c r="AO57" s="43">
        <f>VLOOKUP($B57&amp;$C57,'[1]FC4 Prod'!$A$6:$BP$36,[2]Consolidated!AO$1)</f>
        <v>4.3380000000000001</v>
      </c>
      <c r="AP57" s="44">
        <f>VLOOKUP($B57&amp;$C57,'[1]FC4 Prod'!$A$6:$BP$36,[2]Consolidated!AP$1)</f>
        <v>2.8645217899970752</v>
      </c>
      <c r="AQ57" s="44">
        <f>VLOOKUP($B57&amp;$C57,'[1]FC4 Prod'!$A$6:$BP$36,[2]Consolidated!AQ$1)</f>
        <v>20.217373675524311</v>
      </c>
      <c r="AR57" s="45">
        <f>VLOOKUP($B57&amp;$C57,'[1]FC4 Prod'!$A$6:$BP$36,[2]Consolidated!AR$1)</f>
        <v>0.63934426229508201</v>
      </c>
      <c r="AS57" s="46">
        <f>VLOOKUP($B57&amp;$C57,'[1]FC4 Prod'!$A$6:$BP$36,[2]Consolidated!AS$1)</f>
        <v>1.9916666666666665</v>
      </c>
      <c r="AT57" s="29">
        <f>VLOOKUP($B57&amp;$C57,'[1]FC4 Prod'!$A$6:$BP$36,[2]Consolidated!AT$1)</f>
        <v>0.79506707476754468</v>
      </c>
      <c r="AU57" s="34">
        <f>VLOOKUP($B57&amp;$C57,'[1]FC4 Prod'!$A$6:$BP$36,[2]Consolidated!AU$1)</f>
        <v>569.69444444444446</v>
      </c>
      <c r="AV57" s="34">
        <f>VLOOKUP($B57&amp;$C57,'[1]FC4 Prod'!$A$6:$BP$36,[2]Consolidated!AV$1)</f>
        <v>100</v>
      </c>
      <c r="AW57" s="47">
        <f>VLOOKUP($B57&amp;$C57,'[1]FC4 Prod'!$A$6:$BP$36,[2]Consolidated!AW$1)</f>
        <v>6923.2334015794086</v>
      </c>
      <c r="AX57" s="47">
        <f>VLOOKUP($B57&amp;$C57,'[1]FC4 Prod'!$A$6:$BP$36,[2]Consolidated!AX$1)</f>
        <v>5710.3182217022522</v>
      </c>
      <c r="AY57" s="48">
        <f>VLOOKUP($B57&amp;$C57,'[1]FC4 Prod'!$A$6:$BP$36,[2]Consolidated!AY$1)</f>
        <v>749.69289265867212</v>
      </c>
      <c r="AZ57" s="47">
        <f>VLOOKUP($B57&amp;$C57,'[1]FC4 Prod'!$A$6:$BP$36,[2]Consolidated!AZ$1)</f>
        <v>883.39134249780648</v>
      </c>
      <c r="BA57" s="47">
        <f>VLOOKUP($B57&amp;$C57,'[1]FC4 Prod'!$A$6:$BP$36,[2]Consolidated!BA$1)</f>
        <v>16757.452471482891</v>
      </c>
      <c r="BB57" s="47">
        <f>VLOOKUP($B57&amp;$C57,'[1]FC4 Prod'!$A$6:$BP$36,[2]Consolidated!BB$1)</f>
        <v>310.24088329921034</v>
      </c>
      <c r="BC57" s="47">
        <f>VLOOKUP($B57&amp;$C57,'[1]FC4 Prod'!$A$6:$BP$36,[2]Consolidated!BC$1)</f>
        <v>5442.5914009944427</v>
      </c>
      <c r="BD57" s="49">
        <f>VLOOKUP($B57&amp;$C57,'[1]FC4 Prod'!$A$6:$BP$36,[2]Consolidated!BD$1)</f>
        <v>36776.920614214687</v>
      </c>
      <c r="BE57" s="47">
        <f>VLOOKUP($B57&amp;$C57,'[1]FC4 Prod'!$A$6:$BP$36,[2]Consolidated!BE$1)</f>
        <v>14964.361655454813</v>
      </c>
      <c r="BF57" s="47">
        <f>VLOOKUP($B57&amp;$C57,'[1]FC4 Prod'!$A$6:$BP$36,[2]Consolidated!BF$1)</f>
        <v>6654.3775372916061</v>
      </c>
      <c r="BG57" s="50">
        <f>VLOOKUP($B57&amp;$C57,'[1]FC4 Prod'!$A$6:$BP$36,[2]Consolidated!BG$1)</f>
        <v>486.60573267037159</v>
      </c>
      <c r="BH57" s="50">
        <f>VLOOKUP($B57&amp;$C57,'[1]FC4 Prod'!$A$6:$BP$36,[2]Consolidated!BH$1)</f>
        <v>397.46188739397491</v>
      </c>
      <c r="BI57" s="50">
        <f>VLOOKUP($B57&amp;$C57,'[1]FC4 Prod'!$A$6:$BP$36,[2]Consolidated!BI$1)</f>
        <v>45586.242027785906</v>
      </c>
      <c r="BJ57" s="37" t="e">
        <f>VLOOKUP($B57&amp;$C57,'[1]FC4 Prod'!$A$6:$BP$36,[2]Consolidated!BJ$1)</f>
        <v>#REF!</v>
      </c>
      <c r="BK57" s="37" t="e">
        <f>VLOOKUP($B57&amp;$C57,'[1]FC4 Prod'!$A$6:$BP$36,[2]Consolidated!BK$1)</f>
        <v>#REF!</v>
      </c>
      <c r="BL57" s="37" t="e">
        <f>VLOOKUP($B57&amp;$C57,'[1]FC4 Prod'!$A$6:$BP$36,[2]Consolidated!BL$1)</f>
        <v>#REF!</v>
      </c>
      <c r="BM57" s="37" t="e">
        <f>VLOOKUP($B57&amp;$C57,'[1]FC4 Prod'!$A$6:$BP$36,[2]Consolidated!BM$1)</f>
        <v>#REF!</v>
      </c>
      <c r="BN57" s="37">
        <f>VLOOKUP($B57&amp;$C57,'[1]FC4 Prod'!$A$6:$BP$36,[2]Consolidated!BN$1)</f>
        <v>455</v>
      </c>
      <c r="BO57" s="37">
        <f>VLOOKUP($B57&amp;$C57,'[1]FC4 Prod'!$A$6:$BP$36,[2]Consolidated!BO$1)</f>
        <v>455</v>
      </c>
      <c r="BP57" s="37" t="str">
        <f>VLOOKUP($B57&amp;$C57,'[1]FC4 Prod'!$A$6:$BP$36,[2]Consolidated!BP$1)</f>
        <v>Power Grids supply failure.</v>
      </c>
      <c r="BQ57" s="51" t="e">
        <f>VLOOKUP($B57&amp;$C57,'[1]FC4 Prod'!$A$6:$BP$36,[2]Consolidated!BQ$1)</f>
        <v>#REF!</v>
      </c>
      <c r="BR57" s="51">
        <f>VLOOKUP($B57&amp;$C57,'[1]FC4 Prod'!$A$6:$BQ$36,[2]Consolidated!BR$1)</f>
        <v>41644</v>
      </c>
      <c r="BS57" s="52">
        <f t="shared" ref="BS57" si="69">BE57+BF57*110%+BG57+BA57</f>
        <v>39528.23515062884</v>
      </c>
      <c r="BT57" s="32">
        <f t="shared" si="67"/>
        <v>2115.7648493711604</v>
      </c>
      <c r="BU57" s="37">
        <f t="shared" si="68"/>
        <v>72338.000199999966</v>
      </c>
      <c r="BV57" s="53" t="s">
        <v>131</v>
      </c>
      <c r="BW57" s="54" cm="1">
        <f t="array" ref="BW57">IFERROR(VLOOKUP($A57,TRANSPOSE('[1]Fur 4 PLC'!$AR$1:$BV$39),8,0),0)</f>
        <v>0</v>
      </c>
      <c r="BX57" s="54" cm="1">
        <f t="array" ref="BX57">IFERROR(VLOOKUP($A57,TRANSPOSE('[1]Fur 4 PLC'!$AR$1:$BV$39),30,0),0)</f>
        <v>0</v>
      </c>
      <c r="BY57" s="54" cm="1">
        <f t="array" ref="BY57">IFERROR(VLOOKUP($A57,TRANSPOSE('[1]Fur 4 PLC'!$AR$1:$BV$39),14,0),0)</f>
        <v>0</v>
      </c>
      <c r="BZ57" s="54" cm="1">
        <f t="array" ref="BZ57">IFERROR(VLOOKUP($A57,TRANSPOSE('[1]Fur 4 PLC'!$AR$1:$BV$39),16,0),0)</f>
        <v>0</v>
      </c>
      <c r="CA57" s="54" cm="1">
        <f t="array" ref="CA57">IFERROR(VLOOKUP($A57,TRANSPOSE('[1]Fur 4 PLC'!$AR$1:$BV$39),9,0),0)</f>
        <v>0</v>
      </c>
      <c r="CB57" s="54" cm="1">
        <f t="array" ref="CB57">IFERROR(VLOOKUP($A57,TRANSPOSE('[1]Fur 4 PLC'!$AR$1:$BV$39),17,0),0)</f>
        <v>0</v>
      </c>
      <c r="CC57" s="54" cm="1">
        <f t="array" ref="CC57">IFERROR(VLOOKUP($A57,TRANSPOSE('[1]Fur 4 PLC'!$AR$1:$BV$39),20,0),0)</f>
        <v>203.74378473237792</v>
      </c>
      <c r="CD57" s="54" cm="1">
        <f t="array" ref="CD57">IFERROR(VLOOKUP($A57,TRANSPOSE('[1]Fur 4 PLC'!$AR$1:$BV$39),28,0),0)</f>
        <v>0</v>
      </c>
      <c r="CE57" s="54" cm="1">
        <f t="array" ref="CE57">IFERROR(VLOOKUP($A57,TRANSPOSE('[1]Fur 4 PLC'!$AR$1:$BV$39),13,0),0)</f>
        <v>91.400994442819538</v>
      </c>
      <c r="CF57" s="54" cm="1">
        <f t="array" ref="CF57">IFERROR(VLOOKUP($A57,TRANSPOSE('[1]Fur 4 PLC'!$AR$1:$BV$39),37,0),0)</f>
        <v>6.5223749634396029</v>
      </c>
      <c r="CG57" s="54" cm="1">
        <f t="array" ref="CG57">IFERROR(VLOOKUP($A57,TRANSPOSE('[1]Fur 4 PLC'!$AR$1:$BV$39),6,0),0)</f>
        <v>0</v>
      </c>
      <c r="CH57" s="54" cm="1">
        <f t="array" ref="CH57">IFERROR(VLOOKUP($A57,TRANSPOSE('[1]Fur 4 PLC'!$AR$1:$BV$39),21,0),0)</f>
        <v>1159.6665691722728</v>
      </c>
      <c r="CI57" s="54" cm="1">
        <f t="array" ref="CI57">IFERROR(VLOOKUP($A57,TRANSPOSE('[1]Fur 4 PLC'!$AR$1:$BV$39),12,0),0)</f>
        <v>0</v>
      </c>
      <c r="CJ57" s="54" cm="1">
        <f t="array" ref="CJ57">IFERROR(VLOOKUP($A57,TRANSPOSE('[1]Fur 4 PLC'!$AR$1:$BV$39),25,0),0)</f>
        <v>110.61713951447793</v>
      </c>
      <c r="CK57" s="54" cm="1">
        <f t="array" ref="CK57">IFERROR(VLOOKUP($A57,TRANSPOSE('[1]Fur 4 PLC'!$AR$1:$BV$39),26,0),0)</f>
        <v>366.53992395437263</v>
      </c>
      <c r="CL57" s="54" cm="1">
        <f t="array" ref="CL57">IFERROR(VLOOKUP($A57,TRANSPOSE('[1]Fur 4 PLC'!$AR$1:$BV$39),27,0),0)</f>
        <v>0</v>
      </c>
      <c r="CM57" s="54" cm="1">
        <f t="array" ref="CM57">IFERROR(VLOOKUP($A57,TRANSPOSE('[1]Fur 4 PLC'!$AR$1:$BV$39),22,0),0)</f>
        <v>0</v>
      </c>
      <c r="CN57" s="54"/>
      <c r="CO57" s="54" cm="1">
        <f t="array" ref="CO57">IFERROR(VLOOKUP($A57,TRANSPOSE('[1]Fur 4 PLC'!$AR$1:$BV$39),29,0),0)</f>
        <v>109.06697864872771</v>
      </c>
      <c r="CP57" s="54" cm="1">
        <f t="array" ref="CP57">IFERROR(VLOOKUP($A57,TRANSPOSE('[1]Fur 4 PLC'!$AR$1:$BV$39),10,0),0)</f>
        <v>0</v>
      </c>
      <c r="CQ57" s="54" cm="1">
        <f t="array" ref="CQ57">IFERROR(VLOOKUP($A57,TRANSPOSE('[1]Fur 4 PLC'!$AR$1:$BV$39),7,0),0)</f>
        <v>123.1939163498099</v>
      </c>
      <c r="CR57" s="54" cm="1">
        <f t="array" ref="CR57">IFERROR(VLOOKUP($A57,TRANSPOSE('[1]Fur 4 PLC'!$AR$1:$BV$39),36,0),0)</f>
        <v>201.25767768353322</v>
      </c>
      <c r="CS57" s="54" cm="1">
        <f t="array" ref="CS57">IFERROR(VLOOKUP($A57,TRANSPOSE('[1]Fur 4 PLC'!$AR$1:$BV$39),11,0),0)</f>
        <v>0</v>
      </c>
      <c r="CT57" s="54" cm="1">
        <f t="array" ref="CT57">IFERROR(VLOOKUP($A57,TRANSPOSE('[1]Fur 4 PLC'!$AR$1:$BV$39),19,0),0)</f>
        <v>91.108511260602526</v>
      </c>
      <c r="CU57" s="54" cm="1">
        <f t="array" ref="CU57">IFERROR(VLOOKUP($A57,TRANSPOSE('[1]Fur 4 PLC'!$AR$1:$BV$39),18,0),0)</f>
        <v>294.50131617432004</v>
      </c>
      <c r="CV57" s="54" cm="1">
        <f t="array" ref="CV57">IFERROR(VLOOKUP($A57,TRANSPOSE('[1]Fur 4 PLC'!$AR$1:$BV$38),15,0),0)</f>
        <v>0</v>
      </c>
      <c r="CW57" s="54" cm="1">
        <f t="array" ref="CW57">IFERROR(VLOOKUP($A57,TRANSPOSE('[1]Fur 4 PLC'!$CK$1:$DO$39),8,0),0)</f>
        <v>0</v>
      </c>
      <c r="CX57" s="54" cm="1">
        <f t="array" ref="CX57">IFERROR(VLOOKUP($A57,TRANSPOSE('[1]Fur 4 PLC'!$CK$1:$DO$39),30,0),0)</f>
        <v>0</v>
      </c>
      <c r="CY57" s="54" cm="1">
        <f t="array" ref="CY57">IFERROR(VLOOKUP($A57,TRANSPOSE('[1]Fur 4 PLC'!$CK$1:$DO$39),14,0),0)</f>
        <v>0</v>
      </c>
      <c r="CZ57" s="54" cm="1">
        <f t="array" ref="CZ57">IFERROR(VLOOKUP($A57,TRANSPOSE('[1]Fur 4 PLC'!$CK$1:$DO$39),16,0),0)</f>
        <v>0</v>
      </c>
      <c r="DA57" s="54" cm="1">
        <f t="array" ref="DA57">IFERROR(VLOOKUP($A57,TRANSPOSE('[1]Fur 4 PLC'!$CK$1:$DO$39),9,0),0)</f>
        <v>0</v>
      </c>
      <c r="DB57" s="55" cm="1">
        <f t="array" ref="DB57">IFERROR(VLOOKUP($A57,TRANSPOSE('[1]Fur 4 PLC'!$CK$1:$DO$39),17,0),0)</f>
        <v>0</v>
      </c>
      <c r="DC57" s="55" cm="1">
        <f t="array" ref="DC57">IFERROR(VLOOKUP($A57,TRANSPOSE('[1]Fur 4 PLC'!$CK$1:$DO$39),20,0),0)</f>
        <v>112.35483870967742</v>
      </c>
      <c r="DD57" s="54" cm="1">
        <f t="array" ref="DD57">IFERROR(VLOOKUP($A57,TRANSPOSE('[1]Fur 4 PLC'!$CK$1:$DO$39),28,0),0)</f>
        <v>0</v>
      </c>
      <c r="DE57" s="54" cm="1">
        <f t="array" ref="DE57">IFERROR(VLOOKUP($A57,TRANSPOSE('[1]Fur 4 PLC'!$CK$1:$DO$39),13,0),0)</f>
        <v>50.403225806451609</v>
      </c>
      <c r="DF57" s="54" cm="1">
        <f t="array" ref="DF57">IFERROR(VLOOKUP($A57,TRANSPOSE('[1]Fur 4 PLC'!$CK$1:$DO$39),37,0),0)</f>
        <v>3.596774193548387</v>
      </c>
      <c r="DG57" s="54" cm="1">
        <f t="array" ref="DG57">IFERROR(VLOOKUP($A57,TRANSPOSE('[1]Fur 4 PLC'!$CK$1:$DO$39),6,0),0)</f>
        <v>0</v>
      </c>
      <c r="DH57" s="54" cm="1">
        <f t="array" ref="DH57">IFERROR(VLOOKUP($A57,TRANSPOSE('[1]Fur 4 PLC'!$CK$1:$DO$39),21,0),0)</f>
        <v>639.50000000000011</v>
      </c>
      <c r="DI57" s="54" cm="1">
        <f t="array" ref="DI57">IFERROR(VLOOKUP($A57,TRANSPOSE('[1]Fur 4 PLC'!$CK$1:$DO$39),12,0),0)</f>
        <v>0</v>
      </c>
      <c r="DJ57" s="54" cm="1">
        <f t="array" ref="DJ57">IFERROR(VLOOKUP($A57,TRANSPOSE('[1]Fur 4 PLC'!$CK$1:$DO$39),25,0),0)</f>
        <v>61</v>
      </c>
      <c r="DK57" s="54" cm="1">
        <f t="array" ref="DK57">IFERROR(VLOOKUP($A57,TRANSPOSE('[1]Fur 4 PLC'!$CK$1:$DO$39),26,0),0)</f>
        <v>202.12903225806454</v>
      </c>
      <c r="DL57" s="54" cm="1">
        <f t="array" ref="DL57">IFERROR(VLOOKUP($A57,TRANSPOSE('[1]Fur 4 PLC'!$CK$1:$DO$39),27,0),0)</f>
        <v>0</v>
      </c>
      <c r="DM57" s="54" cm="1">
        <f t="array" ref="DM57">IFERROR(VLOOKUP($A57,TRANSPOSE('[1]Fur 4 PLC'!$CK$1:$DO$39),22,0),0)</f>
        <v>0</v>
      </c>
      <c r="DN57" s="54" cm="1">
        <f t="array" ref="DN57">IFERROR(VLOOKUP($A57,TRANSPOSE('[1]Fur 4 PLC'!$CK$1:$DO$39),19,0),0)</f>
        <v>50.241935483870975</v>
      </c>
      <c r="DO57" s="54" cm="1">
        <f t="array" ref="DO57">IFERROR(VLOOKUP($A57,TRANSPOSE('[1]Fur 4 PLC'!$CK$1:$DO$39),29,0),0)</f>
        <v>60.145161290322584</v>
      </c>
      <c r="DP57" s="54" cm="1">
        <f t="array" ref="DP57">IFERROR(VLOOKUP($A57,TRANSPOSE('[1]Fur 4 PLC'!$CK$1:$DO$39),10,0),0)</f>
        <v>0</v>
      </c>
      <c r="DQ57" s="54" cm="1">
        <f t="array" ref="DQ57">IFERROR(VLOOKUP($A57,TRANSPOSE('[1]Fur 4 PLC'!$CK$1:$DO$39),7,0),0)</f>
        <v>67.93548387096773</v>
      </c>
      <c r="DR57" s="54" cm="1">
        <f t="array" ref="DR57">IFERROR(VLOOKUP($A57,TRANSPOSE('[1]Fur 4 PLC'!$CK$1:$DO$39),36,0),0)</f>
        <v>110.98387096774194</v>
      </c>
      <c r="DS57" s="54" cm="1">
        <f t="array" ref="DS57">IFERROR(VLOOKUP($A57,TRANSPOSE('[1]Fur 4 PLC'!$CK$1:$DO$39),11,0),0)</f>
        <v>0</v>
      </c>
      <c r="DT57" s="54" cm="1">
        <f t="array" ref="DT57">IFERROR(VLOOKUP($A57,TRANSPOSE('[1]Fur 4 PLC'!$CK$1:$DO$39),19,0),0)</f>
        <v>50.241935483870975</v>
      </c>
      <c r="DU57" s="54" cm="1">
        <f t="array" ref="DU57">IFERROR(VLOOKUP($A57,TRANSPOSE('[1]Fur 4 PLC'!$CK$1:$DO$39),18,0),0)</f>
        <v>162.40322580645164</v>
      </c>
      <c r="DV57" s="54" cm="1">
        <f t="array" ref="DV57">IFERROR(VLOOKUP($A57,TRANSPOSE('[1]Fur 4 PLC'!$CK$1:$DO$39),15,0),0)</f>
        <v>0</v>
      </c>
      <c r="DW57" t="str">
        <f t="shared" si="66"/>
        <v>Dec-25</v>
      </c>
    </row>
    <row r="58" spans="1:127" x14ac:dyDescent="0.3">
      <c r="A58" s="28" t="str">
        <f t="shared" si="59"/>
        <v>F146006</v>
      </c>
      <c r="B58" s="29" t="s">
        <v>26</v>
      </c>
      <c r="C58" s="30">
        <f>C54+1</f>
        <v>46006</v>
      </c>
      <c r="D58" s="29" t="str">
        <f>VLOOKUP($B58&amp;$C58,'[1]FC1 Prod'!$A$6:$BP$36,[2]Consolidated!D$1)</f>
        <v>Raju Singh</v>
      </c>
      <c r="E58" s="29">
        <f>VLOOKUP($B58&amp;$C58,'[1]FC1 Prod'!$A$6:$BP$36,[2]Consolidated!E$1)</f>
        <v>20.77</v>
      </c>
      <c r="F58" s="31">
        <f>VLOOKUP($B58&amp;$C58,'[1]FC1 Prod'!$A$6:$BP$36,[2]Consolidated!F$1)</f>
        <v>0</v>
      </c>
      <c r="G58" s="32">
        <f>VLOOKUP($B58&amp;$C58,'[1]FC1 Prod'!$A$6:$BP$36,[2]Consolidated!G$1)</f>
        <v>20.77</v>
      </c>
      <c r="H58" s="32">
        <f>VLOOKUP($B58&amp;$C58,'[1]FC1 Prod'!$A$6:$BP$36,[2]Consolidated!H$1)</f>
        <v>15</v>
      </c>
      <c r="I58" s="32">
        <f>VLOOKUP($B58&amp;$C58,'[1]FC1 Prod'!$A$6:$BP$36,[2]Consolidated!I$1)</f>
        <v>6.05</v>
      </c>
      <c r="J58" s="32">
        <f>VLOOKUP($B58&amp;$C58,'[1]FC1 Prod'!$A$6:$BP$36,[2]Consolidated!J$1)</f>
        <v>39.44</v>
      </c>
      <c r="K58" s="32">
        <f>VLOOKUP($B58&amp;$C58,'[1]FC1 Prod'!$A$6:$BP$36,[2]Consolidated!K$1)</f>
        <v>1.33</v>
      </c>
      <c r="L58" s="32">
        <f>VLOOKUP($B58&amp;$C58,'[1]FC1 Prod'!$A$6:$BP$36,[2]Consolidated!L$1)</f>
        <v>28.4</v>
      </c>
      <c r="M58" s="32">
        <f>VLOOKUP($B58&amp;$C58,'[1]FC1 Prod'!$A$6:$BP$36,[2]Consolidated!M$1)</f>
        <v>5.01</v>
      </c>
      <c r="N58" s="32">
        <f>VLOOKUP($B58&amp;$C58,'[1]FC1 Prod'!$A$6:$BP$36,[2]Consolidated!N$1)</f>
        <v>16.579999999999998</v>
      </c>
      <c r="O58" s="32">
        <f>VLOOKUP($B58&amp;$C58,'[1]FC1 Prod'!$A$6:$BP$36,[2]Consolidated!O$1)</f>
        <v>0.85</v>
      </c>
      <c r="P58" s="33">
        <f>VLOOKUP($B58&amp;$C58,'[1]FC1 Prod'!$A$6:$BP$36,[2]Consolidated!P$1)</f>
        <v>8</v>
      </c>
      <c r="Q58" s="29">
        <f>VLOOKUP($B58&amp;$C58,'[1]FC1 Prod'!$A$6:$BP$36,[2]Consolidated!Q$1)</f>
        <v>43.537999999999997</v>
      </c>
      <c r="R58" s="29">
        <f>VLOOKUP($B58&amp;$C58,'[1]FC1 Prod'!$A$6:$BP$36,[2]Consolidated!R$1)</f>
        <v>13.758000000000001</v>
      </c>
      <c r="S58" s="34">
        <f>VLOOKUP($B58&amp;$C58,'[1]FC1 Prod'!$A$6:$BP$36,[2]Consolidated!S$1)</f>
        <v>17</v>
      </c>
      <c r="T58" s="34">
        <f>VLOOKUP($B58&amp;$C58,'[1]FC1 Prod'!$A$6:$BP$36,[2]Consolidated!T$1)</f>
        <v>14</v>
      </c>
      <c r="U58" s="34">
        <f>VLOOKUP($B58&amp;$C58,'[1]FC1 Prod'!$A$6:$BP$36,[2]Consolidated!U$1)</f>
        <v>18</v>
      </c>
      <c r="V58" s="34">
        <f>VLOOKUP($B58&amp;$C58,'[1]FC1 Prod'!$A$6:$BP$36,[2]Consolidated!V$1)</f>
        <v>49</v>
      </c>
      <c r="W58" s="35">
        <f>VLOOKUP($B58&amp;$C58,'[1]FC1 Prod'!$A$6:$BP$36,[2]Consolidated!W$1)</f>
        <v>2.0961964371689938</v>
      </c>
      <c r="X58" s="35">
        <f>VLOOKUP($B58&amp;$C58,'[1]FC1 Prod'!$A$6:$BP$36,[2]Consolidated!X$1)</f>
        <v>21.419999999999998</v>
      </c>
      <c r="Y58" s="36">
        <f>VLOOKUP($B58&amp;$C58,'[1]FC1 Prod'!$A$6:$BP$36,[2]Consolidated!Y$1)</f>
        <v>0.969654528478058</v>
      </c>
      <c r="Z58" s="37" t="str">
        <f>VLOOKUP($B58&amp;$C58,'[1]FC1 Prod'!$A$6:$BP$36,[2]Consolidated!Z$1)</f>
        <v>55/22</v>
      </c>
      <c r="AA58" s="31">
        <f>VLOOKUP($B58&amp;$C58,'[1]FC1 Prod'!$A$6:$BP$36,[2]Consolidated!AA$1)</f>
        <v>55.092500000000001</v>
      </c>
      <c r="AB58" s="31">
        <f>VLOOKUP($B58&amp;$C58,'[1]FC1 Prod'!$A$6:$BP$36,[2]Consolidated!AB$1)</f>
        <v>21.501249999999999</v>
      </c>
      <c r="AC58" s="31">
        <f>VLOOKUP($B58&amp;$C58,'[1]FC1 Prod'!$A$6:$BP$36,[2]Consolidated!AC$1)</f>
        <v>0.4425</v>
      </c>
      <c r="AD58" s="38">
        <f>VLOOKUP($B58&amp;$C58,'[1]FC1 Prod'!$A$6:$BP$36,[2]Consolidated!AD$1)</f>
        <v>683.68640876263851</v>
      </c>
      <c r="AE58" s="38">
        <f>VLOOKUP($B58&amp;$C58,'[1]FC1 Prod'!$A$6:$BP$36,[2]Consolidated!AE$1)</f>
        <v>665.36134340394801</v>
      </c>
      <c r="AF58" s="39">
        <f>VLOOKUP($B58&amp;$C58,'[1]FC1 Prod'!$A$6:$BP$36,[2]Consolidated!AF$1)</f>
        <v>0.80581534595237148</v>
      </c>
      <c r="AG58" s="39">
        <f>VLOOKUP($B58&amp;$C58,'[1]FC1 Prod'!$A$6:$BP$36,[2]Consolidated!AG$1)</f>
        <v>0.82800872858272978</v>
      </c>
      <c r="AH58" s="34">
        <f>VLOOKUP($B58&amp;$C58,'[1]FC1 Prod'!$A$6:$BP$36,[2]Consolidated!AH$1)</f>
        <v>208.20414058738569</v>
      </c>
      <c r="AI58" s="33">
        <f>VLOOKUP($B58&amp;$C58,'[1]FC1 Prod'!$A$6:$BP$36,[2]Consolidated!AI$1)</f>
        <v>487.38397496389024</v>
      </c>
      <c r="AJ58" s="39">
        <f>VLOOKUP($B58&amp;$C58,'[1]FC1 Prod'!$A$6:$BP$36,[2]Consolidated!AJ$1)</f>
        <v>1.576682776903152</v>
      </c>
      <c r="AK58" s="39">
        <f>VLOOKUP($B58&amp;$C58,'[1]FC1 Prod'!$A$6:$BP$36,[2]Consolidated!AK$1)</f>
        <v>0.46349013111801979</v>
      </c>
      <c r="AL58" s="40" t="str">
        <f>VLOOKUP($B58&amp;$C58,'[1]FC1 Prod'!$A$6:$BP$36,[2]Consolidated!AL$1)</f>
        <v>10/70</v>
      </c>
      <c r="AM58" s="41">
        <f>VLOOKUP($B58&amp;$C58,'[1]FC1 Prod'!$A$6:$BP$36,[2]Consolidated!AM$1)</f>
        <v>2.4073182474723159E-2</v>
      </c>
      <c r="AN58" s="42">
        <f>VLOOKUP($B58&amp;$C58,'[1]FC1 Prod'!$A$6:$BP$36,[2]Consolidated!AN$1)</f>
        <v>102.8</v>
      </c>
      <c r="AO58" s="43">
        <f>VLOOKUP($B58&amp;$C58,'[1]FC1 Prod'!$A$6:$BP$36,[2]Consolidated!AO$1)</f>
        <v>3.58</v>
      </c>
      <c r="AP58" s="44">
        <f>VLOOKUP($B58&amp;$C58,'[1]FC1 Prod'!$A$6:$BP$36,[2]Consolidated!AP$1)</f>
        <v>5.121810303322099</v>
      </c>
      <c r="AQ58" s="44">
        <f>VLOOKUP($B58&amp;$C58,'[1]FC1 Prod'!$A$6:$BP$36,[2]Consolidated!AQ$1)</f>
        <v>29.414573884679236</v>
      </c>
      <c r="AR58" s="45">
        <f>VLOOKUP($B58&amp;$C58,'[1]FC1 Prod'!$A$6:$BP$36,[2]Consolidated!AR$1)</f>
        <v>0.9734848484848484</v>
      </c>
      <c r="AS58" s="46">
        <f>VLOOKUP($B58&amp;$C58,'[1]FC1 Prod'!$A$6:$BP$36,[2]Consolidated!AS$1)</f>
        <v>2.0533333333333332</v>
      </c>
      <c r="AT58" s="29">
        <f>VLOOKUP($B58&amp;$C58,'[1]FC1 Prod'!$A$6:$BP$36,[2]Consolidated!AT$1)</f>
        <v>0.79002904686833464</v>
      </c>
      <c r="AU58" s="34">
        <f>VLOOKUP($B58&amp;$C58,'[1]FC1 Prod'!$A$6:$BP$36,[2]Consolidated!AU$1)</f>
        <v>377.54513888888891</v>
      </c>
      <c r="AV58" s="34">
        <f>VLOOKUP($B58&amp;$C58,'[1]FC1 Prod'!$A$6:$BP$36,[2]Consolidated!AV$1)</f>
        <v>175</v>
      </c>
      <c r="AW58" s="47">
        <f>VLOOKUP($B58&amp;$C58,'[1]FC1 Prod'!$A$6:$BP$36,[2]Consolidated!AW$1)</f>
        <v>27295.108329321134</v>
      </c>
      <c r="AX58" s="47">
        <f>VLOOKUP($B58&amp;$C58,'[1]FC1 Prod'!$A$6:$BP$36,[2]Consolidated!AX$1)</f>
        <v>6574.867597496389</v>
      </c>
      <c r="AY58" s="48">
        <f>VLOOKUP($B58&amp;$C58,'[1]FC1 Prod'!$A$6:$BP$36,[2]Consolidated!AY$1)</f>
        <v>1345.4501685122773</v>
      </c>
      <c r="AZ58" s="47">
        <f>VLOOKUP($B58&amp;$C58,'[1]FC1 Prod'!$A$6:$BP$36,[2]Consolidated!AZ$1)</f>
        <v>1685.0433317284544</v>
      </c>
      <c r="BA58" s="47">
        <f>VLOOKUP($B58&amp;$C58,'[1]FC1 Prod'!$A$6:$BP$36,[2]Consolidated!BA$1)</f>
        <v>29962.590274434278</v>
      </c>
      <c r="BB58" s="47">
        <f>VLOOKUP($B58&amp;$C58,'[1]FC1 Prod'!$A$6:$BP$36,[2]Consolidated!BB$1)</f>
        <v>668.63059701492534</v>
      </c>
      <c r="BC58" s="47">
        <f>VLOOKUP($B58&amp;$C58,'[1]FC1 Prod'!$A$6:$BP$36,[2]Consolidated!BC$1)</f>
        <v>9731.4395763119883</v>
      </c>
      <c r="BD58" s="49">
        <f>VLOOKUP($B58&amp;$C58,'[1]FC1 Prod'!$A$6:$BP$36,[2]Consolidated!BD$1)</f>
        <v>77263.129874819439</v>
      </c>
      <c r="BE58" s="47">
        <f>VLOOKUP($B58&amp;$C58,'[1]FC1 Prod'!$A$6:$BP$36,[2]Consolidated!BE$1)</f>
        <v>26262.57140105922</v>
      </c>
      <c r="BF58" s="47">
        <f>VLOOKUP($B58&amp;$C58,'[1]FC1 Prod'!$A$6:$BP$36,[2]Consolidated!BF$1)</f>
        <v>14933.365430909967</v>
      </c>
      <c r="BG58" s="50">
        <f>VLOOKUP($B58&amp;$C58,'[1]FC1 Prod'!$A$6:$BP$36,[2]Consolidated!BG$1)</f>
        <v>1855.4212806933076</v>
      </c>
      <c r="BH58" s="50">
        <f>VLOOKUP($B58&amp;$C58,'[1]FC1 Prod'!$A$6:$BP$36,[2]Consolidated!BH$1)</f>
        <v>746.98991718825232</v>
      </c>
      <c r="BI58" s="50">
        <f>VLOOKUP($B58&amp;$C58,'[1]FC1 Prod'!$A$6:$BP$36,[2]Consolidated!BI$1)</f>
        <v>85177.421212325455</v>
      </c>
      <c r="BJ58" s="37" t="e">
        <f>VLOOKUP($B58&amp;$C58,'[1]FC1 Prod'!$A$6:$BP$36,[2]Consolidated!BJ$1)</f>
        <v>#REF!</v>
      </c>
      <c r="BK58" s="37" t="e">
        <f>VLOOKUP($B58&amp;$C58,'[1]FC1 Prod'!$A$6:$BP$36,[2]Consolidated!BK$1)</f>
        <v>#REF!</v>
      </c>
      <c r="BL58" s="37">
        <f>VLOOKUP($B58&amp;$C58,'[1]FC1 Prod'!$A$6:$BP$36,[2]Consolidated!BL$1)</f>
        <v>5</v>
      </c>
      <c r="BM58" s="37" t="e">
        <f>VLOOKUP($B58&amp;$C58,'[1]FC1 Prod'!$A$6:$BP$36,[2]Consolidated!BM$1)</f>
        <v>#REF!</v>
      </c>
      <c r="BN58" s="37" t="e">
        <f>VLOOKUP($B58&amp;$C58,'[1]FC1 Prod'!$A$6:$BP$36,[2]Consolidated!BN$1)</f>
        <v>#REF!</v>
      </c>
      <c r="BO58" s="37">
        <f>VLOOKUP($B58&amp;$C58,'[1]FC1 Prod'!$A$6:$BP$36,[2]Consolidated!BO$1)</f>
        <v>5</v>
      </c>
      <c r="BP58" s="37" t="str">
        <f>VLOOKUP($B58&amp;$C58,'[1]FC1 Prod'!$A$6:$BP$36,[2]Consolidated!BP$1)</f>
        <v>Over current trip.</v>
      </c>
      <c r="BQ58" s="51" t="e">
        <f>VLOOKUP($B58&amp;$C58,'[1]FC1 Prod'!$A$6:$BP$36,[2]Consolidated!BQ$1)</f>
        <v>#REF!</v>
      </c>
      <c r="BR58" s="51">
        <f>VLOOKUP($B58&amp;$C58,'[1]FC1 Prod'!$A$6:$BQ$36,[2]Consolidated!BR$1)</f>
        <v>69902</v>
      </c>
      <c r="BS58" s="52">
        <f t="shared" ref="BS58:BS60" si="70">BE58+BF58+BG58+BA58</f>
        <v>73013.948387096767</v>
      </c>
      <c r="BT58" s="32">
        <f>BR58-BS58</f>
        <v>-3111.948387096767</v>
      </c>
      <c r="BU58" s="37">
        <f>E58*BT58</f>
        <v>-64635.167999999845</v>
      </c>
      <c r="BV58" s="53" t="s">
        <v>132</v>
      </c>
      <c r="BW58" s="54" cm="1">
        <f t="array" ref="BW58">IFERROR(VLOOKUP($A58,TRANSPOSE('[1]Fur 1 PLC'!$AR$1:$BV$38),8,0),0)</f>
        <v>0</v>
      </c>
      <c r="BX58" s="54" cm="1">
        <f t="array" ref="BX58">IFERROR(VLOOKUP($A58,TRANSPOSE('[1]Fur 1 PLC'!$AR$1:$BV$38),30,0),0)</f>
        <v>0</v>
      </c>
      <c r="BY58" s="54" cm="1">
        <f t="array" ref="BY58">IFERROR(VLOOKUP($A58,TRANSPOSE('[1]Fur 1 PLC'!$AR$1:$BV$38),14,0),0)</f>
        <v>0</v>
      </c>
      <c r="BZ58" s="54" cm="1">
        <f t="array" ref="BZ58">IFERROR(VLOOKUP($A58,TRANSPOSE('[1]Fur 1 PLC'!$AR$1:$BV$38),16,0),0)</f>
        <v>0</v>
      </c>
      <c r="CA58" s="54" cm="1">
        <f t="array" ref="CA58">IFERROR(VLOOKUP($A58,TRANSPOSE('[1]Fur 1 PLC'!$AR$1:$BV$38),9,0),0)</f>
        <v>533.36543090996622</v>
      </c>
      <c r="CB58" s="54" cm="1">
        <f t="array" ref="CB58">IFERROR(VLOOKUP($A58,TRANSPOSE('[1]Fur 1 PLC'!$AR$1:$BV$38),17,0),0)</f>
        <v>412.95137217140103</v>
      </c>
      <c r="CC58" s="54" cm="1">
        <f t="array" ref="CC58">IFERROR(VLOOKUP($A58,TRANSPOSE('[1]Fur 1 PLC'!$AR$1:$BV$38),20,0),0)</f>
        <v>0</v>
      </c>
      <c r="CD58" s="54" cm="1">
        <f t="array" ref="CD58">IFERROR(VLOOKUP($A58,TRANSPOSE('[1]Fur 1 PLC'!$AR$1:$BV$38),28,0),0)</f>
        <v>141.79104477611941</v>
      </c>
      <c r="CE58" s="54" cm="1">
        <f t="array" ref="CE58">IFERROR(VLOOKUP($A58,TRANSPOSE('[1]Fur 1 PLC'!$AR$1:$BV$38),13,0),0)</f>
        <v>0</v>
      </c>
      <c r="CF58" s="54" cm="1">
        <f t="array" ref="CF58">IFERROR(VLOOKUP($A58,TRANSPOSE('[1]Fur 1 PLC'!$AR$1:$BV$38),37,0),0)</f>
        <v>684.49687048627823</v>
      </c>
      <c r="CG58" s="54" cm="1">
        <f t="array" ref="CG58">IFERROR(VLOOKUP($A58,TRANSPOSE('[1]Fur 1 PLC'!$AR$1:$BV$38),6,0),0)</f>
        <v>0</v>
      </c>
      <c r="CH58" s="54" cm="1">
        <f t="array" ref="CH58">IFERROR(VLOOKUP($A58,TRANSPOSE('[1]Fur 1 PLC'!$AR$1:$BV$38),21,0),0)</f>
        <v>0</v>
      </c>
      <c r="CI58" s="54" cm="1">
        <f t="array" ref="CI58">IFERROR(VLOOKUP($A58,TRANSPOSE('[1]Fur 1 PLC'!$AR$1:$BV$38),12,0),0)</f>
        <v>0</v>
      </c>
      <c r="CJ58" s="54" cm="1">
        <f t="array" ref="CJ58">IFERROR(VLOOKUP($A58,TRANSPOSE('[1]Fur 1 PLC'!$AR$1:$BV$38),25,0),0)</f>
        <v>0</v>
      </c>
      <c r="CK58" s="54" cm="1">
        <f t="array" ref="CK58">IFERROR(VLOOKUP($A58,TRANSPOSE('[1]Fur 1 PLC'!$AR$1:$BV$38),26,0),0)</f>
        <v>0</v>
      </c>
      <c r="CL58" s="54" cm="1">
        <f t="array" ref="CL58">IFERROR(VLOOKUP($A58,TRANSPOSE('[1]Fur 1 PLC'!$AR$1:$BV$38),27,0),0)</f>
        <v>520.60664419836314</v>
      </c>
      <c r="CM58" s="54" cm="1">
        <f t="array" ref="CM58">IFERROR(VLOOKUP($A58,TRANSPOSE('[1]Fur 1 PLC'!$AR$1:$BV$38),22,0),0)</f>
        <v>0</v>
      </c>
      <c r="CN58" s="54"/>
      <c r="CO58" s="54" cm="1">
        <f t="array" ref="CO58">IFERROR(VLOOKUP($A58,TRANSPOSE('[1]Fur 1 PLC'!$AR$1:$BV$38),29,0),0)</f>
        <v>0</v>
      </c>
      <c r="CP58" s="54" cm="1">
        <f t="array" ref="CP58">IFERROR(VLOOKUP($A58,TRANSPOSE('[1]Fur 1 PLC'!$AR$1:$BV$38),10,0),0)</f>
        <v>0</v>
      </c>
      <c r="CQ58" s="54" cm="1">
        <f t="array" ref="CQ58">IFERROR(VLOOKUP($A58,TRANSPOSE('[1]Fur 1 PLC'!$AR$1:$BV$38),7,0),0)</f>
        <v>165.81608088589311</v>
      </c>
      <c r="CR58" s="54" cm="1">
        <f t="array" ref="CR58">IFERROR(VLOOKUP($A58,TRANSPOSE('[1]Fur 1 PLC'!$AR$1:$BV$38),35,0),0)</f>
        <v>3.0332209918151181</v>
      </c>
      <c r="CS58" s="54" cm="1">
        <f t="array" ref="CS58">IFERROR(VLOOKUP($A58,TRANSPOSE('[1]Fur 1 PLC'!$AR$1:$BV$38),11,0),0)</f>
        <v>788.34857968223389</v>
      </c>
      <c r="CT58" s="54" cm="1">
        <f t="array" ref="CT58">IFERROR(VLOOKUP($A58,TRANSPOSE('[1]Fur 1 PLC'!$AR$1:$BV$38),19,0),0)</f>
        <v>0</v>
      </c>
      <c r="CU58" s="54" cm="1">
        <f t="array" ref="CU58">IFERROR(VLOOKUP($A58,TRANSPOSE('[1]Fur 1 PLC'!$AR$1:$BV$38),18,0),0)</f>
        <v>0</v>
      </c>
      <c r="CV58" s="54" cm="1">
        <f t="array" ref="CV58">IFERROR(VLOOKUP($A58,TRANSPOSE('[1]Fur 1 PLC'!$AR$1:$BV$38),15,0),0)</f>
        <v>361.53105440539241</v>
      </c>
      <c r="CW58" s="54" cm="1">
        <f t="array" ref="CW58">IFERROR(VLOOKUP($A58,TRANSPOSE('[1]Fur 1 PLC'!$CL$1:$DP$38),8,0),0)</f>
        <v>0</v>
      </c>
      <c r="CX58" s="54" cm="1">
        <f t="array" ref="CX58">IFERROR(VLOOKUP($A58,TRANSPOSE('[1]Fur 1 PLC'!$CL$1:$DP$38),30,0),0)</f>
        <v>0</v>
      </c>
      <c r="CY58" s="54" cm="1">
        <f t="array" ref="CY58">IFERROR(VLOOKUP($A58,TRANSPOSE('[1]Fur 1 PLC'!$CL$1:$DP$38),14,0),0)</f>
        <v>0</v>
      </c>
      <c r="CZ58" s="54" cm="1">
        <f t="array" ref="CZ58">IFERROR(VLOOKUP($A58,TRANSPOSE('[1]Fur 1 PLC'!$CL$1:$DP$38),16,0),0)</f>
        <v>0</v>
      </c>
      <c r="DA58" s="54" cm="1">
        <f t="array" ref="DA58">IFERROR(VLOOKUP($A58,TRANSPOSE('[1]Fur 1 PLC'!$CL$1:$DP$38),9,0),0)</f>
        <v>226.08163265306123</v>
      </c>
      <c r="DB58" s="55" cm="1">
        <f t="array" ref="DB58">IFERROR(VLOOKUP($A58,TRANSPOSE('[1]Fur 1 PLC'!$CL$1:$DP$38),17,0),0)</f>
        <v>175.04081632653063</v>
      </c>
      <c r="DC58" s="55" cm="1">
        <f t="array" ref="DC58">IFERROR(VLOOKUP($A58,TRANSPOSE('[1]Fur 1 PLC'!$CL$1:$DP$38),20,0),0)</f>
        <v>0</v>
      </c>
      <c r="DD58" s="54" cm="1">
        <f t="array" ref="DD58">IFERROR(VLOOKUP($A58,TRANSPOSE('[1]Fur 1 PLC'!$CL$1:$DP$38),28,0),0)</f>
        <v>60.102040816326529</v>
      </c>
      <c r="DE58" s="54" cm="1">
        <f t="array" ref="DE58">IFERROR(VLOOKUP($A58,TRANSPOSE('[1]Fur 1 PLC'!$CL$1:$DP$38),13,0),0)</f>
        <v>0</v>
      </c>
      <c r="DF58" s="54" cm="1">
        <f t="array" ref="DF58">IFERROR(VLOOKUP($A58,TRANSPOSE('[1]Fur 1 PLC'!$CL$1:$DP$38),37,0),0)</f>
        <v>290.14285714285717</v>
      </c>
      <c r="DG58" s="54" cm="1">
        <f t="array" ref="DG58">IFERROR(VLOOKUP($A58,TRANSPOSE('[1]Fur 1 PLC'!$CL$1:$DP$38),6,0),0)</f>
        <v>0</v>
      </c>
      <c r="DH58" s="54" cm="1">
        <f t="array" ref="DH58">IFERROR(VLOOKUP($A58,TRANSPOSE('[1]Fur 1 PLC'!$CL$1:$DP$38),21,0),0)</f>
        <v>0</v>
      </c>
      <c r="DI58" s="54" cm="1">
        <f t="array" ref="DI58">IFERROR(VLOOKUP($A58,TRANSPOSE('[1]Fur 1 PLC'!$CL$1:$DP$38),12,0),0)</f>
        <v>0</v>
      </c>
      <c r="DJ58" s="54" cm="1">
        <f t="array" ref="DJ58">IFERROR(VLOOKUP($A58,TRANSPOSE('[1]Fur 1 PLC'!$CL$1:$DP$38),25,0),0)</f>
        <v>0</v>
      </c>
      <c r="DK58" s="54" cm="1">
        <f t="array" ref="DK58">IFERROR(VLOOKUP($A58,TRANSPOSE('[1]Fur 1 PLC'!$CL$1:$DP$38),26,0),0)</f>
        <v>0</v>
      </c>
      <c r="DL58" s="54" cm="1">
        <f t="array" ref="DL58">IFERROR(VLOOKUP($A58,TRANSPOSE('[1]Fur 1 PLC'!$CL$1:$DP$38),27,0),0)</f>
        <v>220.67346938775512</v>
      </c>
      <c r="DM58" s="54" cm="1">
        <f t="array" ref="DM58">IFERROR(VLOOKUP($A58,TRANSPOSE('[1]Fur 1 PLC'!$CL$1:$DP$38),22,0),0)</f>
        <v>0</v>
      </c>
      <c r="DN58" s="54" cm="1">
        <f t="array" ref="DN58">IFERROR(VLOOKUP($A58,TRANSPOSE('[1]Fur 1 PLC'!$CL$1:$DP$38),19,0),0)</f>
        <v>0</v>
      </c>
      <c r="DO58" s="54" cm="1">
        <f t="array" ref="DO58">IFERROR(VLOOKUP($A58,TRANSPOSE('[1]Fur 1 PLC'!$CL$1:$DP$38),29,0),0)</f>
        <v>0</v>
      </c>
      <c r="DP58" s="54" cm="1">
        <f t="array" ref="DP58">IFERROR(VLOOKUP($A58,TRANSPOSE('[1]Fur 1 PLC'!$CL$1:$DP$38),10,0),0)</f>
        <v>0</v>
      </c>
      <c r="DQ58" s="54" cm="1">
        <f t="array" ref="DQ58">IFERROR(VLOOKUP($A58,TRANSPOSE('[1]Fur 1 PLC'!$CL$1:$DP$38),7,0),0)</f>
        <v>70.285714285714278</v>
      </c>
      <c r="DR58" s="54" cm="1">
        <f t="array" ref="DR58">IFERROR(VLOOKUP($A58,TRANSPOSE('[1]Fur 1 PLC'!$CL$1:$DP$38),35,0),0)</f>
        <v>1.2857142857142856</v>
      </c>
      <c r="DS58" s="54" cm="1">
        <f t="array" ref="DS58">IFERROR(VLOOKUP($A58,TRANSPOSE('[1]Fur 1 PLC'!$CL$1:$DP$38),11,0),0)</f>
        <v>334.16326530612247</v>
      </c>
      <c r="DT58" s="54" cm="1">
        <f t="array" ref="DT58">IFERROR(VLOOKUP($A58,TRANSPOSE('[1]Fur 1 PLC'!$CL$1:$DP$38),19,0),0)</f>
        <v>0</v>
      </c>
      <c r="DU58" s="54" cm="1">
        <f t="array" ref="DU58">IFERROR(VLOOKUP($A58,TRANSPOSE('[1]Fur 1 PLC'!$CL$1:$DP$38),18,0),0)</f>
        <v>0</v>
      </c>
      <c r="DV58" s="54" cm="1">
        <f t="array" ref="DV58">IFERROR(VLOOKUP($A58,TRANSPOSE('[1]Fur 1 PLC'!$CL$1:$DP$38),15,0),0)</f>
        <v>153.24489795918367</v>
      </c>
      <c r="DW58" t="str">
        <f>TEXT(C58,"Mmm-yy")</f>
        <v>Dec-25</v>
      </c>
    </row>
    <row r="59" spans="1:127" x14ac:dyDescent="0.3">
      <c r="A59" s="28" t="str">
        <f t="shared" si="59"/>
        <v>F246006</v>
      </c>
      <c r="B59" s="29" t="s">
        <v>27</v>
      </c>
      <c r="C59" s="30">
        <f>C58</f>
        <v>46006</v>
      </c>
      <c r="D59" s="29" t="str">
        <f>VLOOKUP($B59&amp;$C59,'[1]FC2 Prod'!$A$6:$BP$36,[2]Consolidated!D$1)</f>
        <v>Mr. Girish Malik</v>
      </c>
      <c r="E59" s="29">
        <f>VLOOKUP($B59&amp;$C59,'[1]FC2 Prod'!$A$6:$BP$36,[2]Consolidated!E$1)</f>
        <v>31.09</v>
      </c>
      <c r="F59" s="29">
        <f>VLOOKUP($B59&amp;$C59,'[1]FC2 Prod'!$A$6:$BP$36,[2]Consolidated!F$1)</f>
        <v>0</v>
      </c>
      <c r="G59" s="29">
        <f>VLOOKUP($B59&amp;$C59,'[1]FC2 Prod'!$A$6:$BP$36,[2]Consolidated!G$1)</f>
        <v>31.09</v>
      </c>
      <c r="H59" s="32">
        <f>VLOOKUP($B59&amp;$C59,'[1]FC2 Prod'!$A$6:$BP$36,[2]Consolidated!H$1)</f>
        <v>22.445</v>
      </c>
      <c r="I59" s="32">
        <f>VLOOKUP($B59&amp;$C59,'[1]FC2 Prod'!$A$6:$BP$36,[2]Consolidated!I$1)</f>
        <v>5.32</v>
      </c>
      <c r="J59" s="32">
        <f>VLOOKUP($B59&amp;$C59,'[1]FC2 Prod'!$A$6:$BP$36,[2]Consolidated!J$1)</f>
        <v>40.46</v>
      </c>
      <c r="K59" s="32">
        <f>VLOOKUP($B59&amp;$C59,'[1]FC2 Prod'!$A$6:$BP$36,[2]Consolidated!K$1)</f>
        <v>1.31</v>
      </c>
      <c r="L59" s="32">
        <f>VLOOKUP($B59&amp;$C59,'[1]FC2 Prod'!$A$6:$BP$36,[2]Consolidated!L$1)</f>
        <v>28.52</v>
      </c>
      <c r="M59" s="32">
        <f>VLOOKUP($B59&amp;$C59,'[1]FC2 Prod'!$A$6:$BP$36,[2]Consolidated!M$1)</f>
        <v>4.6500000000000004</v>
      </c>
      <c r="N59" s="32">
        <f>VLOOKUP($B59&amp;$C59,'[1]FC2 Prod'!$A$6:$BP$36,[2]Consolidated!N$1)</f>
        <v>16.28</v>
      </c>
      <c r="O59" s="32">
        <f>VLOOKUP($B59&amp;$C59,'[1]FC2 Prod'!$A$6:$BP$36,[2]Consolidated!O$1)</f>
        <v>0.82</v>
      </c>
      <c r="P59" s="34">
        <f>VLOOKUP($B59&amp;$C59,'[1]FC2 Prod'!$A$6:$BP$36,[2]Consolidated!P$1)</f>
        <v>9</v>
      </c>
      <c r="Q59" s="29">
        <f>VLOOKUP($B59&amp;$C59,'[1]FC2 Prod'!$A$6:$BP$36,[2]Consolidated!Q$1)</f>
        <v>60.381</v>
      </c>
      <c r="R59" s="29">
        <f>VLOOKUP($B59&amp;$C59,'[1]FC2 Prod'!$A$6:$BP$36,[2]Consolidated!R$1)</f>
        <v>18.695</v>
      </c>
      <c r="S59" s="34">
        <f>VLOOKUP($B59&amp;$C59,'[1]FC2 Prod'!$A$6:$BP$36,[2]Consolidated!S$1)</f>
        <v>37</v>
      </c>
      <c r="T59" s="34">
        <f>VLOOKUP($B59&amp;$C59,'[1]FC2 Prod'!$A$6:$BP$36,[2]Consolidated!T$1)</f>
        <v>10</v>
      </c>
      <c r="U59" s="34">
        <f>VLOOKUP($B59&amp;$C59,'[1]FC2 Prod'!$A$6:$BP$36,[2]Consolidated!U$1)</f>
        <v>21</v>
      </c>
      <c r="V59" s="34">
        <f>VLOOKUP($B59&amp;$C59,'[1]FC2 Prod'!$A$6:$BP$36,[2]Consolidated!V$1)</f>
        <v>68</v>
      </c>
      <c r="W59" s="29">
        <f>VLOOKUP($B59&amp;$C59,'[1]FC2 Prod'!$A$6:$BP$36,[2]Consolidated!W$1)</f>
        <v>1.9421357349630106</v>
      </c>
      <c r="X59" s="35">
        <f>VLOOKUP($B59&amp;$C59,'[1]FC2 Prod'!$A$6:$BP$36,[2]Consolidated!X$1)</f>
        <v>32.06</v>
      </c>
      <c r="Y59" s="36">
        <f>VLOOKUP($B59&amp;$C59,'[1]FC2 Prod'!$A$6:$BP$36,[2]Consolidated!Y$1)</f>
        <v>0.96974422956955697</v>
      </c>
      <c r="Z59" s="37" t="str">
        <f>VLOOKUP($B59&amp;$C59,'[1]FC2 Prod'!$A$6:$BP$36,[2]Consolidated!Z$1)</f>
        <v xml:space="preserve">55/22 </v>
      </c>
      <c r="AA59" s="31">
        <f>VLOOKUP($B59&amp;$C59,'[1]FC2 Prod'!$A$6:$BP$36,[2]Consolidated!AA$1)</f>
        <v>54.78</v>
      </c>
      <c r="AB59" s="31">
        <f>VLOOKUP($B59&amp;$C59,'[1]FC2 Prod'!$A$6:$BP$36,[2]Consolidated!AB$1)</f>
        <v>22.506666666666668</v>
      </c>
      <c r="AC59" s="31">
        <f>VLOOKUP($B59&amp;$C59,'[1]FC2 Prod'!$A$6:$BP$36,[2]Consolidated!AC$1)</f>
        <v>0.39111111111111113</v>
      </c>
      <c r="AD59" s="38">
        <f>VLOOKUP($B59&amp;$C59,'[1]FC2 Prod'!$A$6:$BP$36,[2]Consolidated!AD$1)</f>
        <v>567.34112106786733</v>
      </c>
      <c r="AE59" s="38">
        <f>VLOOKUP($B59&amp;$C59,'[1]FC2 Prod'!$A$6:$BP$36,[2]Consolidated!AE$1)</f>
        <v>616.39852806368606</v>
      </c>
      <c r="AF59" s="39">
        <f>VLOOKUP($B59&amp;$C59,'[1]FC2 Prod'!$A$6:$BP$36,[2]Consolidated!AF$1)</f>
        <v>0.96555666363283099</v>
      </c>
      <c r="AG59" s="39">
        <f>VLOOKUP($B59&amp;$C59,'[1]FC2 Prod'!$A$6:$BP$36,[2]Consolidated!AG$1)</f>
        <v>0.88871075296176161</v>
      </c>
      <c r="AH59" s="34">
        <f>VLOOKUP($B59&amp;$C59,'[1]FC2 Prod'!$A$6:$BP$36,[2]Consolidated!AH$1)</f>
        <v>583.91902541009972</v>
      </c>
      <c r="AI59" s="33">
        <f>VLOOKUP($B59&amp;$C59,'[1]FC2 Prod'!$A$6:$BP$36,[2]Consolidated!AI$1)</f>
        <v>429.91094403345124</v>
      </c>
      <c r="AJ59" s="39">
        <f>VLOOKUP($B59&amp;$C59,'[1]FC2 Prod'!$A$6:$BP$36,[2]Consolidated!AJ$1)</f>
        <v>0.49120466797585466</v>
      </c>
      <c r="AK59" s="39">
        <f>VLOOKUP($B59&amp;$C59,'[1]FC2 Prod'!$A$6:$BP$36,[2]Consolidated!AK$1)</f>
        <v>0.52163682625524721</v>
      </c>
      <c r="AL59" s="40" t="str">
        <f>VLOOKUP($B59&amp;$C59,'[1]FC2 Prod'!$A$6:$BP$36,[2]Consolidated!AL$1)</f>
        <v>10/70</v>
      </c>
      <c r="AM59" s="41">
        <f>VLOOKUP($B59&amp;$C59,'[1]FC2 Prod'!$A$6:$BP$36,[2]Consolidated!AM$1)</f>
        <v>2.6696687037632678E-2</v>
      </c>
      <c r="AN59" s="42">
        <f>VLOOKUP($B59&amp;$C59,'[1]FC2 Prod'!$A$6:$BP$36,[2]Consolidated!AN$1)</f>
        <v>144.6</v>
      </c>
      <c r="AO59" s="43">
        <f>VLOOKUP($B59&amp;$C59,'[1]FC2 Prod'!$A$6:$BP$36,[2]Consolidated!AO$1)</f>
        <v>5.827</v>
      </c>
      <c r="AP59" s="44">
        <f>VLOOKUP($B59&amp;$C59,'[1]FC2 Prod'!$A$6:$BP$36,[2]Consolidated!AP$1)</f>
        <v>4.8384367963975556</v>
      </c>
      <c r="AQ59" s="44">
        <f>VLOOKUP($B59&amp;$C59,'[1]FC2 Prod'!$A$6:$BP$36,[2]Consolidated!AQ$1)</f>
        <v>29.11462768907052</v>
      </c>
      <c r="AR59" s="45">
        <f>VLOOKUP($B59&amp;$C59,'[1]FC2 Prod'!$A$6:$BP$36,[2]Consolidated!AR$1)</f>
        <v>0.98770491803278704</v>
      </c>
      <c r="AS59" s="46">
        <f>VLOOKUP($B59&amp;$C59,'[1]FC2 Prod'!$A$6:$BP$36,[2]Consolidated!AS$1)</f>
        <v>2.1733333333333333</v>
      </c>
      <c r="AT59" s="29">
        <f>VLOOKUP($B59&amp;$C59,'[1]FC2 Prod'!$A$6:$BP$36,[2]Consolidated!AT$1)</f>
        <v>0.78307735934715161</v>
      </c>
      <c r="AU59" s="34">
        <f>VLOOKUP($B59&amp;$C59,'[1]FC2 Prod'!$A$6:$BP$36,[2]Consolidated!AU$1)</f>
        <v>504.23263888888886</v>
      </c>
      <c r="AV59" s="34">
        <f>VLOOKUP($B59&amp;$C59,'[1]FC2 Prod'!$A$6:$BP$36,[2]Consolidated!AV$1)</f>
        <v>250</v>
      </c>
      <c r="AW59" s="47">
        <f>VLOOKUP($B59&amp;$C59,'[1]FC2 Prod'!$A$6:$BP$36,[2]Consolidated!AW$1)</f>
        <v>22386.602122869088</v>
      </c>
      <c r="AX59" s="47">
        <f>VLOOKUP($B59&amp;$C59,'[1]FC2 Prod'!$A$6:$BP$36,[2]Consolidated!AX$1)</f>
        <v>17181.33612093921</v>
      </c>
      <c r="AY59" s="48">
        <f>VLOOKUP($B59&amp;$C59,'[1]FC2 Prod'!$A$6:$BP$36,[2]Consolidated!AY$1)</f>
        <v>1867.159858475394</v>
      </c>
      <c r="AZ59" s="47">
        <f>VLOOKUP($B59&amp;$C59,'[1]FC2 Prod'!$A$6:$BP$36,[2]Consolidated!AZ$1)</f>
        <v>1596.2801543904793</v>
      </c>
      <c r="BA59" s="47">
        <f>VLOOKUP($B59&amp;$C59,'[1]FC2 Prod'!$A$6:$BP$36,[2]Consolidated!BA$1)</f>
        <v>28304.855258925701</v>
      </c>
      <c r="BB59" s="47">
        <f>VLOOKUP($B59&amp;$C59,'[1]FC2 Prod'!$A$6:$BP$36,[2]Consolidated!BB$1)</f>
        <v>713.36233515599872</v>
      </c>
      <c r="BC59" s="47">
        <f>VLOOKUP($B59&amp;$C59,'[1]FC2 Prod'!$A$6:$BP$36,[2]Consolidated!BC$1)</f>
        <v>9193.0299131553566</v>
      </c>
      <c r="BD59" s="49">
        <f>VLOOKUP($B59&amp;$C59,'[1]FC2 Prod'!$A$6:$BP$36,[2]Consolidated!BD$1)</f>
        <v>81242.62576391123</v>
      </c>
      <c r="BE59" s="47">
        <f>VLOOKUP($B59&amp;$C59,'[1]FC2 Prod'!$A$6:$BP$36,[2]Consolidated!BE$1)</f>
        <v>24330.123158571889</v>
      </c>
      <c r="BF59" s="47">
        <f>VLOOKUP($B59&amp;$C59,'[1]FC2 Prod'!$A$6:$BP$36,[2]Consolidated!BF$1)</f>
        <v>12625.906722418784</v>
      </c>
      <c r="BG59" s="50">
        <f>VLOOKUP($B59&amp;$C59,'[1]FC2 Prod'!$A$6:$BP$36,[2]Consolidated!BG$1)</f>
        <v>1712.5763911225474</v>
      </c>
      <c r="BH59" s="50">
        <f>VLOOKUP($B59&amp;$C59,'[1]FC2 Prod'!$A$6:$BP$36,[2]Consolidated!BH$1)</f>
        <v>685.69741685429403</v>
      </c>
      <c r="BI59" s="50">
        <f>VLOOKUP($B59&amp;$C59,'[1]FC2 Prod'!$A$6:$BP$36,[2]Consolidated!BI$1)</f>
        <v>78448.469015439056</v>
      </c>
      <c r="BJ59" s="37" t="e">
        <f>VLOOKUP($B59&amp;$C59,'[1]FC2 Prod'!$A$6:$BP$36,[2]Consolidated!BJ$1)</f>
        <v>#REF!</v>
      </c>
      <c r="BK59" s="37" t="e">
        <f>VLOOKUP($B59&amp;$C59,'[1]FC2 Prod'!$A$6:$BP$36,[2]Consolidated!BK$1)</f>
        <v>#REF!</v>
      </c>
      <c r="BL59" s="37" t="e">
        <f>VLOOKUP($B59&amp;$C59,'[1]FC2 Prod'!$A$6:$BP$36,[2]Consolidated!BL$1)</f>
        <v>#REF!</v>
      </c>
      <c r="BM59" s="37" t="e">
        <f>VLOOKUP($B59&amp;$C59,'[1]FC2 Prod'!$A$6:$BP$36,[2]Consolidated!BM$1)</f>
        <v>#REF!</v>
      </c>
      <c r="BN59" s="37" t="e">
        <f>VLOOKUP($B59&amp;$C59,'[1]FC2 Prod'!$A$6:$BP$36,[2]Consolidated!BN$1)</f>
        <v>#REF!</v>
      </c>
      <c r="BO59" s="37" t="e">
        <f>VLOOKUP($B59&amp;$C59,'[1]FC2 Prod'!$A$6:$BP$36,[2]Consolidated!BO$1)</f>
        <v>#REF!</v>
      </c>
      <c r="BP59" s="37" t="str">
        <f>VLOOKUP($B59&amp;$C59,'[1]FC2 Prod'!$A$6:$BP$36,[2]Consolidated!BP$1)</f>
        <v>NIL</v>
      </c>
      <c r="BQ59" s="29" t="e">
        <f>VLOOKUP($B59&amp;$C59,'[1]FC2 Prod'!$A$6:$BP$36,[2]Consolidated!BQ$1)</f>
        <v>#REF!</v>
      </c>
      <c r="BR59" s="51">
        <f>VLOOKUP($B59&amp;$C59,'[1]FC2 Prod'!$A$6:$BQ$36,[2]Consolidated!BR$1)</f>
        <v>68163</v>
      </c>
      <c r="BS59" s="52">
        <f t="shared" si="70"/>
        <v>66973.46153103892</v>
      </c>
      <c r="BT59" s="32">
        <f>BR59-BS59</f>
        <v>1189.5384689610801</v>
      </c>
      <c r="BU59" s="37">
        <f>E59*BT59</f>
        <v>36982.750999999982</v>
      </c>
      <c r="BV59" s="53" t="s">
        <v>132</v>
      </c>
      <c r="BW59" s="54" cm="1">
        <f t="array" ref="BW59">IFERROR(VLOOKUP($A59,TRANSPOSE('[1]Fur 2 PLC'!$AR$1:$BV$38),8,0),0)</f>
        <v>0</v>
      </c>
      <c r="BX59" s="54" cm="1">
        <f t="array" ref="BX59">IFERROR(VLOOKUP($A59,TRANSPOSE('[1]Fur 2 PLC'!$AR$1:$BV$38),30,0),0)</f>
        <v>0</v>
      </c>
      <c r="BY59" s="54" cm="1">
        <f t="array" ref="BY59">IFERROR(VLOOKUP($A59,TRANSPOSE('[1]Fur 2 PLC'!$AR$1:$BV$38),14,0),0)</f>
        <v>0</v>
      </c>
      <c r="BZ59" s="54" cm="1">
        <f t="array" ref="BZ59">IFERROR(VLOOKUP($A59,TRANSPOSE('[1]Fur 2 PLC'!$AR$1:$BV$38),16,0),0)</f>
        <v>0</v>
      </c>
      <c r="CA59" s="54" cm="1">
        <f t="array" ref="CA59">IFERROR(VLOOKUP($A59,TRANSPOSE('[1]Fur 2 PLC'!$AR$1:$BV$38),9,0),0)</f>
        <v>494.27468639433903</v>
      </c>
      <c r="CB59" s="54" cm="1">
        <f t="array" ref="CB59">IFERROR(VLOOKUP($A59,TRANSPOSE('[1]Fur 2 PLC'!$AR$1:$BV$38),17,0),0)</f>
        <v>382.7918944998392</v>
      </c>
      <c r="CC59" s="54" cm="1">
        <f t="array" ref="CC59">IFERROR(VLOOKUP($A59,TRANSPOSE('[1]Fur 2 PLC'!$AR$1:$BV$38),20,0),0)</f>
        <v>0</v>
      </c>
      <c r="CD59" s="54" cm="1">
        <f t="array" ref="CD59">IFERROR(VLOOKUP($A59,TRANSPOSE('[1]Fur 2 PLC'!$AR$1:$BV$38),28,0),0)</f>
        <v>0</v>
      </c>
      <c r="CE59" s="54" cm="1">
        <f t="array" ref="CE59">IFERROR(VLOOKUP($A59,TRANSPOSE('[1]Fur 2 PLC'!$AR$1:$BV$38),13,0),0)</f>
        <v>0</v>
      </c>
      <c r="CF59" s="54" cm="1">
        <f t="array" ref="CF59">IFERROR(VLOOKUP($A59,TRANSPOSE('[1]Fur 2 PLC'!$AR$1:$BV$38),37,0),0)</f>
        <v>634.28755226761018</v>
      </c>
      <c r="CG59" s="54" cm="1">
        <f t="array" ref="CG59">IFERROR(VLOOKUP($A59,TRANSPOSE('[1]Fur 2 PLC'!$AR$1:$BV$38),6,0),0)</f>
        <v>0</v>
      </c>
      <c r="CH59" s="54" cm="1">
        <f t="array" ref="CH59">IFERROR(VLOOKUP($A59,TRANSPOSE('[1]Fur 2 PLC'!$AR$1:$BV$38),21,0),0)</f>
        <v>0</v>
      </c>
      <c r="CI59" s="54" cm="1">
        <f t="array" ref="CI59">IFERROR(VLOOKUP($A59,TRANSPOSE('[1]Fur 2 PLC'!$AR$1:$BV$38),12,0),0)</f>
        <v>0</v>
      </c>
      <c r="CJ59" s="54" cm="1">
        <f t="array" ref="CJ59">IFERROR(VLOOKUP($A59,TRANSPOSE('[1]Fur 2 PLC'!$AR$1:$BV$38),25,0),0)</f>
        <v>0</v>
      </c>
      <c r="CK59" s="54" cm="1">
        <f t="array" ref="CK59">IFERROR(VLOOKUP($A59,TRANSPOSE('[1]Fur 2 PLC'!$AR$1:$BV$38),26,0),0)</f>
        <v>98.423930524284344</v>
      </c>
      <c r="CL59" s="54" cm="1">
        <f t="array" ref="CL59">IFERROR(VLOOKUP($A59,TRANSPOSE('[1]Fur 2 PLC'!$AR$1:$BV$38),27,0),0)</f>
        <v>448.37568349951749</v>
      </c>
      <c r="CM59" s="54" cm="1">
        <f t="array" ref="CM59">IFERROR(VLOOKUP($A59,TRANSPOSE('[1]Fur 2 PLC'!$AR$1:$BV$38),22,0),0)</f>
        <v>0</v>
      </c>
      <c r="CN59" s="54"/>
      <c r="CO59" s="54" cm="1">
        <f t="array" ref="CO59">IFERROR(VLOOKUP($A59,TRANSPOSE('[1]Fur 2 PLC'!$AR$1:$BV$38),29,0),0)</f>
        <v>54.519137986490833</v>
      </c>
      <c r="CP59" s="54" cm="1">
        <f t="array" ref="CP59">IFERROR(VLOOKUP($A59,TRANSPOSE('[1]Fur 2 PLC'!$AR$1:$BV$38),10,0),0)</f>
        <v>0</v>
      </c>
      <c r="CQ59" s="54" cm="1">
        <f t="array" ref="CQ59">IFERROR(VLOOKUP($A59,TRANSPOSE('[1]Fur 2 PLC'!$AR$1:$BV$38),7,0),0)</f>
        <v>175.00804117079446</v>
      </c>
      <c r="CR59" s="54" cm="1">
        <f t="array" ref="CR59">IFERROR(VLOOKUP($A59,TRANSPOSE('[1]Fur 2 PLC'!$AR$1:$BV$38),35,0),0)</f>
        <v>0</v>
      </c>
      <c r="CS59" s="54" cm="1">
        <f t="array" ref="CS59">IFERROR(VLOOKUP($A59,TRANSPOSE('[1]Fur 2 PLC'!$AR$1:$BV$38),11,0),0)</f>
        <v>730.68510775168863</v>
      </c>
      <c r="CT59" s="54" cm="1">
        <f t="array" ref="CT59">IFERROR(VLOOKUP($A59,TRANSPOSE('[1]Fur 2 PLC'!$AR$1:$BV$38),19,0),0)</f>
        <v>0</v>
      </c>
      <c r="CU59" s="54" cm="1">
        <f t="array" ref="CU59">IFERROR(VLOOKUP($A59,TRANSPOSE('[1]Fur 2 PLC'!$AR$1:$BV$38),18,0),0)</f>
        <v>0</v>
      </c>
      <c r="CV59" s="54" cm="1">
        <f t="array" ref="CV59">IFERROR(VLOOKUP($A59,TRANSPOSE('[1]Fur 2 PLC'!$AR$1:$BV$38),15,0),0)</f>
        <v>334.38404631714383</v>
      </c>
      <c r="CW59" s="54" cm="1">
        <f t="array" ref="CW59">IFERROR(VLOOKUP($A59,TRANSPOSE('[1]Fur 2 PLC'!$CI$1:$DM$38),8,0),0)</f>
        <v>0</v>
      </c>
      <c r="CX59" s="54" cm="1">
        <f t="array" ref="CX59">IFERROR(VLOOKUP($A59,TRANSPOSE('[1]Fur 2 PLC'!$CI$1:$DM$38),30,0),0)</f>
        <v>0</v>
      </c>
      <c r="CY59" s="54" cm="1">
        <f t="array" ref="CY59">IFERROR(VLOOKUP($A59,TRANSPOSE('[1]Fur 2 PLC'!$CI$1:$DM$38),14,0),0)</f>
        <v>0</v>
      </c>
      <c r="CZ59" s="54" cm="1">
        <f t="array" ref="CZ59">IFERROR(VLOOKUP($A59,TRANSPOSE('[1]Fur 2 PLC'!$CI$1:$DM$38),16,0),0)</f>
        <v>0</v>
      </c>
      <c r="DA59" s="54" cm="1">
        <f t="array" ref="DA59">IFERROR(VLOOKUP($A59,TRANSPOSE('[1]Fur 2 PLC'!$CI$1:$DM$38),9,0),0)</f>
        <v>225.98529411764707</v>
      </c>
      <c r="DB59" s="55" cm="1">
        <f t="array" ref="DB59">IFERROR(VLOOKUP($A59,TRANSPOSE('[1]Fur 2 PLC'!$CI$1:$DM$38),17,0),0)</f>
        <v>175.01470588235293</v>
      </c>
      <c r="DC59" s="55" cm="1">
        <f t="array" ref="DC59">IFERROR(VLOOKUP($A59,TRANSPOSE('[1]Fur 2 PLC'!$CI$1:$DM$38),20,0),0)</f>
        <v>0</v>
      </c>
      <c r="DD59" s="54" cm="1">
        <f t="array" ref="DD59">IFERROR(VLOOKUP($A59,TRANSPOSE('[1]Fur 2 PLC'!$CI$1:$DM$38),28,0),0)</f>
        <v>0</v>
      </c>
      <c r="DE59" s="54" cm="1">
        <f t="array" ref="DE59">IFERROR(VLOOKUP($A59,TRANSPOSE('[1]Fur 2 PLC'!$CI$1:$DM$38),13,0),0)</f>
        <v>0</v>
      </c>
      <c r="DF59" s="54" cm="1">
        <f t="array" ref="DF59">IFERROR(VLOOKUP($A59,TRANSPOSE('[1]Fur 2 PLC'!$CI$1:$DM$38),37,0),0)</f>
        <v>290</v>
      </c>
      <c r="DG59" s="54" cm="1">
        <f t="array" ref="DG59">IFERROR(VLOOKUP($A59,TRANSPOSE('[1]Fur 2 PLC'!$CI$1:$DM$38),6,0),0)</f>
        <v>0</v>
      </c>
      <c r="DH59" s="54" cm="1">
        <f t="array" ref="DH59">IFERROR(VLOOKUP($A59,TRANSPOSE('[1]Fur 2 PLC'!$CI$1:$DM$38),21,0),0)</f>
        <v>0</v>
      </c>
      <c r="DI59" s="54" cm="1">
        <f t="array" ref="DI59">IFERROR(VLOOKUP($A59,TRANSPOSE('[1]Fur 2 PLC'!$CI$1:$DM$38),12,0),0)</f>
        <v>0</v>
      </c>
      <c r="DJ59" s="54" cm="1">
        <f t="array" ref="DJ59">IFERROR(VLOOKUP($A59,TRANSPOSE('[1]Fur 2 PLC'!$CI$1:$DM$38),25,0),0)</f>
        <v>0</v>
      </c>
      <c r="DK59" s="54" cm="1">
        <f t="array" ref="DK59">IFERROR(VLOOKUP($A59,TRANSPOSE('[1]Fur 2 PLC'!$CI$1:$DM$38),26,0),0)</f>
        <v>45</v>
      </c>
      <c r="DL59" s="54" cm="1">
        <f t="array" ref="DL59">IFERROR(VLOOKUP($A59,TRANSPOSE('[1]Fur 2 PLC'!$CI$1:$DM$38),27,0),0)</f>
        <v>205</v>
      </c>
      <c r="DM59" s="54" cm="1">
        <f t="array" ref="DM59">IFERROR(VLOOKUP($A59,TRANSPOSE('[1]Fur 2 PLC'!$CI$1:$DM$38),22,0),0)</f>
        <v>0</v>
      </c>
      <c r="DN59" s="54" cm="1">
        <f t="array" ref="DN59">IFERROR(VLOOKUP($A59,TRANSPOSE('[1]Fur 2 PLC'!$CI$1:$DM$38),19,0),0)</f>
        <v>0</v>
      </c>
      <c r="DO59" s="54" cm="1">
        <f t="array" ref="DO59">IFERROR(VLOOKUP($A59,TRANSPOSE('[1]Fur 2 PLC'!$CI$1:$DM$38),29,0),0)</f>
        <v>24.926470588235297</v>
      </c>
      <c r="DP59" s="54" cm="1">
        <f t="array" ref="DP59">IFERROR(VLOOKUP($A59,TRANSPOSE('[1]Fur 2 PLC'!$CI$1:$DM$38),10,0),0)</f>
        <v>0</v>
      </c>
      <c r="DQ59" s="54" cm="1">
        <f t="array" ref="DQ59">IFERROR(VLOOKUP($A59,TRANSPOSE('[1]Fur 2 PLC'!$CI$1:$DM$38),7,0),0)</f>
        <v>80.014705882352928</v>
      </c>
      <c r="DR59" s="54" cm="1">
        <f t="array" ref="DR59">IFERROR(VLOOKUP($A59,TRANSPOSE('[1]Fur 2 PLC'!$CI$1:$DM$38),35,0),0)</f>
        <v>0</v>
      </c>
      <c r="DS59" s="54" cm="1">
        <f t="array" ref="DS59">IFERROR(VLOOKUP($A59,TRANSPOSE('[1]Fur 2 PLC'!$CI$1:$DM$38),11,0),0)</f>
        <v>334.0735294117647</v>
      </c>
      <c r="DT59" s="54" cm="1">
        <f t="array" ref="DT59">IFERROR(VLOOKUP($A59,TRANSPOSE('[1]Fur 2 PLC'!$CI$1:$DM$38),19,0),0)</f>
        <v>0</v>
      </c>
      <c r="DU59" s="54" cm="1">
        <f t="array" ref="DU59">IFERROR(VLOOKUP($A59,TRANSPOSE('[1]Fur 2 PLC'!$CI$1:$DM$38),18,0),0)</f>
        <v>0</v>
      </c>
      <c r="DV59" s="54" cm="1">
        <f t="array" ref="DV59">IFERROR(VLOOKUP($A59,TRANSPOSE('[1]Fur 2 PLC'!$CI$1:$DM$38),15,0),0)</f>
        <v>152.88235294117646</v>
      </c>
      <c r="DW59" t="str">
        <f t="shared" ref="DW59:DW61" si="71">TEXT(C59,"Mmm-yy")</f>
        <v>Dec-25</v>
      </c>
    </row>
    <row r="60" spans="1:127" x14ac:dyDescent="0.3">
      <c r="A60" s="28" t="str">
        <f t="shared" si="59"/>
        <v>F346006</v>
      </c>
      <c r="B60" s="29" t="s">
        <v>28</v>
      </c>
      <c r="C60" s="30">
        <f>C59</f>
        <v>46006</v>
      </c>
      <c r="D60" s="29" t="str">
        <f>VLOOKUP($B60&amp;$C60,'[1]FC3 Prod'!$A$6:$BP$36,[2]Consolidated!D$1)</f>
        <v>Mr. Ajay Singh</v>
      </c>
      <c r="E60" s="29">
        <f>VLOOKUP($B60&amp;$C60,'[1]FC3 Prod'!$A$6:$BP$36,[2]Consolidated!E$1)</f>
        <v>37.92</v>
      </c>
      <c r="F60" s="31">
        <f>VLOOKUP($B60&amp;$C60,'[1]FC3 Prod'!$A$6:$BP$36,[2]Consolidated!F$1)</f>
        <v>0</v>
      </c>
      <c r="G60" s="32">
        <f>VLOOKUP($B60&amp;$C60,'[1]FC3 Prod'!$A$6:$BP$36,[2]Consolidated!G$1)</f>
        <v>37.92</v>
      </c>
      <c r="H60" s="32">
        <f>VLOOKUP($B60&amp;$C60,'[1]FC3 Prod'!$A$6:$BP$36,[2]Consolidated!H$1)</f>
        <v>28.35</v>
      </c>
      <c r="I60" s="32">
        <f>VLOOKUP($B60&amp;$C60,'[1]FC3 Prod'!$A$6:$BP$36,[2]Consolidated!I$1)</f>
        <v>11.08</v>
      </c>
      <c r="J60" s="32">
        <f>VLOOKUP($B60&amp;$C60,'[1]FC3 Prod'!$A$6:$BP$36,[2]Consolidated!J$1)</f>
        <v>38.42</v>
      </c>
      <c r="K60" s="32">
        <f>VLOOKUP($B60&amp;$C60,'[1]FC3 Prod'!$A$6:$BP$36,[2]Consolidated!K$1)</f>
        <v>1.38</v>
      </c>
      <c r="L60" s="32">
        <f>VLOOKUP($B60&amp;$C60,'[1]FC3 Prod'!$A$6:$BP$36,[2]Consolidated!L$1)</f>
        <v>26.32</v>
      </c>
      <c r="M60" s="32">
        <f>VLOOKUP($B60&amp;$C60,'[1]FC3 Prod'!$A$6:$BP$36,[2]Consolidated!M$1)</f>
        <v>5.45</v>
      </c>
      <c r="N60" s="32">
        <f>VLOOKUP($B60&amp;$C60,'[1]FC3 Prod'!$A$6:$BP$36,[2]Consolidated!N$1)</f>
        <v>14.52</v>
      </c>
      <c r="O60" s="32">
        <f>VLOOKUP($B60&amp;$C60,'[1]FC3 Prod'!$A$6:$BP$36,[2]Consolidated!O$1)</f>
        <v>0.83</v>
      </c>
      <c r="P60" s="33">
        <f>VLOOKUP($B60&amp;$C60,'[1]FC3 Prod'!$A$6:$BP$36,[2]Consolidated!P$1)</f>
        <v>8</v>
      </c>
      <c r="Q60" s="29">
        <f>VLOOKUP($B60&amp;$C60,'[1]FC3 Prod'!$A$6:$BP$36,[2]Consolidated!Q$1)</f>
        <v>79.311000000000007</v>
      </c>
      <c r="R60" s="29">
        <f>VLOOKUP($B60&amp;$C60,'[1]FC3 Prod'!$A$6:$BP$36,[2]Consolidated!R$1)</f>
        <v>25.395</v>
      </c>
      <c r="S60" s="34">
        <f>VLOOKUP($B60&amp;$C60,'[1]FC3 Prod'!$A$6:$BP$36,[2]Consolidated!S$1)</f>
        <v>32</v>
      </c>
      <c r="T60" s="34">
        <f>VLOOKUP($B60&amp;$C60,'[1]FC3 Prod'!$A$6:$BP$36,[2]Consolidated!T$1)</f>
        <v>24</v>
      </c>
      <c r="U60" s="34">
        <f>VLOOKUP($B60&amp;$C60,'[1]FC3 Prod'!$A$6:$BP$36,[2]Consolidated!U$1)</f>
        <v>16</v>
      </c>
      <c r="V60" s="34">
        <f>VLOOKUP($B60&amp;$C60,'[1]FC3 Prod'!$A$6:$BP$36,[2]Consolidated!V$1)</f>
        <v>72</v>
      </c>
      <c r="W60" s="35">
        <f>VLOOKUP($B60&amp;$C60,'[1]FC3 Prod'!$A$6:$BP$36,[2]Consolidated!W$1)</f>
        <v>2.0915348101265825</v>
      </c>
      <c r="X60" s="35">
        <f>VLOOKUP($B60&amp;$C60,'[1]FC3 Prod'!$A$6:$BP$36,[2]Consolidated!X$1)</f>
        <v>39.094999999999999</v>
      </c>
      <c r="Y60" s="36">
        <f>VLOOKUP($B60&amp;$C60,'[1]FC3 Prod'!$A$6:$BP$36,[2]Consolidated!Y$1)</f>
        <v>0.9699450057552117</v>
      </c>
      <c r="Z60" s="37" t="str">
        <f>VLOOKUP($B60&amp;$C60,'[1]FC3 Prod'!$A$6:$BP$36,[2]Consolidated!Z$1)</f>
        <v>60/15</v>
      </c>
      <c r="AA60" s="31">
        <f>VLOOKUP($B60&amp;$C60,'[1]FC3 Prod'!$A$6:$BP$36,[2]Consolidated!AA$1)</f>
        <v>59.796250000000001</v>
      </c>
      <c r="AB60" s="31">
        <f>VLOOKUP($B60&amp;$C60,'[1]FC3 Prod'!$A$6:$BP$36,[2]Consolidated!AB$1)</f>
        <v>14.94125</v>
      </c>
      <c r="AC60" s="31" t="e">
        <f>VLOOKUP($B60&amp;$C60,'[1]FC3 Prod'!$A$6:$BP$36,[2]Consolidated!AC$1)</f>
        <v>#REF!</v>
      </c>
      <c r="AD60" s="38">
        <f>VLOOKUP($B60&amp;$C60,'[1]FC3 Prod'!$A$6:$BP$36,[2]Consolidated!AD$1)</f>
        <v>620.54084562236289</v>
      </c>
      <c r="AE60" s="38">
        <f>VLOOKUP($B60&amp;$C60,'[1]FC3 Prod'!$A$6:$BP$36,[2]Consolidated!AE$1)</f>
        <v>676.54579484440944</v>
      </c>
      <c r="AF60" s="39">
        <f>VLOOKUP($B60&amp;$C60,'[1]FC3 Prod'!$A$6:$BP$36,[2]Consolidated!AF$1)</f>
        <v>0.96361505325291152</v>
      </c>
      <c r="AG60" s="39">
        <f>VLOOKUP($B60&amp;$C60,'[1]FC3 Prod'!$A$6:$BP$36,[2]Consolidated!AG$1)</f>
        <v>0.88384630361573402</v>
      </c>
      <c r="AH60" s="34">
        <f>VLOOKUP($B60&amp;$C60,'[1]FC3 Prod'!$A$6:$BP$36,[2]Consolidated!AH$1)</f>
        <v>344.12012130801685</v>
      </c>
      <c r="AI60" s="33">
        <f>VLOOKUP($B60&amp;$C60,'[1]FC3 Prod'!$A$6:$BP$36,[2]Consolidated!AI$1)</f>
        <v>390.30216904008432</v>
      </c>
      <c r="AJ60" s="39">
        <f>VLOOKUP($B60&amp;$C60,'[1]FC3 Prod'!$A$6:$BP$36,[2]Consolidated!AJ$1)</f>
        <v>0.54006597577508519</v>
      </c>
      <c r="AK60" s="39">
        <f>VLOOKUP($B60&amp;$C60,'[1]FC3 Prod'!$A$6:$BP$36,[2]Consolidated!AK$1)</f>
        <v>0.4665862178526945</v>
      </c>
      <c r="AL60" s="40" t="str">
        <f>VLOOKUP($B60&amp;$C60,'[1]FC3 Prod'!$A$6:$BP$36,[2]Consolidated!AL$1)</f>
        <v>25/50</v>
      </c>
      <c r="AM60" s="41">
        <f>VLOOKUP($B60&amp;$C60,'[1]FC3 Prod'!$A$6:$BP$36,[2]Consolidated!AM$1)</f>
        <v>3.3755274261603373E-2</v>
      </c>
      <c r="AN60" s="42">
        <f>VLOOKUP($B60&amp;$C60,'[1]FC3 Prod'!$A$6:$BP$36,[2]Consolidated!AN$1)</f>
        <v>145.69999999999999</v>
      </c>
      <c r="AO60" s="43">
        <f>VLOOKUP($B60&amp;$C60,'[1]FC3 Prod'!$A$6:$BP$36,[2]Consolidated!AO$1)</f>
        <v>5.827</v>
      </c>
      <c r="AP60" s="44">
        <f>VLOOKUP($B60&amp;$C60,'[1]FC3 Prod'!$A$6:$BP$36,[2]Consolidated!AP$1)</f>
        <v>3.995965189873417</v>
      </c>
      <c r="AQ60" s="44">
        <f>VLOOKUP($B60&amp;$C60,'[1]FC3 Prod'!$A$6:$BP$36,[2]Consolidated!AQ$1)</f>
        <v>29.169546947697562</v>
      </c>
      <c r="AR60" s="45">
        <f>VLOOKUP($B60&amp;$C60,'[1]FC3 Prod'!$A$6:$BP$36,[2]Consolidated!AR$1)</f>
        <v>0.9952185792349727</v>
      </c>
      <c r="AS60" s="46">
        <f>VLOOKUP($B60&amp;$C60,'[1]FC3 Prod'!$A$6:$BP$36,[2]Consolidated!AS$1)</f>
        <v>2.1333333333333333</v>
      </c>
      <c r="AT60" s="29">
        <f>VLOOKUP($B60&amp;$C60,'[1]FC3 Prod'!$A$6:$BP$36,[2]Consolidated!AT$1)</f>
        <v>0.79300885451240088</v>
      </c>
      <c r="AU60" s="34">
        <f>VLOOKUP($B60&amp;$C60,'[1]FC3 Prod'!$A$6:$BP$36,[2]Consolidated!AU$1)</f>
        <v>559.85300925925924</v>
      </c>
      <c r="AV60" s="34">
        <f>VLOOKUP($B60&amp;$C60,'[1]FC3 Prod'!$A$6:$BP$36,[2]Consolidated!AV$1)</f>
        <v>325</v>
      </c>
      <c r="AW60" s="47">
        <f>VLOOKUP($B60&amp;$C60,'[1]FC3 Prod'!$A$6:$BP$36,[2]Consolidated!AW$1)</f>
        <v>24311.147151898731</v>
      </c>
      <c r="AX60" s="47">
        <f>VLOOKUP($B60&amp;$C60,'[1]FC3 Prod'!$A$6:$BP$36,[2]Consolidated!AX$1)</f>
        <v>7753.8739451476795</v>
      </c>
      <c r="AY60" s="48">
        <f>VLOOKUP($B60&amp;$C60,'[1]FC3 Prod'!$A$6:$BP$36,[2]Consolidated!AY$1)</f>
        <v>931.3291139240506</v>
      </c>
      <c r="AZ60" s="47">
        <f>VLOOKUP($B60&amp;$C60,'[1]FC3 Prod'!$A$6:$BP$36,[2]Consolidated!AZ$1)</f>
        <v>1323.4480485232068</v>
      </c>
      <c r="BA60" s="47">
        <f>VLOOKUP($B60&amp;$C60,'[1]FC3 Prod'!$A$6:$BP$36,[2]Consolidated!BA$1)</f>
        <v>23376.396360759489</v>
      </c>
      <c r="BB60" s="47">
        <f>VLOOKUP($B60&amp;$C60,'[1]FC3 Prod'!$A$6:$BP$36,[2]Consolidated!BB$1)</f>
        <v>576.96194620253152</v>
      </c>
      <c r="BC60" s="47">
        <f>VLOOKUP($B60&amp;$C60,'[1]FC3 Prod'!$A$6:$BP$36,[2]Consolidated!BC$1)</f>
        <v>7592.3338607594924</v>
      </c>
      <c r="BD60" s="49">
        <f>VLOOKUP($B60&amp;$C60,'[1]FC3 Prod'!$A$6:$BP$36,[2]Consolidated!BD$1)</f>
        <v>65865.490427215176</v>
      </c>
      <c r="BE60" s="47">
        <f>VLOOKUP($B60&amp;$C60,'[1]FC3 Prod'!$A$6:$BP$36,[2]Consolidated!BE$1)</f>
        <v>26264.836366033753</v>
      </c>
      <c r="BF60" s="47">
        <f>VLOOKUP($B60&amp;$C60,'[1]FC3 Prod'!$A$6:$BP$36,[2]Consolidated!BF$1)</f>
        <v>8807.9245253164554</v>
      </c>
      <c r="BG60" s="50">
        <f>VLOOKUP($B60&amp;$C60,'[1]FC3 Prod'!$A$6:$BP$36,[2]Consolidated!BG$1)</f>
        <v>1000.2531645569619</v>
      </c>
      <c r="BH60" s="50">
        <f>VLOOKUP($B60&amp;$C60,'[1]FC3 Prod'!$A$6:$BP$36,[2]Consolidated!BH$1)</f>
        <v>607.72858465189859</v>
      </c>
      <c r="BI60" s="50">
        <f>VLOOKUP($B60&amp;$C60,'[1]FC3 Prod'!$A$6:$BP$36,[2]Consolidated!BI$1)</f>
        <v>68972.920910601257</v>
      </c>
      <c r="BJ60" s="37" t="e">
        <f>VLOOKUP($B60&amp;$C60,'[1]FC3 Prod'!$A$6:$BP$36,[2]Consolidated!BJ$1)</f>
        <v>#REF!</v>
      </c>
      <c r="BK60" s="37">
        <f>VLOOKUP($B60&amp;$C60,'[1]FC3 Prod'!$A$6:$BP$36,[2]Consolidated!BK$1)</f>
        <v>5</v>
      </c>
      <c r="BL60" s="37" t="e">
        <f>VLOOKUP($B60&amp;$C60,'[1]FC3 Prod'!$A$6:$BP$36,[2]Consolidated!BL$1)</f>
        <v>#REF!</v>
      </c>
      <c r="BM60" s="37" t="e">
        <f>VLOOKUP($B60&amp;$C60,'[1]FC3 Prod'!$A$6:$BP$36,[2]Consolidated!BM$1)</f>
        <v>#REF!</v>
      </c>
      <c r="BN60" s="37" t="e">
        <f>VLOOKUP($B60&amp;$C60,'[1]FC3 Prod'!$A$6:$BP$36,[2]Consolidated!BN$1)</f>
        <v>#REF!</v>
      </c>
      <c r="BO60" s="37">
        <f>VLOOKUP($B60&amp;$C60,'[1]FC3 Prod'!$A$6:$BP$36,[2]Consolidated!BO$1)</f>
        <v>5</v>
      </c>
      <c r="BP60" s="37" t="str">
        <f>VLOOKUP($B60&amp;$C60,'[1]FC3 Prod'!$A$6:$BP$36,[2]Consolidated!BP$1)</f>
        <v>Aux power failure.</v>
      </c>
      <c r="BQ60" s="51" t="e">
        <f>VLOOKUP($B60&amp;$C60,'[1]FC3 Prod'!$A$6:$BP$36,[2]Consolidated!BQ$1)</f>
        <v>#REF!</v>
      </c>
      <c r="BR60" s="51">
        <f>VLOOKUP($B60&amp;$C60,'[1]FC3 Prod'!$A$6:$BQ$36,[2]Consolidated!BR$1)</f>
        <v>60369</v>
      </c>
      <c r="BS60" s="52">
        <f t="shared" si="70"/>
        <v>59449.410416666651</v>
      </c>
      <c r="BT60" s="32">
        <f t="shared" ref="BT60:BT61" si="72">BR60-BS60</f>
        <v>919.58958333334886</v>
      </c>
      <c r="BU60" s="37">
        <f t="shared" ref="BU60:BU61" si="73">E60*BT60</f>
        <v>34870.837000000589</v>
      </c>
      <c r="BV60" s="53" t="s">
        <v>132</v>
      </c>
      <c r="BW60" s="54" cm="1">
        <f t="array" ref="BW60">IFERROR(VLOOKUP($A60,TRANSPOSE('[1]Fur 3 PLC'!$AS$1:$BX$38),8,0),0)</f>
        <v>863.7658227848101</v>
      </c>
      <c r="BX60" s="54" cm="1">
        <f t="array" ref="BX60">IFERROR(VLOOKUP($A60,TRANSPOSE('[1]Fur 3 PLC'!$AS$1:$BX$38),30,0),0)</f>
        <v>0</v>
      </c>
      <c r="BY60" s="54" cm="1">
        <f t="array" ref="BY60">IFERROR(VLOOKUP($A60,TRANSPOSE('[1]Fur 3 PLC'!$AS$1:$BX$38),14,0),0)</f>
        <v>0</v>
      </c>
      <c r="BZ60" s="54" cm="1">
        <f t="array" ref="BZ60">IFERROR(VLOOKUP($A60,TRANSPOSE('[1]Fur 3 PLC'!$AS$1:$BX$38),16,0),0)</f>
        <v>0</v>
      </c>
      <c r="CA60" s="54" cm="1">
        <f t="array" ref="CA60">IFERROR(VLOOKUP($A60,TRANSPOSE('[1]Fur 3 PLC'!$AS$1:$BX$38),9,0),0)</f>
        <v>409.07172995780587</v>
      </c>
      <c r="CB60" s="54" cm="1">
        <f t="array" ref="CB60">IFERROR(VLOOKUP($A60,TRANSPOSE('[1]Fur 3 PLC'!$AS$1:$BX$38),17,0),0)</f>
        <v>0</v>
      </c>
      <c r="CC60" s="54" cm="1">
        <f t="array" ref="CC60">IFERROR(VLOOKUP($A60,TRANSPOSE('[1]Fur 3 PLC'!$AS$1:$BX$38),20,0),0)</f>
        <v>76.081223628691973</v>
      </c>
      <c r="CD60" s="54" cm="1">
        <f t="array" ref="CD60">IFERROR(VLOOKUP($A60,TRANSPOSE('[1]Fur 3 PLC'!$AS$1:$BX$38),28,0),0)</f>
        <v>0</v>
      </c>
      <c r="CE60" s="54" cm="1">
        <f t="array" ref="CE60">IFERROR(VLOOKUP($A60,TRANSPOSE('[1]Fur 3 PLC'!$AS$1:$BX$38),13,0),0)</f>
        <v>0</v>
      </c>
      <c r="CF60" s="54" cm="1">
        <f t="array" ref="CF60">IFERROR(VLOOKUP($A60,TRANSPOSE('[1]Fur 3 PLC'!$AS$1:$BX$38),37,0),0)</f>
        <v>370.46413502109704</v>
      </c>
      <c r="CG60" s="54" cm="1">
        <f t="array" ref="CG60">IFERROR(VLOOKUP($A60,TRANSPOSE('[1]Fur 3 PLC'!$AS$1:$BX$38),6,0),0)</f>
        <v>0</v>
      </c>
      <c r="CH60" s="54" cm="1">
        <f t="array" ref="CH60">IFERROR(VLOOKUP($A60,TRANSPOSE('[1]Fur 3 PLC'!$AS$1:$BX$38),21,0),0)</f>
        <v>0</v>
      </c>
      <c r="CI60" s="54" cm="1">
        <f t="array" ref="CI60">IFERROR(VLOOKUP($A60,TRANSPOSE('[1]Fur 3 PLC'!$AS$1:$BX$38),12,0),0)</f>
        <v>0</v>
      </c>
      <c r="CJ60" s="54" cm="1">
        <f t="array" ref="CJ60">IFERROR(VLOOKUP($A60,TRANSPOSE('[1]Fur 3 PLC'!$AS$1:$BX$38),25,0),0)</f>
        <v>0</v>
      </c>
      <c r="CK60" s="54" cm="1">
        <f t="array" ref="CK60">IFERROR(VLOOKUP($A60,TRANSPOSE('[1]Fur 3 PLC'!$AS$1:$BX$38),26,0),0)</f>
        <v>417.64240506329111</v>
      </c>
      <c r="CL60" s="54" cm="1">
        <f t="array" ref="CL60">IFERROR(VLOOKUP($A60,TRANSPOSE('[1]Fur 3 PLC'!$AS$1:$BX$38),27,0),0)</f>
        <v>127.55801687763713</v>
      </c>
      <c r="CM60" s="54" cm="1">
        <f t="array" ref="CM60">IFERROR(VLOOKUP($A60,TRANSPOSE('[1]Fur 3 PLC'!$AS$1:$BX$38),22,0),0)</f>
        <v>0</v>
      </c>
      <c r="CN60" s="54"/>
      <c r="CO60" s="54" cm="1">
        <f t="array" ref="CO60">IFERROR(VLOOKUP($A60,TRANSPOSE('[1]Fur 3 PLC'!$AS$1:$BX$38),29,0),0)</f>
        <v>124.49894514767932</v>
      </c>
      <c r="CP60" s="54" cm="1">
        <f t="array" ref="CP60">IFERROR(VLOOKUP($A60,TRANSPOSE('[1]Fur 3 PLC'!$AS$1:$BX$38),10,0),0)</f>
        <v>0</v>
      </c>
      <c r="CQ60" s="54" cm="1">
        <f t="array" ref="CQ60">IFERROR(VLOOKUP($A60,TRANSPOSE('[1]Fur 3 PLC'!$AS$1:$BX$38),7,0),0)</f>
        <v>227.8217299578059</v>
      </c>
      <c r="CR60" s="54" cm="1">
        <f t="array" ref="CR60">IFERROR(VLOOKUP($A60,TRANSPOSE('[1]Fur 3 PLC'!$AS$1:$BX$38),35,0),0)</f>
        <v>0</v>
      </c>
      <c r="CS60" s="54" cm="1">
        <f t="array" ref="CS60">IFERROR(VLOOKUP($A60,TRANSPOSE('[1]Fur 3 PLC'!$AS$1:$BX$38),11,0),0)</f>
        <v>0</v>
      </c>
      <c r="CT60" s="54" cm="1">
        <f t="array" ref="CT60">IFERROR(VLOOKUP($A60,TRANSPOSE('[1]Fur 3 PLC'!$AS$1:$BX$38),19,0),0)</f>
        <v>0</v>
      </c>
      <c r="CU60" s="54" cm="1">
        <f t="array" ref="CU60">IFERROR(VLOOKUP($A60,TRANSPOSE('[1]Fur 3 PLC'!$AS$1:$BX$38),18,0),0)</f>
        <v>372.25738396624467</v>
      </c>
      <c r="CV60" s="54" cm="1">
        <f t="array" ref="CV60">IFERROR(VLOOKUP($A60,TRANSPOSE('[1]Fur 3 PLC'!$AR$1:$BV$38),15,0),0)</f>
        <v>370.35864978902953</v>
      </c>
      <c r="CW60" s="54" cm="1">
        <f t="array" ref="CW60">IFERROR(VLOOKUP($A60,TRANSPOSE('[1]Fur 3 PLC'!$CK$1:$DO$38),8,0),0)</f>
        <v>454.91666666666663</v>
      </c>
      <c r="CX60" s="54" cm="1">
        <f t="array" ref="CX60">IFERROR(VLOOKUP($A60,TRANSPOSE('[1]Fur 3 PLC'!$CK$1:$DO$38),30,0),0)</f>
        <v>0</v>
      </c>
      <c r="CY60" s="54" cm="1">
        <f t="array" ref="CY60">IFERROR(VLOOKUP($A60,TRANSPOSE('[1]Fur 3 PLC'!$CK$1:$DO$38),14,0),0)</f>
        <v>0</v>
      </c>
      <c r="CZ60" s="54" cm="1">
        <f t="array" ref="CZ60">IFERROR(VLOOKUP($A60,TRANSPOSE('[1]Fur 3 PLC'!$CK$1:$DO$38),16,0),0)</f>
        <v>0</v>
      </c>
      <c r="DA60" s="54" cm="1">
        <f t="array" ref="DA60">IFERROR(VLOOKUP($A60,TRANSPOSE('[1]Fur 3 PLC'!$CK$1:$DO$38),9,0),0)</f>
        <v>215.44444444444443</v>
      </c>
      <c r="DB60" s="55" cm="1">
        <f t="array" ref="DB60">IFERROR(VLOOKUP($A60,TRANSPOSE('[1]Fur 3 PLC'!$CK$1:$DO$38),17,0),0)</f>
        <v>0</v>
      </c>
      <c r="DC60" s="55" cm="1">
        <f t="array" ref="DC60">IFERROR(VLOOKUP($A60,TRANSPOSE('[1]Fur 3 PLC'!$CK$1:$DO$38),20,0),0)</f>
        <v>40.069444444444443</v>
      </c>
      <c r="DD60" s="54" cm="1">
        <f t="array" ref="DD60">IFERROR(VLOOKUP($A60,TRANSPOSE('[1]Fur 3 PLC'!$CK$1:$DO$38),28,0),0)</f>
        <v>0</v>
      </c>
      <c r="DE60" s="54" cm="1">
        <f t="array" ref="DE60">IFERROR(VLOOKUP($A60,TRANSPOSE('[1]Fur 3 PLC'!$CK$1:$DO$38),13,0),0)</f>
        <v>0</v>
      </c>
      <c r="DF60" s="54" cm="1">
        <f t="array" ref="DF60">IFERROR(VLOOKUP($A60,TRANSPOSE('[1]Fur 3 PLC'!$CK$1:$DO$38),37,0),0)</f>
        <v>195.11111111111111</v>
      </c>
      <c r="DG60" s="54" cm="1">
        <f t="array" ref="DG60">IFERROR(VLOOKUP($A60,TRANSPOSE('[1]Fur 3 PLC'!$CK$1:$DO$38),6,0),0)</f>
        <v>0</v>
      </c>
      <c r="DH60" s="54" cm="1">
        <f t="array" ref="DH60">IFERROR(VLOOKUP($A60,TRANSPOSE('[1]Fur 3 PLC'!$CK$1:$DO$38),21,0),0)</f>
        <v>0</v>
      </c>
      <c r="DI60" s="54" cm="1">
        <f t="array" ref="DI60">IFERROR(VLOOKUP($A60,TRANSPOSE('[1]Fur 3 PLC'!$CK$1:$DO$38),12,0),0)</f>
        <v>0</v>
      </c>
      <c r="DJ60" s="54" cm="1">
        <f t="array" ref="DJ60">IFERROR(VLOOKUP($A60,TRANSPOSE('[1]Fur 3 PLC'!$CK$1:$DO$38),25,0),0)</f>
        <v>0</v>
      </c>
      <c r="DK60" s="54" cm="1">
        <f t="array" ref="DK60">IFERROR(VLOOKUP($A60,TRANSPOSE('[1]Fur 3 PLC'!$CK$1:$DO$38),26,0),0)</f>
        <v>219.95833333333334</v>
      </c>
      <c r="DL60" s="54" cm="1">
        <f t="array" ref="DL60">IFERROR(VLOOKUP($A60,TRANSPOSE('[1]Fur 3 PLC'!$CK$1:$DO$38),27,0),0)</f>
        <v>67.180555555555543</v>
      </c>
      <c r="DM60" s="54" cm="1">
        <f t="array" ref="DM60">IFERROR(VLOOKUP($A60,TRANSPOSE('[1]Fur 3 PLC'!$CK$1:$DO$38),22,0),0)</f>
        <v>0</v>
      </c>
      <c r="DN60" s="54" cm="1">
        <f t="array" ref="DN60">IFERROR(VLOOKUP($A60,TRANSPOSE('[1]Fur 3 PLC'!$CK$1:$DO$38),19,0),0)</f>
        <v>0</v>
      </c>
      <c r="DO60" s="54" cm="1">
        <f t="array" ref="DO60">IFERROR(VLOOKUP($A60,TRANSPOSE('[1]Fur 3 PLC'!$CK$1:$DO$38),29,0),0)</f>
        <v>65.569444444444443</v>
      </c>
      <c r="DP60" s="54" cm="1">
        <f t="array" ref="DP60">IFERROR(VLOOKUP($A60,TRANSPOSE('[1]Fur 3 PLC'!$CK$1:$DO$38),10,0),0)</f>
        <v>0</v>
      </c>
      <c r="DQ60" s="54" cm="1">
        <f t="array" ref="DQ60">IFERROR(VLOOKUP($A60,TRANSPOSE('[1]Fur 3 PLC'!$CK$1:$DO$38),7,0),0)</f>
        <v>119.9861111111111</v>
      </c>
      <c r="DR60" s="54" cm="1">
        <f t="array" ref="DR60">IFERROR(VLOOKUP($A60,TRANSPOSE('[1]Fur 3 PLC'!$CK$1:$DO$38),35,0),0)</f>
        <v>0</v>
      </c>
      <c r="DS60" s="54" cm="1">
        <f t="array" ref="DS60">IFERROR(VLOOKUP($A60,TRANSPOSE('[1]Fur 3 PLC'!$CK$1:$DO$38),11,0),0)</f>
        <v>0</v>
      </c>
      <c r="DT60" s="54" cm="1">
        <f t="array" ref="DT60">IFERROR(VLOOKUP($A60,TRANSPOSE('[1]Fur 3 PLC'!$CK$1:$DO$38),19,0),0)</f>
        <v>0</v>
      </c>
      <c r="DU60" s="54" cm="1">
        <f t="array" ref="DU60">IFERROR(VLOOKUP($A60,TRANSPOSE('[1]Fur 3 PLC'!$CK$1:$DO$38),18,0),0)</f>
        <v>196.05555555555554</v>
      </c>
      <c r="DV60" s="54" cm="1">
        <f t="array" ref="DV60">IFERROR(VLOOKUP($A60,TRANSPOSE('[1]Fur 3 PLC'!$CK$1:$DO$38),15,0),0)</f>
        <v>195.05555555555557</v>
      </c>
      <c r="DW60" t="str">
        <f t="shared" si="71"/>
        <v>Dec-25</v>
      </c>
    </row>
    <row r="61" spans="1:127" x14ac:dyDescent="0.3">
      <c r="A61" s="28" t="str">
        <f t="shared" si="59"/>
        <v>F446006</v>
      </c>
      <c r="B61" s="29" t="s">
        <v>29</v>
      </c>
      <c r="C61" s="30">
        <f>C60</f>
        <v>46006</v>
      </c>
      <c r="D61" s="29" t="str">
        <f>VLOOKUP($B61&amp;$C61,'[1]FC4 Prod'!$A$6:$BP$36,[2]Consolidated!D$1)</f>
        <v>Mr.Ganesh Ghosh Ji</v>
      </c>
      <c r="E61" s="29">
        <f>VLOOKUP($B61&amp;$C61,'[1]FC4 Prod'!$A$6:$BP$36,[2]Consolidated!E$1)</f>
        <v>53.349999999999994</v>
      </c>
      <c r="F61" s="31">
        <f>VLOOKUP($B61&amp;$C61,'[1]FC4 Prod'!$A$6:$BP$36,[2]Consolidated!F$1)</f>
        <v>0.42000000000000881</v>
      </c>
      <c r="G61" s="32">
        <f>VLOOKUP($B61&amp;$C61,'[1]FC4 Prod'!$A$6:$BP$36,[2]Consolidated!G$1)</f>
        <v>53.77</v>
      </c>
      <c r="H61" s="32">
        <f>VLOOKUP($B61&amp;$C61,'[1]FC4 Prod'!$A$6:$BP$36,[2]Consolidated!H$1)</f>
        <v>22.070000000000004</v>
      </c>
      <c r="I61" s="32">
        <f>VLOOKUP($B61&amp;$C61,'[1]FC4 Prod'!$A$6:$BP$36,[2]Consolidated!I$1)</f>
        <v>10.09</v>
      </c>
      <c r="J61" s="32">
        <f>VLOOKUP($B61&amp;$C61,'[1]FC4 Prod'!$A$6:$BP$36,[2]Consolidated!J$1)</f>
        <v>39.880000000000003</v>
      </c>
      <c r="K61" s="32">
        <f>VLOOKUP($B61&amp;$C61,'[1]FC4 Prod'!$A$6:$BP$36,[2]Consolidated!K$1)</f>
        <v>1.35</v>
      </c>
      <c r="L61" s="32">
        <f>VLOOKUP($B61&amp;$C61,'[1]FC4 Prod'!$A$6:$BP$36,[2]Consolidated!L$1)</f>
        <v>22.32</v>
      </c>
      <c r="M61" s="32">
        <f>VLOOKUP($B61&amp;$C61,'[1]FC4 Prod'!$A$6:$BP$36,[2]Consolidated!M$1)</f>
        <v>4.8</v>
      </c>
      <c r="N61" s="32">
        <f>VLOOKUP($B61&amp;$C61,'[1]FC4 Prod'!$A$6:$BP$36,[2]Consolidated!N$1)</f>
        <v>17.920000000000002</v>
      </c>
      <c r="O61" s="32">
        <f>VLOOKUP($B61&amp;$C61,'[1]FC4 Prod'!$A$6:$BP$36,[2]Consolidated!O$1)</f>
        <v>0.68</v>
      </c>
      <c r="P61" s="33">
        <f>VLOOKUP($B61&amp;$C61,'[1]FC4 Prod'!$A$6:$BP$36,[2]Consolidated!P$1)</f>
        <v>8</v>
      </c>
      <c r="Q61" s="29">
        <f>VLOOKUP($B61&amp;$C61,'[1]FC4 Prod'!$A$6:$BP$36,[2]Consolidated!Q$1)</f>
        <v>97.22</v>
      </c>
      <c r="R61" s="29">
        <f>VLOOKUP($B61&amp;$C61,'[1]FC4 Prod'!$A$6:$BP$36,[2]Consolidated!R$1)</f>
        <v>31.794</v>
      </c>
      <c r="S61" s="34">
        <f>VLOOKUP($B61&amp;$C61,'[1]FC4 Prod'!$A$6:$BP$36,[2]Consolidated!S$1)</f>
        <v>37</v>
      </c>
      <c r="T61" s="34">
        <f>VLOOKUP($B61&amp;$C61,'[1]FC4 Prod'!$A$6:$BP$36,[2]Consolidated!T$1)</f>
        <v>27</v>
      </c>
      <c r="U61" s="34">
        <f>VLOOKUP($B61&amp;$C61,'[1]FC4 Prod'!$A$6:$BP$36,[2]Consolidated!U$1)</f>
        <v>32</v>
      </c>
      <c r="V61" s="34">
        <f>VLOOKUP($B61&amp;$C61,'[1]FC4 Prod'!$A$6:$BP$36,[2]Consolidated!V$1)</f>
        <v>96</v>
      </c>
      <c r="W61" s="35">
        <f>VLOOKUP($B61&amp;$C61,'[1]FC4 Prod'!$A$6:$BP$36,[2]Consolidated!W$1)</f>
        <v>1.8223055295220245</v>
      </c>
      <c r="X61" s="35">
        <f>VLOOKUP($B61&amp;$C61,'[1]FC4 Prod'!$A$6:$BP$36,[2]Consolidated!X$1)</f>
        <v>55.434999999999995</v>
      </c>
      <c r="Y61" s="36">
        <f>VLOOKUP($B61&amp;$C61,'[1]FC4 Prod'!$A$6:$BP$36,[2]Consolidated!Y$1)</f>
        <v>0.96238838279065575</v>
      </c>
      <c r="Z61" s="37" t="str">
        <f>VLOOKUP($B61&amp;$C61,'[1]FC4 Prod'!$A$6:$BP$36,[2]Consolidated!Z$1)</f>
        <v>40/8</v>
      </c>
      <c r="AA61" s="31">
        <f>VLOOKUP($B61&amp;$C61,'[1]FC4 Prod'!$A$6:$BP$36,[2]Consolidated!AA$1)</f>
        <v>36.32</v>
      </c>
      <c r="AB61" s="31">
        <f>VLOOKUP($B61&amp;$C61,'[1]FC4 Prod'!$A$6:$BP$36,[2]Consolidated!AB$1)</f>
        <v>6.2840000000000007</v>
      </c>
      <c r="AC61" s="31">
        <f>VLOOKUP($B61&amp;$C61,'[1]FC4 Prod'!$A$6:$BP$36,[2]Consolidated!AC$1)</f>
        <v>0</v>
      </c>
      <c r="AD61" s="38">
        <f>VLOOKUP($B61&amp;$C61,'[1]FC4 Prod'!$A$6:$BP$36,[2]Consolidated!AD$1)</f>
        <v>400.24683975632621</v>
      </c>
      <c r="AE61" s="38">
        <f>VLOOKUP($B61&amp;$C61,'[1]FC4 Prod'!$A$6:$BP$36,[2]Consolidated!AE$1)</f>
        <v>405.58006509465804</v>
      </c>
      <c r="AF61" s="39">
        <f>VLOOKUP($B61&amp;$C61,'[1]FC4 Prod'!$A$6:$BP$36,[2]Consolidated!AF$1)</f>
        <v>0.9074400193168779</v>
      </c>
      <c r="AG61" s="39">
        <f>VLOOKUP($B61&amp;$C61,'[1]FC4 Prod'!$A$6:$BP$36,[2]Consolidated!AG$1)</f>
        <v>0.89550752430406799</v>
      </c>
      <c r="AH61" s="34">
        <f>VLOOKUP($B61&amp;$C61,'[1]FC4 Prod'!$A$6:$BP$36,[2]Consolidated!AH$1)</f>
        <v>378.07610159325213</v>
      </c>
      <c r="AI61" s="33">
        <f>VLOOKUP($B61&amp;$C61,'[1]FC4 Prod'!$A$6:$BP$36,[2]Consolidated!AI$1)</f>
        <v>327.85407553889416</v>
      </c>
      <c r="AJ61" s="39">
        <f>VLOOKUP($B61&amp;$C61,'[1]FC4 Prod'!$A$6:$BP$36,[2]Consolidated!AJ$1)</f>
        <v>0.5714936469380939</v>
      </c>
      <c r="AK61" s="39">
        <f>VLOOKUP($B61&amp;$C61,'[1]FC4 Prod'!$A$6:$BP$36,[2]Consolidated!AK$1)</f>
        <v>0.58790007001637135</v>
      </c>
      <c r="AL61" s="40" t="str">
        <f>VLOOKUP($B61&amp;$C61,'[1]FC4 Prod'!$A$6:$BP$36,[2]Consolidated!AL$1)</f>
        <v>25/50</v>
      </c>
      <c r="AM61" s="41">
        <f>VLOOKUP($B61&amp;$C61,'[1]FC4 Prod'!$A$6:$BP$36,[2]Consolidated!AM$1)</f>
        <v>4.8547328959700098E-2</v>
      </c>
      <c r="AN61" s="42">
        <f>VLOOKUP($B61&amp;$C61,'[1]FC4 Prod'!$A$6:$BP$36,[2]Consolidated!AN$1)</f>
        <v>145</v>
      </c>
      <c r="AO61" s="43">
        <f>VLOOKUP($B61&amp;$C61,'[1]FC4 Prod'!$A$6:$BP$36,[2]Consolidated!AO$1)</f>
        <v>5.827</v>
      </c>
      <c r="AP61" s="44">
        <f>VLOOKUP($B61&amp;$C61,'[1]FC4 Prod'!$A$6:$BP$36,[2]Consolidated!AP$1)</f>
        <v>2.8271227741330835</v>
      </c>
      <c r="AQ61" s="44">
        <f>VLOOKUP($B61&amp;$C61,'[1]FC4 Prod'!$A$6:$BP$36,[2]Consolidated!AQ$1)</f>
        <v>20.718023413475809</v>
      </c>
      <c r="AR61" s="45">
        <f>VLOOKUP($B61&amp;$C61,'[1]FC4 Prod'!$A$6:$BP$36,[2]Consolidated!AR$1)</f>
        <v>0.99043715846994551</v>
      </c>
      <c r="AS61" s="46">
        <f>VLOOKUP($B61&amp;$C61,'[1]FC4 Prod'!$A$6:$BP$36,[2]Consolidated!AS$1)</f>
        <v>2.0833333333333335</v>
      </c>
      <c r="AT61" s="29">
        <f>VLOOKUP($B61&amp;$C61,'[1]FC4 Prod'!$A$6:$BP$36,[2]Consolidated!AT$1)</f>
        <v>0.78270051894783965</v>
      </c>
      <c r="AU61" s="34">
        <f>VLOOKUP($B61&amp;$C61,'[1]FC4 Prod'!$A$6:$BP$36,[2]Consolidated!AU$1)</f>
        <v>610.45601851851859</v>
      </c>
      <c r="AV61" s="34">
        <f>VLOOKUP($B61&amp;$C61,'[1]FC4 Prod'!$A$6:$BP$36,[2]Consolidated!AV$1)</f>
        <v>233.33333333333334</v>
      </c>
      <c r="AW61" s="47">
        <f>VLOOKUP($B61&amp;$C61,'[1]FC4 Prod'!$A$6:$BP$36,[2]Consolidated!AW$1)</f>
        <v>14991.405435801316</v>
      </c>
      <c r="AX61" s="47">
        <f>VLOOKUP($B61&amp;$C61,'[1]FC4 Prod'!$A$6:$BP$36,[2]Consolidated!AX$1)</f>
        <v>7901.0684161199633</v>
      </c>
      <c r="AY61" s="48">
        <f>VLOOKUP($B61&amp;$C61,'[1]FC4 Prod'!$A$6:$BP$36,[2]Consolidated!AY$1)</f>
        <v>332.89597000937209</v>
      </c>
      <c r="AZ61" s="47">
        <f>VLOOKUP($B61&amp;$C61,'[1]FC4 Prod'!$A$6:$BP$36,[2]Consolidated!AZ$1)</f>
        <v>842.27085285848182</v>
      </c>
      <c r="BA61" s="47">
        <f>VLOOKUP($B61&amp;$C61,'[1]FC4 Prod'!$A$6:$BP$36,[2]Consolidated!BA$1)</f>
        <v>16538.66822867854</v>
      </c>
      <c r="BB61" s="47">
        <f>VLOOKUP($B61&amp;$C61,'[1]FC4 Prod'!$A$6:$BP$36,[2]Consolidated!BB$1)</f>
        <v>406.06308903467675</v>
      </c>
      <c r="BC61" s="47">
        <f>VLOOKUP($B61&amp;$C61,'[1]FC4 Prod'!$A$6:$BP$36,[2]Consolidated!BC$1)</f>
        <v>5371.5332708528585</v>
      </c>
      <c r="BD61" s="49">
        <f>VLOOKUP($B61&amp;$C61,'[1]FC4 Prod'!$A$6:$BP$36,[2]Consolidated!BD$1)</f>
        <v>46383.905263355213</v>
      </c>
      <c r="BE61" s="47">
        <f>VLOOKUP($B61&amp;$C61,'[1]FC4 Prod'!$A$6:$BP$36,[2]Consolidated!BE$1)</f>
        <v>15236.410609184632</v>
      </c>
      <c r="BF61" s="47">
        <f>VLOOKUP($B61&amp;$C61,'[1]FC4 Prod'!$A$6:$BP$36,[2]Consolidated!BF$1)</f>
        <v>6838.5657357075925</v>
      </c>
      <c r="BG61" s="50">
        <f>VLOOKUP($B61&amp;$C61,'[1]FC4 Prod'!$A$6:$BP$36,[2]Consolidated!BG$1)</f>
        <v>432.49953139643861</v>
      </c>
      <c r="BH61" s="50">
        <f>VLOOKUP($B61&amp;$C61,'[1]FC4 Prod'!$A$6:$BP$36,[2]Consolidated!BH$1)</f>
        <v>398.88414957825682</v>
      </c>
      <c r="BI61" s="50">
        <f>VLOOKUP($B61&amp;$C61,'[1]FC4 Prod'!$A$6:$BP$36,[2]Consolidated!BI$1)</f>
        <v>45658.832378256804</v>
      </c>
      <c r="BJ61" s="37" t="e">
        <f>VLOOKUP($B61&amp;$C61,'[1]FC4 Prod'!$A$6:$BP$36,[2]Consolidated!BJ$1)</f>
        <v>#REF!</v>
      </c>
      <c r="BK61" s="37">
        <f>VLOOKUP($B61&amp;$C61,'[1]FC4 Prod'!$A$6:$BP$36,[2]Consolidated!BK$1)</f>
        <v>5</v>
      </c>
      <c r="BL61" s="37" t="e">
        <f>VLOOKUP($B61&amp;$C61,'[1]FC4 Prod'!$A$6:$BP$36,[2]Consolidated!BL$1)</f>
        <v>#REF!</v>
      </c>
      <c r="BM61" s="37" t="e">
        <f>VLOOKUP($B61&amp;$C61,'[1]FC4 Prod'!$A$6:$BP$36,[2]Consolidated!BM$1)</f>
        <v>#REF!</v>
      </c>
      <c r="BN61" s="37" t="e">
        <f>VLOOKUP($B61&amp;$C61,'[1]FC4 Prod'!$A$6:$BP$36,[2]Consolidated!BN$1)</f>
        <v>#REF!</v>
      </c>
      <c r="BO61" s="37">
        <f>VLOOKUP($B61&amp;$C61,'[1]FC4 Prod'!$A$6:$BP$36,[2]Consolidated!BO$1)</f>
        <v>5</v>
      </c>
      <c r="BP61" s="37" t="str">
        <f>VLOOKUP($B61&amp;$C61,'[1]FC4 Prod'!$A$6:$BP$36,[2]Consolidated!BP$1)</f>
        <v>Aux power failure.</v>
      </c>
      <c r="BQ61" s="51" t="e">
        <f>VLOOKUP($B61&amp;$C61,'[1]FC4 Prod'!$A$6:$BP$36,[2]Consolidated!BQ$1)</f>
        <v>#REF!</v>
      </c>
      <c r="BR61" s="51">
        <f>VLOOKUP($B61&amp;$C61,'[1]FC4 Prod'!$A$6:$BQ$36,[2]Consolidated!BR$1)</f>
        <v>41644</v>
      </c>
      <c r="BS61" s="52">
        <f t="shared" ref="BS61" si="74">BE61+BF61*110%+BG61+BA61</f>
        <v>39730.000678537966</v>
      </c>
      <c r="BT61" s="32">
        <f t="shared" si="72"/>
        <v>1913.9993214620335</v>
      </c>
      <c r="BU61" s="37">
        <f t="shared" si="73"/>
        <v>102111.86379999948</v>
      </c>
      <c r="BV61" s="53" t="s">
        <v>132</v>
      </c>
      <c r="BW61" s="54" cm="1">
        <f t="array" ref="BW61">IFERROR(VLOOKUP($A61,TRANSPOSE('[1]Fur 4 PLC'!$AR$1:$BV$39),8,0),0)</f>
        <v>0</v>
      </c>
      <c r="BX61" s="54" cm="1">
        <f t="array" ref="BX61">IFERROR(VLOOKUP($A61,TRANSPOSE('[1]Fur 4 PLC'!$AR$1:$BV$39),30,0),0)</f>
        <v>0</v>
      </c>
      <c r="BY61" s="54" cm="1">
        <f t="array" ref="BY61">IFERROR(VLOOKUP($A61,TRANSPOSE('[1]Fur 4 PLC'!$AR$1:$BV$39),14,0),0)</f>
        <v>0</v>
      </c>
      <c r="BZ61" s="54" cm="1">
        <f t="array" ref="BZ61">IFERROR(VLOOKUP($A61,TRANSPOSE('[1]Fur 4 PLC'!$AR$1:$BV$39),16,0),0)</f>
        <v>0</v>
      </c>
      <c r="CA61" s="54" cm="1">
        <f t="array" ref="CA61">IFERROR(VLOOKUP($A61,TRANSPOSE('[1]Fur 4 PLC'!$AR$1:$BV$39),9,0),0)</f>
        <v>0</v>
      </c>
      <c r="CB61" s="54" cm="1">
        <f t="array" ref="CB61">IFERROR(VLOOKUP($A61,TRANSPOSE('[1]Fur 4 PLC'!$AR$1:$BV$39),17,0),0)</f>
        <v>0</v>
      </c>
      <c r="CC61" s="54" cm="1">
        <f t="array" ref="CC61">IFERROR(VLOOKUP($A61,TRANSPOSE('[1]Fur 4 PLC'!$AR$1:$BV$39),20,0),0)</f>
        <v>684.70477975632627</v>
      </c>
      <c r="CD61" s="54" cm="1">
        <f t="array" ref="CD61">IFERROR(VLOOKUP($A61,TRANSPOSE('[1]Fur 4 PLC'!$AR$1:$BV$39),28,0),0)</f>
        <v>0</v>
      </c>
      <c r="CE61" s="54" cm="1">
        <f t="array" ref="CE61">IFERROR(VLOOKUP($A61,TRANSPOSE('[1]Fur 4 PLC'!$AR$1:$BV$39),13,0),0)</f>
        <v>90.384254920337398</v>
      </c>
      <c r="CF61" s="54" cm="1">
        <f t="array" ref="CF61">IFERROR(VLOOKUP($A61,TRANSPOSE('[1]Fur 4 PLC'!$AR$1:$BV$39),37,0),0)</f>
        <v>8.6785379568884728</v>
      </c>
      <c r="CG61" s="54" cm="1">
        <f t="array" ref="CG61">IFERROR(VLOOKUP($A61,TRANSPOSE('[1]Fur 4 PLC'!$AR$1:$BV$39),6,0),0)</f>
        <v>0</v>
      </c>
      <c r="CH61" s="54" cm="1">
        <f t="array" ref="CH61">IFERROR(VLOOKUP($A61,TRANSPOSE('[1]Fur 4 PLC'!$AR$1:$BV$39),21,0),0)</f>
        <v>665.92314901593261</v>
      </c>
      <c r="CI61" s="54" cm="1">
        <f t="array" ref="CI61">IFERROR(VLOOKUP($A61,TRANSPOSE('[1]Fur 4 PLC'!$AR$1:$BV$39),12,0),0)</f>
        <v>0</v>
      </c>
      <c r="CJ61" s="54" cm="1">
        <f t="array" ref="CJ61">IFERROR(VLOOKUP($A61,TRANSPOSE('[1]Fur 4 PLC'!$AR$1:$BV$39),25,0),0)</f>
        <v>111.34020618556703</v>
      </c>
      <c r="CK61" s="54" cm="1">
        <f t="array" ref="CK61">IFERROR(VLOOKUP($A61,TRANSPOSE('[1]Fur 4 PLC'!$AR$1:$BV$39),26,0),0)</f>
        <v>367.25398313027188</v>
      </c>
      <c r="CL61" s="54" cm="1">
        <f t="array" ref="CL61">IFERROR(VLOOKUP($A61,TRANSPOSE('[1]Fur 4 PLC'!$AR$1:$BV$39),27,0),0)</f>
        <v>0</v>
      </c>
      <c r="CM61" s="54" cm="1">
        <f t="array" ref="CM61">IFERROR(VLOOKUP($A61,TRANSPOSE('[1]Fur 4 PLC'!$AR$1:$BV$39),22,0),0)</f>
        <v>0</v>
      </c>
      <c r="CN61" s="54"/>
      <c r="CO61" s="54" cm="1">
        <f t="array" ref="CO61">IFERROR(VLOOKUP($A61,TRANSPOSE('[1]Fur 4 PLC'!$AR$1:$BV$39),29,0),0)</f>
        <v>117.35707591377697</v>
      </c>
      <c r="CP61" s="54" cm="1">
        <f t="array" ref="CP61">IFERROR(VLOOKUP($A61,TRANSPOSE('[1]Fur 4 PLC'!$AR$1:$BV$39),10,0),0)</f>
        <v>0</v>
      </c>
      <c r="CQ61" s="54" cm="1">
        <f t="array" ref="CQ61">IFERROR(VLOOKUP($A61,TRANSPOSE('[1]Fur 4 PLC'!$AR$1:$BV$39),7,0),0)</f>
        <v>135.31396438612936</v>
      </c>
      <c r="CR61" s="54" cm="1">
        <f t="array" ref="CR61">IFERROR(VLOOKUP($A61,TRANSPOSE('[1]Fur 4 PLC'!$AR$1:$BV$39),36,0),0)</f>
        <v>178.21930646672914</v>
      </c>
      <c r="CS61" s="54" cm="1">
        <f t="array" ref="CS61">IFERROR(VLOOKUP($A61,TRANSPOSE('[1]Fur 4 PLC'!$AR$1:$BV$39),11,0),0)</f>
        <v>0</v>
      </c>
      <c r="CT61" s="54" cm="1">
        <f t="array" ref="CT61">IFERROR(VLOOKUP($A61,TRANSPOSE('[1]Fur 4 PLC'!$AR$1:$BV$39),19,0),0)</f>
        <v>90.477975632614815</v>
      </c>
      <c r="CU61" s="54" cm="1">
        <f t="array" ref="CU61">IFERROR(VLOOKUP($A61,TRANSPOSE('[1]Fur 4 PLC'!$AR$1:$BV$39),18,0),0)</f>
        <v>290.81537019681355</v>
      </c>
      <c r="CV61" s="54" cm="1">
        <f t="array" ref="CV61">IFERROR(VLOOKUP($A61,TRANSPOSE('[1]Fur 4 PLC'!$AR$1:$BV$38),15,0),0)</f>
        <v>0</v>
      </c>
      <c r="CW61" s="54" cm="1">
        <f t="array" ref="CW61">IFERROR(VLOOKUP($A61,TRANSPOSE('[1]Fur 4 PLC'!$CK$1:$DO$39),8,0),0)</f>
        <v>0</v>
      </c>
      <c r="CX61" s="54" cm="1">
        <f t="array" ref="CX61">IFERROR(VLOOKUP($A61,TRANSPOSE('[1]Fur 4 PLC'!$CK$1:$DO$39),30,0),0)</f>
        <v>0</v>
      </c>
      <c r="CY61" s="54" cm="1">
        <f t="array" ref="CY61">IFERROR(VLOOKUP($A61,TRANSPOSE('[1]Fur 4 PLC'!$CK$1:$DO$39),14,0),0)</f>
        <v>0</v>
      </c>
      <c r="CZ61" s="54" cm="1">
        <f t="array" ref="CZ61">IFERROR(VLOOKUP($A61,TRANSPOSE('[1]Fur 4 PLC'!$CK$1:$DO$39),16,0),0)</f>
        <v>0</v>
      </c>
      <c r="DA61" s="54" cm="1">
        <f t="array" ref="DA61">IFERROR(VLOOKUP($A61,TRANSPOSE('[1]Fur 4 PLC'!$CK$1:$DO$39),9,0),0)</f>
        <v>0</v>
      </c>
      <c r="DB61" s="55" cm="1">
        <f t="array" ref="DB61">IFERROR(VLOOKUP($A61,TRANSPOSE('[1]Fur 4 PLC'!$CK$1:$DO$39),17,0),0)</f>
        <v>0</v>
      </c>
      <c r="DC61" s="55" cm="1">
        <f t="array" ref="DC61">IFERROR(VLOOKUP($A61,TRANSPOSE('[1]Fur 4 PLC'!$CK$1:$DO$39),20,0),0)</f>
        <v>380.51041666666669</v>
      </c>
      <c r="DD61" s="54" cm="1">
        <f t="array" ref="DD61">IFERROR(VLOOKUP($A61,TRANSPOSE('[1]Fur 4 PLC'!$CK$1:$DO$39),28,0),0)</f>
        <v>0</v>
      </c>
      <c r="DE61" s="54" cm="1">
        <f t="array" ref="DE61">IFERROR(VLOOKUP($A61,TRANSPOSE('[1]Fur 4 PLC'!$CK$1:$DO$39),13,0),0)</f>
        <v>50.229166666666664</v>
      </c>
      <c r="DF61" s="54" cm="1">
        <f t="array" ref="DF61">IFERROR(VLOOKUP($A61,TRANSPOSE('[1]Fur 4 PLC'!$CK$1:$DO$39),37,0),0)</f>
        <v>4.822916666666667</v>
      </c>
      <c r="DG61" s="54" cm="1">
        <f t="array" ref="DG61">IFERROR(VLOOKUP($A61,TRANSPOSE('[1]Fur 4 PLC'!$CK$1:$DO$39),6,0),0)</f>
        <v>0</v>
      </c>
      <c r="DH61" s="54" cm="1">
        <f t="array" ref="DH61">IFERROR(VLOOKUP($A61,TRANSPOSE('[1]Fur 4 PLC'!$CK$1:$DO$39),21,0),0)</f>
        <v>370.07291666666669</v>
      </c>
      <c r="DI61" s="54" cm="1">
        <f t="array" ref="DI61">IFERROR(VLOOKUP($A61,TRANSPOSE('[1]Fur 4 PLC'!$CK$1:$DO$39),12,0),0)</f>
        <v>0</v>
      </c>
      <c r="DJ61" s="54" cm="1">
        <f t="array" ref="DJ61">IFERROR(VLOOKUP($A61,TRANSPOSE('[1]Fur 4 PLC'!$CK$1:$DO$39),25,0),0)</f>
        <v>61.875000000000007</v>
      </c>
      <c r="DK61" s="54" cm="1">
        <f t="array" ref="DK61">IFERROR(VLOOKUP($A61,TRANSPOSE('[1]Fur 4 PLC'!$CK$1:$DO$39),26,0),0)</f>
        <v>204.09375</v>
      </c>
      <c r="DL61" s="54" cm="1">
        <f t="array" ref="DL61">IFERROR(VLOOKUP($A61,TRANSPOSE('[1]Fur 4 PLC'!$CK$1:$DO$39),27,0),0)</f>
        <v>0</v>
      </c>
      <c r="DM61" s="54" cm="1">
        <f t="array" ref="DM61">IFERROR(VLOOKUP($A61,TRANSPOSE('[1]Fur 4 PLC'!$CK$1:$DO$39),22,0),0)</f>
        <v>0</v>
      </c>
      <c r="DN61" s="54" cm="1">
        <f t="array" ref="DN61">IFERROR(VLOOKUP($A61,TRANSPOSE('[1]Fur 4 PLC'!$CK$1:$DO$39),19,0),0)</f>
        <v>50.28125</v>
      </c>
      <c r="DO61" s="54" cm="1">
        <f t="array" ref="DO61">IFERROR(VLOOKUP($A61,TRANSPOSE('[1]Fur 4 PLC'!$CK$1:$DO$39),29,0),0)</f>
        <v>65.21875</v>
      </c>
      <c r="DP61" s="54" cm="1">
        <f t="array" ref="DP61">IFERROR(VLOOKUP($A61,TRANSPOSE('[1]Fur 4 PLC'!$CK$1:$DO$39),10,0),0)</f>
        <v>0</v>
      </c>
      <c r="DQ61" s="54" cm="1">
        <f t="array" ref="DQ61">IFERROR(VLOOKUP($A61,TRANSPOSE('[1]Fur 4 PLC'!$CK$1:$DO$39),7,0),0)</f>
        <v>75.197916666666671</v>
      </c>
      <c r="DR61" s="54" cm="1">
        <f t="array" ref="DR61">IFERROR(VLOOKUP($A61,TRANSPOSE('[1]Fur 4 PLC'!$CK$1:$DO$39),36,0),0)</f>
        <v>99.041666666666657</v>
      </c>
      <c r="DS61" s="54" cm="1">
        <f t="array" ref="DS61">IFERROR(VLOOKUP($A61,TRANSPOSE('[1]Fur 4 PLC'!$CK$1:$DO$39),11,0),0)</f>
        <v>0</v>
      </c>
      <c r="DT61" s="54" cm="1">
        <f t="array" ref="DT61">IFERROR(VLOOKUP($A61,TRANSPOSE('[1]Fur 4 PLC'!$CK$1:$DO$39),19,0),0)</f>
        <v>50.28125</v>
      </c>
      <c r="DU61" s="54" cm="1">
        <f t="array" ref="DU61">IFERROR(VLOOKUP($A61,TRANSPOSE('[1]Fur 4 PLC'!$CK$1:$DO$39),18,0),0)</f>
        <v>161.61458333333334</v>
      </c>
      <c r="DV61" s="54" cm="1">
        <f t="array" ref="DV61">IFERROR(VLOOKUP($A61,TRANSPOSE('[1]Fur 4 PLC'!$CK$1:$DO$39),15,0),0)</f>
        <v>0</v>
      </c>
      <c r="DW61" t="str">
        <f t="shared" si="71"/>
        <v>Dec-25</v>
      </c>
    </row>
    <row r="62" spans="1:127" x14ac:dyDescent="0.3">
      <c r="A62" s="28" t="str">
        <f t="shared" si="59"/>
        <v>F146007</v>
      </c>
      <c r="B62" s="29" t="s">
        <v>26</v>
      </c>
      <c r="C62" s="30">
        <f>C58+1</f>
        <v>46007</v>
      </c>
      <c r="D62" s="29" t="str">
        <f>VLOOKUP($B62&amp;$C62,'[1]FC1 Prod'!$A$6:$BP$36,[2]Consolidated!D$1)</f>
        <v>Raju Singh</v>
      </c>
      <c r="E62" s="29">
        <f>VLOOKUP($B62&amp;$C62,'[1]FC1 Prod'!$A$6:$BP$36,[2]Consolidated!E$1)</f>
        <v>20.13</v>
      </c>
      <c r="F62" s="31">
        <f>VLOOKUP($B62&amp;$C62,'[1]FC1 Prod'!$A$6:$BP$36,[2]Consolidated!F$1)</f>
        <v>0</v>
      </c>
      <c r="G62" s="32">
        <f>VLOOKUP($B62&amp;$C62,'[1]FC1 Prod'!$A$6:$BP$36,[2]Consolidated!G$1)</f>
        <v>20.13</v>
      </c>
      <c r="H62" s="32">
        <f>VLOOKUP($B62&amp;$C62,'[1]FC1 Prod'!$A$6:$BP$36,[2]Consolidated!H$1)</f>
        <v>14.490000000000002</v>
      </c>
      <c r="I62" s="32">
        <f>VLOOKUP($B62&amp;$C62,'[1]FC1 Prod'!$A$6:$BP$36,[2]Consolidated!I$1)</f>
        <v>6.82</v>
      </c>
      <c r="J62" s="32">
        <f>VLOOKUP($B62&amp;$C62,'[1]FC1 Prod'!$A$6:$BP$36,[2]Consolidated!J$1)</f>
        <v>39.82</v>
      </c>
      <c r="K62" s="32">
        <f>VLOOKUP($B62&amp;$C62,'[1]FC1 Prod'!$A$6:$BP$36,[2]Consolidated!K$1)</f>
        <v>1.36</v>
      </c>
      <c r="L62" s="32">
        <f>VLOOKUP($B62&amp;$C62,'[1]FC1 Prod'!$A$6:$BP$36,[2]Consolidated!L$1)</f>
        <v>28.52</v>
      </c>
      <c r="M62" s="32">
        <f>VLOOKUP($B62&amp;$C62,'[1]FC1 Prod'!$A$6:$BP$36,[2]Consolidated!M$1)</f>
        <v>4.8499999999999996</v>
      </c>
      <c r="N62" s="32">
        <f>VLOOKUP($B62&amp;$C62,'[1]FC1 Prod'!$A$6:$BP$36,[2]Consolidated!N$1)</f>
        <v>15.88</v>
      </c>
      <c r="O62" s="32">
        <f>VLOOKUP($B62&amp;$C62,'[1]FC1 Prod'!$A$6:$BP$36,[2]Consolidated!O$1)</f>
        <v>0.84</v>
      </c>
      <c r="P62" s="33">
        <f>VLOOKUP($B62&amp;$C62,'[1]FC1 Prod'!$A$6:$BP$36,[2]Consolidated!P$1)</f>
        <v>8</v>
      </c>
      <c r="Q62" s="29">
        <f>VLOOKUP($B62&amp;$C62,'[1]FC1 Prod'!$A$6:$BP$36,[2]Consolidated!Q$1)</f>
        <v>39.406999999999996</v>
      </c>
      <c r="R62" s="29">
        <f>VLOOKUP($B62&amp;$C62,'[1]FC1 Prod'!$A$6:$BP$36,[2]Consolidated!R$1)</f>
        <v>12.193</v>
      </c>
      <c r="S62" s="34">
        <f>VLOOKUP($B62&amp;$C62,'[1]FC1 Prod'!$A$6:$BP$36,[2]Consolidated!S$1)</f>
        <v>16</v>
      </c>
      <c r="T62" s="34">
        <f>VLOOKUP($B62&amp;$C62,'[1]FC1 Prod'!$A$6:$BP$36,[2]Consolidated!T$1)</f>
        <v>12</v>
      </c>
      <c r="U62" s="34">
        <f>VLOOKUP($B62&amp;$C62,'[1]FC1 Prod'!$A$6:$BP$36,[2]Consolidated!U$1)</f>
        <v>16</v>
      </c>
      <c r="V62" s="34">
        <f>VLOOKUP($B62&amp;$C62,'[1]FC1 Prod'!$A$6:$BP$36,[2]Consolidated!V$1)</f>
        <v>44</v>
      </c>
      <c r="W62" s="35">
        <f>VLOOKUP($B62&amp;$C62,'[1]FC1 Prod'!$A$6:$BP$36,[2]Consolidated!W$1)</f>
        <v>1.9576254346746149</v>
      </c>
      <c r="X62" s="35">
        <f>VLOOKUP($B62&amp;$C62,'[1]FC1 Prod'!$A$6:$BP$36,[2]Consolidated!X$1)</f>
        <v>20.755000000000003</v>
      </c>
      <c r="Y62" s="36">
        <f>VLOOKUP($B62&amp;$C62,'[1]FC1 Prod'!$A$6:$BP$36,[2]Consolidated!Y$1)</f>
        <v>0.9698867742712598</v>
      </c>
      <c r="Z62" s="37" t="str">
        <f>VLOOKUP($B62&amp;$C62,'[1]FC1 Prod'!$A$6:$BP$36,[2]Consolidated!Z$1)</f>
        <v>55/22</v>
      </c>
      <c r="AA62" s="31">
        <f>VLOOKUP($B62&amp;$C62,'[1]FC1 Prod'!$A$6:$BP$36,[2]Consolidated!AA$1)</f>
        <v>54.888750000000009</v>
      </c>
      <c r="AB62" s="31">
        <f>VLOOKUP($B62&amp;$C62,'[1]FC1 Prod'!$A$6:$BP$36,[2]Consolidated!AB$1)</f>
        <v>21.653750000000002</v>
      </c>
      <c r="AC62" s="31">
        <f>VLOOKUP($B62&amp;$C62,'[1]FC1 Prod'!$A$6:$BP$36,[2]Consolidated!AC$1)</f>
        <v>0.42499999999999999</v>
      </c>
      <c r="AD62" s="38">
        <f>VLOOKUP($B62&amp;$C62,'[1]FC1 Prod'!$A$6:$BP$36,[2]Consolidated!AD$1)</f>
        <v>912.87217461500245</v>
      </c>
      <c r="AE62" s="38">
        <f>VLOOKUP($B62&amp;$C62,'[1]FC1 Prod'!$A$6:$BP$36,[2]Consolidated!AE$1)</f>
        <v>621.0462396820667</v>
      </c>
      <c r="AF62" s="39">
        <f>VLOOKUP($B62&amp;$C62,'[1]FC1 Prod'!$A$6:$BP$36,[2]Consolidated!AF$1)</f>
        <v>0.6012753102387961</v>
      </c>
      <c r="AG62" s="39">
        <f>VLOOKUP($B62&amp;$C62,'[1]FC1 Prod'!$A$6:$BP$36,[2]Consolidated!AG$1)</f>
        <v>0.88381100299551463</v>
      </c>
      <c r="AH62" s="34">
        <f>VLOOKUP($B62&amp;$C62,'[1]FC1 Prod'!$A$6:$BP$36,[2]Consolidated!AH$1)</f>
        <v>460.50852657724801</v>
      </c>
      <c r="AI62" s="33">
        <f>VLOOKUP($B62&amp;$C62,'[1]FC1 Prod'!$A$6:$BP$36,[2]Consolidated!AI$1)</f>
        <v>445.45122702434173</v>
      </c>
      <c r="AJ62" s="39">
        <f>VLOOKUP($B62&amp;$C62,'[1]FC1 Prod'!$A$6:$BP$36,[2]Consolidated!AJ$1)</f>
        <v>1.180268442789713</v>
      </c>
      <c r="AK62" s="39">
        <f>VLOOKUP($B62&amp;$C62,'[1]FC1 Prod'!$A$6:$BP$36,[2]Consolidated!AK$1)</f>
        <v>0.50356946825317206</v>
      </c>
      <c r="AL62" s="40" t="str">
        <f>VLOOKUP($B62&amp;$C62,'[1]FC1 Prod'!$A$6:$BP$36,[2]Consolidated!AL$1)</f>
        <v>10/70</v>
      </c>
      <c r="AM62" s="41">
        <f>VLOOKUP($B62&amp;$C62,'[1]FC1 Prod'!$A$6:$BP$36,[2]Consolidated!AM$1)</f>
        <v>2.4838549428713365E-2</v>
      </c>
      <c r="AN62" s="42">
        <f>VLOOKUP($B62&amp;$C62,'[1]FC1 Prod'!$A$6:$BP$36,[2]Consolidated!AN$1)</f>
        <v>101.4</v>
      </c>
      <c r="AO62" s="43">
        <f>VLOOKUP($B62&amp;$C62,'[1]FC1 Prod'!$A$6:$BP$36,[2]Consolidated!AO$1)</f>
        <v>3.5</v>
      </c>
      <c r="AP62" s="44">
        <f>VLOOKUP($B62&amp;$C62,'[1]FC1 Prod'!$A$6:$BP$36,[2]Consolidated!AP$1)</f>
        <v>5.2111276701440641</v>
      </c>
      <c r="AQ62" s="44">
        <f>VLOOKUP($B62&amp;$C62,'[1]FC1 Prod'!$A$6:$BP$36,[2]Consolidated!AQ$1)</f>
        <v>29.40529414277314</v>
      </c>
      <c r="AR62" s="45">
        <f>VLOOKUP($B62&amp;$C62,'[1]FC1 Prod'!$A$6:$BP$36,[2]Consolidated!AR$1)</f>
        <v>0.96022727272727271</v>
      </c>
      <c r="AS62" s="46">
        <f>VLOOKUP($B62&amp;$C62,'[1]FC1 Prod'!$A$6:$BP$36,[2]Consolidated!AS$1)</f>
        <v>2.0666666666666669</v>
      </c>
      <c r="AT62" s="29">
        <f>VLOOKUP($B62&amp;$C62,'[1]FC1 Prod'!$A$6:$BP$36,[2]Consolidated!AT$1)</f>
        <v>0.79405992400867176</v>
      </c>
      <c r="AU62" s="34">
        <f>VLOOKUP($B62&amp;$C62,'[1]FC1 Prod'!$A$6:$BP$36,[2]Consolidated!AU$1)</f>
        <v>407.5092592592593</v>
      </c>
      <c r="AV62" s="34">
        <f>VLOOKUP($B62&amp;$C62,'[1]FC1 Prod'!$A$6:$BP$36,[2]Consolidated!AV$1)</f>
        <v>200</v>
      </c>
      <c r="AW62" s="47">
        <f>VLOOKUP($B62&amp;$C62,'[1]FC1 Prod'!$A$6:$BP$36,[2]Consolidated!AW$1)</f>
        <v>36233.150521609547</v>
      </c>
      <c r="AX62" s="47">
        <f>VLOOKUP($B62&amp;$C62,'[1]FC1 Prod'!$A$6:$BP$36,[2]Consolidated!AX$1)</f>
        <v>13936.214605067065</v>
      </c>
      <c r="AY62" s="48">
        <f>VLOOKUP($B62&amp;$C62,'[1]FC1 Prod'!$A$6:$BP$36,[2]Consolidated!AY$1)</f>
        <v>3082.265275707899</v>
      </c>
      <c r="AZ62" s="47">
        <f>VLOOKUP($B62&amp;$C62,'[1]FC1 Prod'!$A$6:$BP$36,[2]Consolidated!AZ$1)</f>
        <v>1453.0129160457032</v>
      </c>
      <c r="BA62" s="47">
        <f>VLOOKUP($B62&amp;$C62,'[1]FC1 Prod'!$A$6:$BP$36,[2]Consolidated!BA$1)</f>
        <v>30485.096870342775</v>
      </c>
      <c r="BB62" s="47">
        <f>VLOOKUP($B62&amp;$C62,'[1]FC1 Prod'!$A$6:$BP$36,[2]Consolidated!BB$1)</f>
        <v>851.89740188772976</v>
      </c>
      <c r="BC62" s="47">
        <f>VLOOKUP($B62&amp;$C62,'[1]FC1 Prod'!$A$6:$BP$36,[2]Consolidated!BC$1)</f>
        <v>9901.1425732737225</v>
      </c>
      <c r="BD62" s="49">
        <f>VLOOKUP($B62&amp;$C62,'[1]FC1 Prod'!$A$6:$BP$36,[2]Consolidated!BD$1)</f>
        <v>95942.78016393444</v>
      </c>
      <c r="BE62" s="47">
        <f>VLOOKUP($B62&amp;$C62,'[1]FC1 Prod'!$A$6:$BP$36,[2]Consolidated!BE$1)</f>
        <v>24508.871435668156</v>
      </c>
      <c r="BF62" s="47">
        <f>VLOOKUP($B62&amp;$C62,'[1]FC1 Prod'!$A$6:$BP$36,[2]Consolidated!BF$1)</f>
        <v>13641.927471435669</v>
      </c>
      <c r="BG62" s="50">
        <f>VLOOKUP($B62&amp;$C62,'[1]FC1 Prod'!$A$6:$BP$36,[2]Consolidated!BG$1)</f>
        <v>1725.633383010432</v>
      </c>
      <c r="BH62" s="50">
        <f>VLOOKUP($B62&amp;$C62,'[1]FC1 Prod'!$A$6:$BP$36,[2]Consolidated!BH$1)</f>
        <v>718.14542076502744</v>
      </c>
      <c r="BI62" s="50">
        <f>VLOOKUP($B62&amp;$C62,'[1]FC1 Prod'!$A$6:$BP$36,[2]Consolidated!BI$1)</f>
        <v>82433.830070541488</v>
      </c>
      <c r="BJ62" s="37" t="e">
        <f>VLOOKUP($B62&amp;$C62,'[1]FC1 Prod'!$A$6:$BP$36,[2]Consolidated!BJ$1)</f>
        <v>#REF!</v>
      </c>
      <c r="BK62" s="37" t="e">
        <f>VLOOKUP($B62&amp;$C62,'[1]FC1 Prod'!$A$6:$BP$36,[2]Consolidated!BK$1)</f>
        <v>#REF!</v>
      </c>
      <c r="BL62" s="37" t="e">
        <f>VLOOKUP($B62&amp;$C62,'[1]FC1 Prod'!$A$6:$BP$36,[2]Consolidated!BL$1)</f>
        <v>#REF!</v>
      </c>
      <c r="BM62" s="37" t="e">
        <f>VLOOKUP($B62&amp;$C62,'[1]FC1 Prod'!$A$6:$BP$36,[2]Consolidated!BM$1)</f>
        <v>#REF!</v>
      </c>
      <c r="BN62" s="37">
        <f>VLOOKUP($B62&amp;$C62,'[1]FC1 Prod'!$A$6:$BP$36,[2]Consolidated!BN$1)</f>
        <v>25</v>
      </c>
      <c r="BO62" s="37">
        <f>VLOOKUP($B62&amp;$C62,'[1]FC1 Prod'!$A$6:$BP$36,[2]Consolidated!BO$1)</f>
        <v>25</v>
      </c>
      <c r="BP62" s="37" t="str">
        <f>VLOOKUP($B62&amp;$C62,'[1]FC1 Prod'!$A$6:$BP$36,[2]Consolidated!BP$1)</f>
        <v>Power grids supply failure.</v>
      </c>
      <c r="BQ62" s="51" t="e">
        <f>VLOOKUP($B62&amp;$C62,'[1]FC1 Prod'!$A$6:$BP$36,[2]Consolidated!BQ$1)</f>
        <v>#REF!</v>
      </c>
      <c r="BR62" s="51">
        <f>VLOOKUP($B62&amp;$C62,'[1]FC1 Prod'!$A$6:$BQ$36,[2]Consolidated!BR$1)</f>
        <v>69902</v>
      </c>
      <c r="BS62" s="52">
        <f t="shared" ref="BS62:BS64" si="75">BE62+BF62+BG62+BA62</f>
        <v>70361.529160457038</v>
      </c>
      <c r="BT62" s="32">
        <f>BR62-BS62</f>
        <v>-459.52916045703751</v>
      </c>
      <c r="BU62" s="37">
        <f>E62*BT62</f>
        <v>-9250.3220000001638</v>
      </c>
      <c r="BV62" s="53" t="s">
        <v>132</v>
      </c>
      <c r="BW62" s="54" cm="1">
        <f t="array" ref="BW62">IFERROR(VLOOKUP($A62,TRANSPOSE('[1]Fur 1 PLC'!$AR$1:$BV$38),8,0),0)</f>
        <v>0</v>
      </c>
      <c r="BX62" s="54" cm="1">
        <f t="array" ref="BX62">IFERROR(VLOOKUP($A62,TRANSPOSE('[1]Fur 1 PLC'!$AR$1:$BV$38),30,0),0)</f>
        <v>0</v>
      </c>
      <c r="BY62" s="54" cm="1">
        <f t="array" ref="BY62">IFERROR(VLOOKUP($A62,TRANSPOSE('[1]Fur 1 PLC'!$AR$1:$BV$38),14,0),0)</f>
        <v>0</v>
      </c>
      <c r="BZ62" s="54" cm="1">
        <f t="array" ref="BZ62">IFERROR(VLOOKUP($A62,TRANSPOSE('[1]Fur 1 PLC'!$AR$1:$BV$38),16,0),0)</f>
        <v>0</v>
      </c>
      <c r="CA62" s="54" cm="1">
        <f t="array" ref="CA62">IFERROR(VLOOKUP($A62,TRANSPOSE('[1]Fur 1 PLC'!$AR$1:$BV$38),9,0),0)</f>
        <v>494.43616492796821</v>
      </c>
      <c r="CB62" s="54" cm="1">
        <f t="array" ref="CB62">IFERROR(VLOOKUP($A62,TRANSPOSE('[1]Fur 1 PLC'!$AR$1:$BV$38),17,0),0)</f>
        <v>397.46646795827121</v>
      </c>
      <c r="CC62" s="54" cm="1">
        <f t="array" ref="CC62">IFERROR(VLOOKUP($A62,TRANSPOSE('[1]Fur 1 PLC'!$AR$1:$BV$38),20,0),0)</f>
        <v>0</v>
      </c>
      <c r="CD62" s="54" cm="1">
        <f t="array" ref="CD62">IFERROR(VLOOKUP($A62,TRANSPOSE('[1]Fur 1 PLC'!$AR$1:$BV$38),28,0),0)</f>
        <v>131.64431197218082</v>
      </c>
      <c r="CE62" s="54" cm="1">
        <f t="array" ref="CE62">IFERROR(VLOOKUP($A62,TRANSPOSE('[1]Fur 1 PLC'!$AR$1:$BV$38),13,0),0)</f>
        <v>0</v>
      </c>
      <c r="CF62" s="54" cm="1">
        <f t="array" ref="CF62">IFERROR(VLOOKUP($A62,TRANSPOSE('[1]Fur 1 PLC'!$AR$1:$BV$38),37,0),0)</f>
        <v>634.57526080476896</v>
      </c>
      <c r="CG62" s="54" cm="1">
        <f t="array" ref="CG62">IFERROR(VLOOKUP($A62,TRANSPOSE('[1]Fur 1 PLC'!$AR$1:$BV$38),6,0),0)</f>
        <v>0</v>
      </c>
      <c r="CH62" s="54" cm="1">
        <f t="array" ref="CH62">IFERROR(VLOOKUP($A62,TRANSPOSE('[1]Fur 1 PLC'!$AR$1:$BV$38),21,0),0)</f>
        <v>0</v>
      </c>
      <c r="CI62" s="54" cm="1">
        <f t="array" ref="CI62">IFERROR(VLOOKUP($A62,TRANSPOSE('[1]Fur 1 PLC'!$AR$1:$BV$38),12,0),0)</f>
        <v>0</v>
      </c>
      <c r="CJ62" s="54" cm="1">
        <f t="array" ref="CJ62">IFERROR(VLOOKUP($A62,TRANSPOSE('[1]Fur 1 PLC'!$AR$1:$BV$38),25,0),0)</f>
        <v>0</v>
      </c>
      <c r="CK62" s="54" cm="1">
        <f t="array" ref="CK62">IFERROR(VLOOKUP($A62,TRANSPOSE('[1]Fur 1 PLC'!$AR$1:$BV$38),26,0),0)</f>
        <v>0</v>
      </c>
      <c r="CL62" s="54" cm="1">
        <f t="array" ref="CL62">IFERROR(VLOOKUP($A62,TRANSPOSE('[1]Fur 1 PLC'!$AR$1:$BV$38),27,0),0)</f>
        <v>474.06855439642328</v>
      </c>
      <c r="CM62" s="54" cm="1">
        <f t="array" ref="CM62">IFERROR(VLOOKUP($A62,TRANSPOSE('[1]Fur 1 PLC'!$AR$1:$BV$38),22,0),0)</f>
        <v>0</v>
      </c>
      <c r="CN62" s="54"/>
      <c r="CO62" s="54" cm="1">
        <f t="array" ref="CO62">IFERROR(VLOOKUP($A62,TRANSPOSE('[1]Fur 1 PLC'!$AR$1:$BV$38),29,0),0)</f>
        <v>0</v>
      </c>
      <c r="CP62" s="54" cm="1">
        <f t="array" ref="CP62">IFERROR(VLOOKUP($A62,TRANSPOSE('[1]Fur 1 PLC'!$AR$1:$BV$38),10,0),0)</f>
        <v>0</v>
      </c>
      <c r="CQ62" s="54" cm="1">
        <f t="array" ref="CQ62">IFERROR(VLOOKUP($A62,TRANSPOSE('[1]Fur 1 PLC'!$AR$1:$BV$38),7,0),0)</f>
        <v>154.39642324888229</v>
      </c>
      <c r="CR62" s="54" cm="1">
        <f t="array" ref="CR62">IFERROR(VLOOKUP($A62,TRANSPOSE('[1]Fur 1 PLC'!$AR$1:$BV$38),35,0),0)</f>
        <v>5.1167411823149527</v>
      </c>
      <c r="CS62" s="54" cm="1">
        <f t="array" ref="CS62">IFERROR(VLOOKUP($A62,TRANSPOSE('[1]Fur 1 PLC'!$AR$1:$BV$38),11,0),0)</f>
        <v>731.04818678589163</v>
      </c>
      <c r="CT62" s="54" cm="1">
        <f t="array" ref="CT62">IFERROR(VLOOKUP($A62,TRANSPOSE('[1]Fur 1 PLC'!$AR$1:$BV$38),19,0),0)</f>
        <v>0</v>
      </c>
      <c r="CU62" s="54" cm="1">
        <f t="array" ref="CU62">IFERROR(VLOOKUP($A62,TRANSPOSE('[1]Fur 1 PLC'!$AR$1:$BV$38),18,0),0)</f>
        <v>0</v>
      </c>
      <c r="CV62" s="54" cm="1">
        <f t="array" ref="CV62">IFERROR(VLOOKUP($A62,TRANSPOSE('[1]Fur 1 PLC'!$AR$1:$BV$38),15,0),0)</f>
        <v>334.67461500248385</v>
      </c>
      <c r="CW62" s="54" cm="1">
        <f t="array" ref="CW62">IFERROR(VLOOKUP($A62,TRANSPOSE('[1]Fur 1 PLC'!$CL$1:$DP$38),8,0),0)</f>
        <v>0</v>
      </c>
      <c r="CX62" s="54" cm="1">
        <f t="array" ref="CX62">IFERROR(VLOOKUP($A62,TRANSPOSE('[1]Fur 1 PLC'!$CL$1:$DP$38),30,0),0)</f>
        <v>0</v>
      </c>
      <c r="CY62" s="54" cm="1">
        <f t="array" ref="CY62">IFERROR(VLOOKUP($A62,TRANSPOSE('[1]Fur 1 PLC'!$CL$1:$DP$38),14,0),0)</f>
        <v>0</v>
      </c>
      <c r="CZ62" s="54" cm="1">
        <f t="array" ref="CZ62">IFERROR(VLOOKUP($A62,TRANSPOSE('[1]Fur 1 PLC'!$CL$1:$DP$38),16,0),0)</f>
        <v>0</v>
      </c>
      <c r="DA62" s="54" cm="1">
        <f t="array" ref="DA62">IFERROR(VLOOKUP($A62,TRANSPOSE('[1]Fur 1 PLC'!$CL$1:$DP$38),9,0),0)</f>
        <v>226.20454545454544</v>
      </c>
      <c r="DB62" s="55" cm="1">
        <f t="array" ref="DB62">IFERROR(VLOOKUP($A62,TRANSPOSE('[1]Fur 1 PLC'!$CL$1:$DP$38),17,0),0)</f>
        <v>181.84090909090909</v>
      </c>
      <c r="DC62" s="55" cm="1">
        <f t="array" ref="DC62">IFERROR(VLOOKUP($A62,TRANSPOSE('[1]Fur 1 PLC'!$CL$1:$DP$38),20,0),0)</f>
        <v>0</v>
      </c>
      <c r="DD62" s="54" cm="1">
        <f t="array" ref="DD62">IFERROR(VLOOKUP($A62,TRANSPOSE('[1]Fur 1 PLC'!$CL$1:$DP$38),28,0),0)</f>
        <v>60.227272727272727</v>
      </c>
      <c r="DE62" s="54" cm="1">
        <f t="array" ref="DE62">IFERROR(VLOOKUP($A62,TRANSPOSE('[1]Fur 1 PLC'!$CL$1:$DP$38),13,0),0)</f>
        <v>0</v>
      </c>
      <c r="DF62" s="54" cm="1">
        <f t="array" ref="DF62">IFERROR(VLOOKUP($A62,TRANSPOSE('[1]Fur 1 PLC'!$CL$1:$DP$38),37,0),0)</f>
        <v>290.31818181818181</v>
      </c>
      <c r="DG62" s="54" cm="1">
        <f t="array" ref="DG62">IFERROR(VLOOKUP($A62,TRANSPOSE('[1]Fur 1 PLC'!$CL$1:$DP$38),6,0),0)</f>
        <v>0</v>
      </c>
      <c r="DH62" s="54" cm="1">
        <f t="array" ref="DH62">IFERROR(VLOOKUP($A62,TRANSPOSE('[1]Fur 1 PLC'!$CL$1:$DP$38),21,0),0)</f>
        <v>0</v>
      </c>
      <c r="DI62" s="54" cm="1">
        <f t="array" ref="DI62">IFERROR(VLOOKUP($A62,TRANSPOSE('[1]Fur 1 PLC'!$CL$1:$DP$38),12,0),0)</f>
        <v>0</v>
      </c>
      <c r="DJ62" s="54" cm="1">
        <f t="array" ref="DJ62">IFERROR(VLOOKUP($A62,TRANSPOSE('[1]Fur 1 PLC'!$CL$1:$DP$38),25,0),0)</f>
        <v>0</v>
      </c>
      <c r="DK62" s="54" cm="1">
        <f t="array" ref="DK62">IFERROR(VLOOKUP($A62,TRANSPOSE('[1]Fur 1 PLC'!$CL$1:$DP$38),26,0),0)</f>
        <v>0</v>
      </c>
      <c r="DL62" s="54" cm="1">
        <f t="array" ref="DL62">IFERROR(VLOOKUP($A62,TRANSPOSE('[1]Fur 1 PLC'!$CL$1:$DP$38),27,0),0)</f>
        <v>216.88636363636363</v>
      </c>
      <c r="DM62" s="54" cm="1">
        <f t="array" ref="DM62">IFERROR(VLOOKUP($A62,TRANSPOSE('[1]Fur 1 PLC'!$CL$1:$DP$38),22,0),0)</f>
        <v>0</v>
      </c>
      <c r="DN62" s="54" cm="1">
        <f t="array" ref="DN62">IFERROR(VLOOKUP($A62,TRANSPOSE('[1]Fur 1 PLC'!$CL$1:$DP$38),19,0),0)</f>
        <v>0</v>
      </c>
      <c r="DO62" s="54" cm="1">
        <f t="array" ref="DO62">IFERROR(VLOOKUP($A62,TRANSPOSE('[1]Fur 1 PLC'!$CL$1:$DP$38),29,0),0)</f>
        <v>0</v>
      </c>
      <c r="DP62" s="54" cm="1">
        <f t="array" ref="DP62">IFERROR(VLOOKUP($A62,TRANSPOSE('[1]Fur 1 PLC'!$CL$1:$DP$38),10,0),0)</f>
        <v>0</v>
      </c>
      <c r="DQ62" s="54" cm="1">
        <f t="array" ref="DQ62">IFERROR(VLOOKUP($A62,TRANSPOSE('[1]Fur 1 PLC'!$CL$1:$DP$38),7,0),0)</f>
        <v>70.63636363636364</v>
      </c>
      <c r="DR62" s="54" cm="1">
        <f t="array" ref="DR62">IFERROR(VLOOKUP($A62,TRANSPOSE('[1]Fur 1 PLC'!$CL$1:$DP$38),35,0),0)</f>
        <v>2.3409090909090908</v>
      </c>
      <c r="DS62" s="54" cm="1">
        <f t="array" ref="DS62">IFERROR(VLOOKUP($A62,TRANSPOSE('[1]Fur 1 PLC'!$CL$1:$DP$38),11,0),0)</f>
        <v>334.45454545454544</v>
      </c>
      <c r="DT62" s="54" cm="1">
        <f t="array" ref="DT62">IFERROR(VLOOKUP($A62,TRANSPOSE('[1]Fur 1 PLC'!$CL$1:$DP$38),19,0),0)</f>
        <v>0</v>
      </c>
      <c r="DU62" s="54" cm="1">
        <f t="array" ref="DU62">IFERROR(VLOOKUP($A62,TRANSPOSE('[1]Fur 1 PLC'!$CL$1:$DP$38),18,0),0)</f>
        <v>0</v>
      </c>
      <c r="DV62" s="54" cm="1">
        <f t="array" ref="DV62">IFERROR(VLOOKUP($A62,TRANSPOSE('[1]Fur 1 PLC'!$CL$1:$DP$38),15,0),0)</f>
        <v>153.11363636363637</v>
      </c>
      <c r="DW62" t="str">
        <f>TEXT(C62,"Mmm-yy")</f>
        <v>Dec-25</v>
      </c>
    </row>
    <row r="63" spans="1:127" x14ac:dyDescent="0.3">
      <c r="A63" s="28" t="str">
        <f t="shared" si="59"/>
        <v>F246007</v>
      </c>
      <c r="B63" s="29" t="s">
        <v>27</v>
      </c>
      <c r="C63" s="30">
        <f>C62</f>
        <v>46007</v>
      </c>
      <c r="D63" s="29" t="str">
        <f>VLOOKUP($B63&amp;$C63,'[1]FC2 Prod'!$A$6:$BP$36,[2]Consolidated!D$1)</f>
        <v>Mr. Girish Malik</v>
      </c>
      <c r="E63" s="29">
        <f>VLOOKUP($B63&amp;$C63,'[1]FC2 Prod'!$A$6:$BP$36,[2]Consolidated!E$1)</f>
        <v>30.47</v>
      </c>
      <c r="F63" s="29">
        <f>VLOOKUP($B63&amp;$C63,'[1]FC2 Prod'!$A$6:$BP$36,[2]Consolidated!F$1)</f>
        <v>0</v>
      </c>
      <c r="G63" s="29">
        <f>VLOOKUP($B63&amp;$C63,'[1]FC2 Prod'!$A$6:$BP$36,[2]Consolidated!G$1)</f>
        <v>30.47</v>
      </c>
      <c r="H63" s="32">
        <f>VLOOKUP($B63&amp;$C63,'[1]FC2 Prod'!$A$6:$BP$36,[2]Consolidated!H$1)</f>
        <v>21.79</v>
      </c>
      <c r="I63" s="32">
        <f>VLOOKUP($B63&amp;$C63,'[1]FC2 Prod'!$A$6:$BP$36,[2]Consolidated!I$1)</f>
        <v>6.1</v>
      </c>
      <c r="J63" s="32">
        <f>VLOOKUP($B63&amp;$C63,'[1]FC2 Prod'!$A$6:$BP$36,[2]Consolidated!J$1)</f>
        <v>40.82</v>
      </c>
      <c r="K63" s="32">
        <f>VLOOKUP($B63&amp;$C63,'[1]FC2 Prod'!$A$6:$BP$36,[2]Consolidated!K$1)</f>
        <v>1.28</v>
      </c>
      <c r="L63" s="32">
        <f>VLOOKUP($B63&amp;$C63,'[1]FC2 Prod'!$A$6:$BP$36,[2]Consolidated!L$1)</f>
        <v>28.82</v>
      </c>
      <c r="M63" s="32">
        <f>VLOOKUP($B63&amp;$C63,'[1]FC2 Prod'!$A$6:$BP$36,[2]Consolidated!M$1)</f>
        <v>4.62</v>
      </c>
      <c r="N63" s="32">
        <f>VLOOKUP($B63&amp;$C63,'[1]FC2 Prod'!$A$6:$BP$36,[2]Consolidated!N$1)</f>
        <v>15.32</v>
      </c>
      <c r="O63" s="32">
        <f>VLOOKUP($B63&amp;$C63,'[1]FC2 Prod'!$A$6:$BP$36,[2]Consolidated!O$1)</f>
        <v>0.82</v>
      </c>
      <c r="P63" s="34">
        <f>VLOOKUP($B63&amp;$C63,'[1]FC2 Prod'!$A$6:$BP$36,[2]Consolidated!P$1)</f>
        <v>9</v>
      </c>
      <c r="Q63" s="29">
        <f>VLOOKUP($B63&amp;$C63,'[1]FC2 Prod'!$A$6:$BP$36,[2]Consolidated!Q$1)</f>
        <v>60.47</v>
      </c>
      <c r="R63" s="29">
        <f>VLOOKUP($B63&amp;$C63,'[1]FC2 Prod'!$A$6:$BP$36,[2]Consolidated!R$1)</f>
        <v>18.457999999999998</v>
      </c>
      <c r="S63" s="34">
        <f>VLOOKUP($B63&amp;$C63,'[1]FC2 Prod'!$A$6:$BP$36,[2]Consolidated!S$1)</f>
        <v>28</v>
      </c>
      <c r="T63" s="34">
        <f>VLOOKUP($B63&amp;$C63,'[1]FC2 Prod'!$A$6:$BP$36,[2]Consolidated!T$1)</f>
        <v>18</v>
      </c>
      <c r="U63" s="34">
        <f>VLOOKUP($B63&amp;$C63,'[1]FC2 Prod'!$A$6:$BP$36,[2]Consolidated!U$1)</f>
        <v>22</v>
      </c>
      <c r="V63" s="34">
        <f>VLOOKUP($B63&amp;$C63,'[1]FC2 Prod'!$A$6:$BP$36,[2]Consolidated!V$1)</f>
        <v>68</v>
      </c>
      <c r="W63" s="29">
        <f>VLOOKUP($B63&amp;$C63,'[1]FC2 Prod'!$A$6:$BP$36,[2]Consolidated!W$1)</f>
        <v>1.9845749917952085</v>
      </c>
      <c r="X63" s="35">
        <f>VLOOKUP($B63&amp;$C63,'[1]FC2 Prod'!$A$6:$BP$36,[2]Consolidated!X$1)</f>
        <v>31.42</v>
      </c>
      <c r="Y63" s="36">
        <f>VLOOKUP($B63&amp;$C63,'[1]FC2 Prod'!$A$6:$BP$36,[2]Consolidated!Y$1)</f>
        <v>0.96976448122215142</v>
      </c>
      <c r="Z63" s="37" t="str">
        <f>VLOOKUP($B63&amp;$C63,'[1]FC2 Prod'!$A$6:$BP$36,[2]Consolidated!Z$1)</f>
        <v xml:space="preserve">55/22 </v>
      </c>
      <c r="AA63" s="31">
        <f>VLOOKUP($B63&amp;$C63,'[1]FC2 Prod'!$A$6:$BP$36,[2]Consolidated!AA$1)</f>
        <v>54.688888888888897</v>
      </c>
      <c r="AB63" s="31">
        <f>VLOOKUP($B63&amp;$C63,'[1]FC2 Prod'!$A$6:$BP$36,[2]Consolidated!AB$1)</f>
        <v>22.323333333333338</v>
      </c>
      <c r="AC63" s="31">
        <f>VLOOKUP($B63&amp;$C63,'[1]FC2 Prod'!$A$6:$BP$36,[2]Consolidated!AC$1)</f>
        <v>0.40111111111111108</v>
      </c>
      <c r="AD63" s="38">
        <f>VLOOKUP($B63&amp;$C63,'[1]FC2 Prod'!$A$6:$BP$36,[2]Consolidated!AD$1)</f>
        <v>595.27395520183791</v>
      </c>
      <c r="AE63" s="38">
        <f>VLOOKUP($B63&amp;$C63,'[1]FC2 Prod'!$A$6:$BP$36,[2]Consolidated!AE$1)</f>
        <v>631.66043043649495</v>
      </c>
      <c r="AF63" s="39">
        <f>VLOOKUP($B63&amp;$C63,'[1]FC2 Prod'!$A$6:$BP$36,[2]Consolidated!AF$1)</f>
        <v>0.91871798540800742</v>
      </c>
      <c r="AG63" s="39">
        <f>VLOOKUP($B63&amp;$C63,'[1]FC2 Prod'!$A$6:$BP$36,[2]Consolidated!AG$1)</f>
        <v>0.86579570689741248</v>
      </c>
      <c r="AH63" s="34">
        <f>VLOOKUP($B63&amp;$C63,'[1]FC2 Prod'!$A$6:$BP$36,[2]Consolidated!AH$1)</f>
        <v>521.44806366918283</v>
      </c>
      <c r="AI63" s="33">
        <f>VLOOKUP($B63&amp;$C63,'[1]FC2 Prod'!$A$6:$BP$36,[2]Consolidated!AI$1)</f>
        <v>432.77236626189699</v>
      </c>
      <c r="AJ63" s="39">
        <f>VLOOKUP($B63&amp;$C63,'[1]FC2 Prod'!$A$6:$BP$36,[2]Consolidated!AJ$1)</f>
        <v>0.47486581447422838</v>
      </c>
      <c r="AK63" s="39">
        <f>VLOOKUP($B63&amp;$C63,'[1]FC2 Prod'!$A$6:$BP$36,[2]Consolidated!AK$1)</f>
        <v>0.50823972160527087</v>
      </c>
      <c r="AL63" s="40" t="str">
        <f>VLOOKUP($B63&amp;$C63,'[1]FC2 Prod'!$A$6:$BP$36,[2]Consolidated!AL$1)</f>
        <v>10/70</v>
      </c>
      <c r="AM63" s="41">
        <f>VLOOKUP($B63&amp;$C63,'[1]FC2 Prod'!$A$6:$BP$36,[2]Consolidated!AM$1)</f>
        <v>2.6583524778470629E-2</v>
      </c>
      <c r="AN63" s="42">
        <f>VLOOKUP($B63&amp;$C63,'[1]FC2 Prod'!$A$6:$BP$36,[2]Consolidated!AN$1)</f>
        <v>142.69999999999999</v>
      </c>
      <c r="AO63" s="43">
        <f>VLOOKUP($B63&amp;$C63,'[1]FC2 Prod'!$A$6:$BP$36,[2]Consolidated!AO$1)</f>
        <v>5.6970000000000001</v>
      </c>
      <c r="AP63" s="44">
        <f>VLOOKUP($B63&amp;$C63,'[1]FC2 Prod'!$A$6:$BP$36,[2]Consolidated!AP$1)</f>
        <v>4.8702658352477846</v>
      </c>
      <c r="AQ63" s="44">
        <f>VLOOKUP($B63&amp;$C63,'[1]FC2 Prod'!$A$6:$BP$36,[2]Consolidated!AQ$1)</f>
        <v>29.205464735588226</v>
      </c>
      <c r="AR63" s="45">
        <f>VLOOKUP($B63&amp;$C63,'[1]FC2 Prod'!$A$6:$BP$36,[2]Consolidated!AR$1)</f>
        <v>0.97472677595628421</v>
      </c>
      <c r="AS63" s="46">
        <f>VLOOKUP($B63&amp;$C63,'[1]FC2 Prod'!$A$6:$BP$36,[2]Consolidated!AS$1)</f>
        <v>2.15</v>
      </c>
      <c r="AT63" s="29">
        <f>VLOOKUP($B63&amp;$C63,'[1]FC2 Prod'!$A$6:$BP$36,[2]Consolidated!AT$1)</f>
        <v>0.78167089308670956</v>
      </c>
      <c r="AU63" s="34">
        <f>VLOOKUP($B63&amp;$C63,'[1]FC2 Prod'!$A$6:$BP$36,[2]Consolidated!AU$1)</f>
        <v>518.05324074074076</v>
      </c>
      <c r="AV63" s="34">
        <f>VLOOKUP($B63&amp;$C63,'[1]FC2 Prod'!$A$6:$BP$36,[2]Consolidated!AV$1)</f>
        <v>275</v>
      </c>
      <c r="AW63" s="47">
        <f>VLOOKUP($B63&amp;$C63,'[1]FC2 Prod'!$A$6:$BP$36,[2]Consolidated!AW$1)</f>
        <v>23751.530685920578</v>
      </c>
      <c r="AX63" s="47">
        <f>VLOOKUP($B63&amp;$C63,'[1]FC2 Prod'!$A$6:$BP$36,[2]Consolidated!AX$1)</f>
        <v>14954.343944863802</v>
      </c>
      <c r="AY63" s="48">
        <f>VLOOKUP($B63&amp;$C63,'[1]FC2 Prod'!$A$6:$BP$36,[2]Consolidated!AY$1)</f>
        <v>1996.4227108631442</v>
      </c>
      <c r="AZ63" s="47">
        <f>VLOOKUP($B63&amp;$C63,'[1]FC2 Prod'!$A$6:$BP$36,[2]Consolidated!AZ$1)</f>
        <v>2473.8808664259927</v>
      </c>
      <c r="BA63" s="47">
        <f>VLOOKUP($B63&amp;$C63,'[1]FC2 Prod'!$A$6:$BP$36,[2]Consolidated!BA$1)</f>
        <v>28491.055136199539</v>
      </c>
      <c r="BB63" s="47">
        <f>VLOOKUP($B63&amp;$C63,'[1]FC2 Prod'!$A$6:$BP$36,[2]Consolidated!BB$1)</f>
        <v>716.67233344273063</v>
      </c>
      <c r="BC63" s="47">
        <f>VLOOKUP($B63&amp;$C63,'[1]FC2 Prod'!$A$6:$BP$36,[2]Consolidated!BC$1)</f>
        <v>9253.5050869707902</v>
      </c>
      <c r="BD63" s="49">
        <f>VLOOKUP($B63&amp;$C63,'[1]FC2 Prod'!$A$6:$BP$36,[2]Consolidated!BD$1)</f>
        <v>81637.410764686589</v>
      </c>
      <c r="BE63" s="47">
        <f>VLOOKUP($B63&amp;$C63,'[1]FC2 Prod'!$A$6:$BP$36,[2]Consolidated!BE$1)</f>
        <v>24947.164227108631</v>
      </c>
      <c r="BF63" s="47">
        <f>VLOOKUP($B63&amp;$C63,'[1]FC2 Prod'!$A$6:$BP$36,[2]Consolidated!BF$1)</f>
        <v>12696.600328191666</v>
      </c>
      <c r="BG63" s="50">
        <f>VLOOKUP($B63&amp;$C63,'[1]FC2 Prod'!$A$6:$BP$36,[2]Consolidated!BG$1)</f>
        <v>1747.6009189366591</v>
      </c>
      <c r="BH63" s="50">
        <f>VLOOKUP($B63&amp;$C63,'[1]FC2 Prod'!$A$6:$BP$36,[2]Consolidated!BH$1)</f>
        <v>703.56301476862484</v>
      </c>
      <c r="BI63" s="50">
        <f>VLOOKUP($B63&amp;$C63,'[1]FC2 Prod'!$A$6:$BP$36,[2]Consolidated!BI$1)</f>
        <v>80313.369578601894</v>
      </c>
      <c r="BJ63" s="37" t="e">
        <f>VLOOKUP($B63&amp;$C63,'[1]FC2 Prod'!$A$6:$BP$36,[2]Consolidated!BJ$1)</f>
        <v>#REF!</v>
      </c>
      <c r="BK63" s="37" t="e">
        <f>VLOOKUP($B63&amp;$C63,'[1]FC2 Prod'!$A$6:$BP$36,[2]Consolidated!BK$1)</f>
        <v>#REF!</v>
      </c>
      <c r="BL63" s="37">
        <f>VLOOKUP($B63&amp;$C63,'[1]FC2 Prod'!$A$6:$BP$36,[2]Consolidated!BL$1)</f>
        <v>5</v>
      </c>
      <c r="BM63" s="37" t="e">
        <f>VLOOKUP($B63&amp;$C63,'[1]FC2 Prod'!$A$6:$BP$36,[2]Consolidated!BM$1)</f>
        <v>#REF!</v>
      </c>
      <c r="BN63" s="37">
        <f>VLOOKUP($B63&amp;$C63,'[1]FC2 Prod'!$A$6:$BP$36,[2]Consolidated!BN$1)</f>
        <v>25</v>
      </c>
      <c r="BO63" s="37">
        <f>VLOOKUP($B63&amp;$C63,'[1]FC2 Prod'!$A$6:$BP$36,[2]Consolidated!BO$1)</f>
        <v>30</v>
      </c>
      <c r="BP63" s="37" t="str">
        <f>VLOOKUP($B63&amp;$C63,'[1]FC2 Prod'!$A$6:$BP$36,[2]Consolidated!BP$1)</f>
        <v>Power Grids supply failure and over current trip.</v>
      </c>
      <c r="BQ63" s="29" t="e">
        <f>VLOOKUP($B63&amp;$C63,'[1]FC2 Prod'!$A$6:$BP$36,[2]Consolidated!BQ$1)</f>
        <v>#REF!</v>
      </c>
      <c r="BR63" s="51">
        <f>VLOOKUP($B63&amp;$C63,'[1]FC2 Prod'!$A$6:$BQ$36,[2]Consolidated!BR$1)</f>
        <v>68163</v>
      </c>
      <c r="BS63" s="52">
        <f t="shared" si="75"/>
        <v>67882.4206104365</v>
      </c>
      <c r="BT63" s="32">
        <f>BR63-BS63</f>
        <v>280.57938956349972</v>
      </c>
      <c r="BU63" s="37">
        <f>E63*BT63</f>
        <v>8549.2539999998353</v>
      </c>
      <c r="BV63" s="53" t="s">
        <v>132</v>
      </c>
      <c r="BW63" s="54" cm="1">
        <f t="array" ref="BW63">IFERROR(VLOOKUP($A63,TRANSPOSE('[1]Fur 2 PLC'!$AR$1:$BV$38),8,0),0)</f>
        <v>0</v>
      </c>
      <c r="BX63" s="54" cm="1">
        <f t="array" ref="BX63">IFERROR(VLOOKUP($A63,TRANSPOSE('[1]Fur 2 PLC'!$AR$1:$BV$38),30,0),0)</f>
        <v>0</v>
      </c>
      <c r="BY63" s="54" cm="1">
        <f t="array" ref="BY63">IFERROR(VLOOKUP($A63,TRANSPOSE('[1]Fur 2 PLC'!$AR$1:$BV$38),14,0),0)</f>
        <v>0</v>
      </c>
      <c r="BZ63" s="54" cm="1">
        <f t="array" ref="BZ63">IFERROR(VLOOKUP($A63,TRANSPOSE('[1]Fur 2 PLC'!$AR$1:$BV$38),16,0),0)</f>
        <v>0</v>
      </c>
      <c r="CA63" s="54" cm="1">
        <f t="array" ref="CA63">IFERROR(VLOOKUP($A63,TRANSPOSE('[1]Fur 2 PLC'!$AR$1:$BV$38),9,0),0)</f>
        <v>498.85132917623895</v>
      </c>
      <c r="CB63" s="54" cm="1">
        <f t="array" ref="CB63">IFERROR(VLOOKUP($A63,TRANSPOSE('[1]Fur 2 PLC'!$AR$1:$BV$38),17,0),0)</f>
        <v>386.74105677715789</v>
      </c>
      <c r="CC63" s="54" cm="1">
        <f t="array" ref="CC63">IFERROR(VLOOKUP($A63,TRANSPOSE('[1]Fur 2 PLC'!$AR$1:$BV$38),20,0),0)</f>
        <v>0</v>
      </c>
      <c r="CD63" s="54" cm="1">
        <f t="array" ref="CD63">IFERROR(VLOOKUP($A63,TRANSPOSE('[1]Fur 2 PLC'!$AR$1:$BV$38),28,0),0)</f>
        <v>0</v>
      </c>
      <c r="CE63" s="54" cm="1">
        <f t="array" ref="CE63">IFERROR(VLOOKUP($A63,TRANSPOSE('[1]Fur 2 PLC'!$AR$1:$BV$38),13,0),0)</f>
        <v>0</v>
      </c>
      <c r="CF63" s="54" cm="1">
        <f t="array" ref="CF63">IFERROR(VLOOKUP($A63,TRANSPOSE('[1]Fur 2 PLC'!$AR$1:$BV$38),37,0),0)</f>
        <v>647.25959960617013</v>
      </c>
      <c r="CG63" s="54" cm="1">
        <f t="array" ref="CG63">IFERROR(VLOOKUP($A63,TRANSPOSE('[1]Fur 2 PLC'!$AR$1:$BV$38),6,0),0)</f>
        <v>0</v>
      </c>
      <c r="CH63" s="54" cm="1">
        <f t="array" ref="CH63">IFERROR(VLOOKUP($A63,TRANSPOSE('[1]Fur 2 PLC'!$AR$1:$BV$38),21,0),0)</f>
        <v>0</v>
      </c>
      <c r="CI63" s="54" cm="1">
        <f t="array" ref="CI63">IFERROR(VLOOKUP($A63,TRANSPOSE('[1]Fur 2 PLC'!$AR$1:$BV$38),12,0),0)</f>
        <v>0</v>
      </c>
      <c r="CJ63" s="54" cm="1">
        <f t="array" ref="CJ63">IFERROR(VLOOKUP($A63,TRANSPOSE('[1]Fur 2 PLC'!$AR$1:$BV$38),25,0),0)</f>
        <v>0</v>
      </c>
      <c r="CK63" s="54" cm="1">
        <f t="array" ref="CK63">IFERROR(VLOOKUP($A63,TRANSPOSE('[1]Fur 2 PLC'!$AR$1:$BV$38),26,0),0)</f>
        <v>100.3610108303249</v>
      </c>
      <c r="CL63" s="54" cm="1">
        <f t="array" ref="CL63">IFERROR(VLOOKUP($A63,TRANSPOSE('[1]Fur 2 PLC'!$AR$1:$BV$38),27,0),0)</f>
        <v>449.62257958647848</v>
      </c>
      <c r="CM63" s="54" cm="1">
        <f t="array" ref="CM63">IFERROR(VLOOKUP($A63,TRANSPOSE('[1]Fur 2 PLC'!$AR$1:$BV$38),22,0),0)</f>
        <v>0</v>
      </c>
      <c r="CN63" s="54"/>
      <c r="CO63" s="54" cm="1">
        <f t="array" ref="CO63">IFERROR(VLOOKUP($A63,TRANSPOSE('[1]Fur 2 PLC'!$AR$1:$BV$38),29,0),0)</f>
        <v>55.792582868395144</v>
      </c>
      <c r="CP63" s="54" cm="1">
        <f t="array" ref="CP63">IFERROR(VLOOKUP($A63,TRANSPOSE('[1]Fur 2 PLC'!$AR$1:$BV$38),10,0),0)</f>
        <v>0</v>
      </c>
      <c r="CQ63" s="54" cm="1">
        <f t="array" ref="CQ63">IFERROR(VLOOKUP($A63,TRANSPOSE('[1]Fur 2 PLC'!$AR$1:$BV$38),7,0),0)</f>
        <v>178.2408926813259</v>
      </c>
      <c r="CR63" s="54" cm="1">
        <f t="array" ref="CR63">IFERROR(VLOOKUP($A63,TRANSPOSE('[1]Fur 2 PLC'!$AR$1:$BV$38),35,0),0)</f>
        <v>0</v>
      </c>
      <c r="CS63" s="54" cm="1">
        <f t="array" ref="CS63">IFERROR(VLOOKUP($A63,TRANSPOSE('[1]Fur 2 PLC'!$AR$1:$BV$38),11,0),0)</f>
        <v>748.99901542500822</v>
      </c>
      <c r="CT63" s="54" cm="1">
        <f t="array" ref="CT63">IFERROR(VLOOKUP($A63,TRANSPOSE('[1]Fur 2 PLC'!$AR$1:$BV$38),19,0),0)</f>
        <v>0</v>
      </c>
      <c r="CU63" s="54" cm="1">
        <f t="array" ref="CU63">IFERROR(VLOOKUP($A63,TRANSPOSE('[1]Fur 2 PLC'!$AR$1:$BV$38),18,0),0)</f>
        <v>0</v>
      </c>
      <c r="CV63" s="54" cm="1">
        <f t="array" ref="CV63">IFERROR(VLOOKUP($A63,TRANSPOSE('[1]Fur 2 PLC'!$AR$1:$BV$38),15,0),0)</f>
        <v>349.98359041680345</v>
      </c>
      <c r="CW63" s="54" cm="1">
        <f t="array" ref="CW63">IFERROR(VLOOKUP($A63,TRANSPOSE('[1]Fur 2 PLC'!$CI$1:$DM$38),8,0),0)</f>
        <v>0</v>
      </c>
      <c r="CX63" s="54" cm="1">
        <f t="array" ref="CX63">IFERROR(VLOOKUP($A63,TRANSPOSE('[1]Fur 2 PLC'!$CI$1:$DM$38),30,0),0)</f>
        <v>0</v>
      </c>
      <c r="CY63" s="54" cm="1">
        <f t="array" ref="CY63">IFERROR(VLOOKUP($A63,TRANSPOSE('[1]Fur 2 PLC'!$CI$1:$DM$38),14,0),0)</f>
        <v>0</v>
      </c>
      <c r="CZ63" s="54" cm="1">
        <f t="array" ref="CZ63">IFERROR(VLOOKUP($A63,TRANSPOSE('[1]Fur 2 PLC'!$CI$1:$DM$38),16,0),0)</f>
        <v>0</v>
      </c>
      <c r="DA63" s="54" cm="1">
        <f t="array" ref="DA63">IFERROR(VLOOKUP($A63,TRANSPOSE('[1]Fur 2 PLC'!$CI$1:$DM$38),9,0),0)</f>
        <v>223.52941176470586</v>
      </c>
      <c r="DB63" s="55" cm="1">
        <f t="array" ref="DB63">IFERROR(VLOOKUP($A63,TRANSPOSE('[1]Fur 2 PLC'!$CI$1:$DM$38),17,0),0)</f>
        <v>173.29411764705881</v>
      </c>
      <c r="DC63" s="55" cm="1">
        <f t="array" ref="DC63">IFERROR(VLOOKUP($A63,TRANSPOSE('[1]Fur 2 PLC'!$CI$1:$DM$38),20,0),0)</f>
        <v>0</v>
      </c>
      <c r="DD63" s="54" cm="1">
        <f t="array" ref="DD63">IFERROR(VLOOKUP($A63,TRANSPOSE('[1]Fur 2 PLC'!$CI$1:$DM$38),28,0),0)</f>
        <v>0</v>
      </c>
      <c r="DE63" s="54" cm="1">
        <f t="array" ref="DE63">IFERROR(VLOOKUP($A63,TRANSPOSE('[1]Fur 2 PLC'!$CI$1:$DM$38),13,0),0)</f>
        <v>0</v>
      </c>
      <c r="DF63" s="54" cm="1">
        <f t="array" ref="DF63">IFERROR(VLOOKUP($A63,TRANSPOSE('[1]Fur 2 PLC'!$CI$1:$DM$38),37,0),0)</f>
        <v>290.02941176470591</v>
      </c>
      <c r="DG63" s="54" cm="1">
        <f t="array" ref="DG63">IFERROR(VLOOKUP($A63,TRANSPOSE('[1]Fur 2 PLC'!$CI$1:$DM$38),6,0),0)</f>
        <v>0</v>
      </c>
      <c r="DH63" s="54" cm="1">
        <f t="array" ref="DH63">IFERROR(VLOOKUP($A63,TRANSPOSE('[1]Fur 2 PLC'!$CI$1:$DM$38),21,0),0)</f>
        <v>0</v>
      </c>
      <c r="DI63" s="54" cm="1">
        <f t="array" ref="DI63">IFERROR(VLOOKUP($A63,TRANSPOSE('[1]Fur 2 PLC'!$CI$1:$DM$38),12,0),0)</f>
        <v>0</v>
      </c>
      <c r="DJ63" s="54" cm="1">
        <f t="array" ref="DJ63">IFERROR(VLOOKUP($A63,TRANSPOSE('[1]Fur 2 PLC'!$CI$1:$DM$38),25,0),0)</f>
        <v>0</v>
      </c>
      <c r="DK63" s="54" cm="1">
        <f t="array" ref="DK63">IFERROR(VLOOKUP($A63,TRANSPOSE('[1]Fur 2 PLC'!$CI$1:$DM$38),26,0),0)</f>
        <v>44.970588235294116</v>
      </c>
      <c r="DL63" s="54" cm="1">
        <f t="array" ref="DL63">IFERROR(VLOOKUP($A63,TRANSPOSE('[1]Fur 2 PLC'!$CI$1:$DM$38),27,0),0)</f>
        <v>201.47058823529409</v>
      </c>
      <c r="DM63" s="54" cm="1">
        <f t="array" ref="DM63">IFERROR(VLOOKUP($A63,TRANSPOSE('[1]Fur 2 PLC'!$CI$1:$DM$38),22,0),0)</f>
        <v>0</v>
      </c>
      <c r="DN63" s="54" cm="1">
        <f t="array" ref="DN63">IFERROR(VLOOKUP($A63,TRANSPOSE('[1]Fur 2 PLC'!$CI$1:$DM$38),19,0),0)</f>
        <v>0</v>
      </c>
      <c r="DO63" s="54" cm="1">
        <f t="array" ref="DO63">IFERROR(VLOOKUP($A63,TRANSPOSE('[1]Fur 2 PLC'!$CI$1:$DM$38),29,0),0)</f>
        <v>24.999999999999996</v>
      </c>
      <c r="DP63" s="54" cm="1">
        <f t="array" ref="DP63">IFERROR(VLOOKUP($A63,TRANSPOSE('[1]Fur 2 PLC'!$CI$1:$DM$38),10,0),0)</f>
        <v>0</v>
      </c>
      <c r="DQ63" s="54" cm="1">
        <f t="array" ref="DQ63">IFERROR(VLOOKUP($A63,TRANSPOSE('[1]Fur 2 PLC'!$CI$1:$DM$38),7,0),0)</f>
        <v>79.867647058823536</v>
      </c>
      <c r="DR63" s="54" cm="1">
        <f t="array" ref="DR63">IFERROR(VLOOKUP($A63,TRANSPOSE('[1]Fur 2 PLC'!$CI$1:$DM$38),35,0),0)</f>
        <v>0</v>
      </c>
      <c r="DS63" s="54" cm="1">
        <f t="array" ref="DS63">IFERROR(VLOOKUP($A63,TRANSPOSE('[1]Fur 2 PLC'!$CI$1:$DM$38),11,0),0)</f>
        <v>335.61764705882354</v>
      </c>
      <c r="DT63" s="54" cm="1">
        <f t="array" ref="DT63">IFERROR(VLOOKUP($A63,TRANSPOSE('[1]Fur 2 PLC'!$CI$1:$DM$38),19,0),0)</f>
        <v>0</v>
      </c>
      <c r="DU63" s="54" cm="1">
        <f t="array" ref="DU63">IFERROR(VLOOKUP($A63,TRANSPOSE('[1]Fur 2 PLC'!$CI$1:$DM$38),18,0),0)</f>
        <v>0</v>
      </c>
      <c r="DV63" s="54" cm="1">
        <f t="array" ref="DV63">IFERROR(VLOOKUP($A63,TRANSPOSE('[1]Fur 2 PLC'!$CI$1:$DM$38),15,0),0)</f>
        <v>156.8235294117647</v>
      </c>
      <c r="DW63" t="str">
        <f t="shared" ref="DW63:DW65" si="76">TEXT(C63,"Mmm-yy")</f>
        <v>Dec-25</v>
      </c>
    </row>
    <row r="64" spans="1:127" x14ac:dyDescent="0.3">
      <c r="A64" s="28" t="str">
        <f t="shared" si="59"/>
        <v>F346007</v>
      </c>
      <c r="B64" s="29" t="s">
        <v>28</v>
      </c>
      <c r="C64" s="30">
        <f>C63</f>
        <v>46007</v>
      </c>
      <c r="D64" s="29" t="str">
        <f>VLOOKUP($B64&amp;$C64,'[1]FC3 Prod'!$A$6:$BP$36,[2]Consolidated!D$1)</f>
        <v>Mr. Ajay Singh</v>
      </c>
      <c r="E64" s="29">
        <f>VLOOKUP($B64&amp;$C64,'[1]FC3 Prod'!$A$6:$BP$36,[2]Consolidated!E$1)</f>
        <v>36.419999999999995</v>
      </c>
      <c r="F64" s="31">
        <f>VLOOKUP($B64&amp;$C64,'[1]FC3 Prod'!$A$6:$BP$36,[2]Consolidated!F$1)</f>
        <v>0</v>
      </c>
      <c r="G64" s="32">
        <f>VLOOKUP($B64&amp;$C64,'[1]FC3 Prod'!$A$6:$BP$36,[2]Consolidated!G$1)</f>
        <v>36.42</v>
      </c>
      <c r="H64" s="32">
        <f>VLOOKUP($B64&amp;$C64,'[1]FC3 Prod'!$A$6:$BP$36,[2]Consolidated!H$1)</f>
        <v>27.48</v>
      </c>
      <c r="I64" s="32">
        <f>VLOOKUP($B64&amp;$C64,'[1]FC3 Prod'!$A$6:$BP$36,[2]Consolidated!I$1)</f>
        <v>10.76</v>
      </c>
      <c r="J64" s="32">
        <f>VLOOKUP($B64&amp;$C64,'[1]FC3 Prod'!$A$6:$BP$36,[2]Consolidated!J$1)</f>
        <v>38.21</v>
      </c>
      <c r="K64" s="32">
        <f>VLOOKUP($B64&amp;$C64,'[1]FC3 Prod'!$A$6:$BP$36,[2]Consolidated!K$1)</f>
        <v>1.32</v>
      </c>
      <c r="L64" s="32">
        <f>VLOOKUP($B64&amp;$C64,'[1]FC3 Prod'!$A$6:$BP$36,[2]Consolidated!L$1)</f>
        <v>26.58</v>
      </c>
      <c r="M64" s="32">
        <f>VLOOKUP($B64&amp;$C64,'[1]FC3 Prod'!$A$6:$BP$36,[2]Consolidated!M$1)</f>
        <v>5.12</v>
      </c>
      <c r="N64" s="32">
        <f>VLOOKUP($B64&amp;$C64,'[1]FC3 Prod'!$A$6:$BP$36,[2]Consolidated!N$1)</f>
        <v>14.88</v>
      </c>
      <c r="O64" s="32">
        <f>VLOOKUP($B64&amp;$C64,'[1]FC3 Prod'!$A$6:$BP$36,[2]Consolidated!O$1)</f>
        <v>0.83</v>
      </c>
      <c r="P64" s="33">
        <f>VLOOKUP($B64&amp;$C64,'[1]FC3 Prod'!$A$6:$BP$36,[2]Consolidated!P$1)</f>
        <v>8</v>
      </c>
      <c r="Q64" s="29">
        <f>VLOOKUP($B64&amp;$C64,'[1]FC3 Prod'!$A$6:$BP$36,[2]Consolidated!Q$1)</f>
        <v>74.725999999999999</v>
      </c>
      <c r="R64" s="29">
        <f>VLOOKUP($B64&amp;$C64,'[1]FC3 Prod'!$A$6:$BP$36,[2]Consolidated!R$1)</f>
        <v>23.832000000000001</v>
      </c>
      <c r="S64" s="34">
        <f>VLOOKUP($B64&amp;$C64,'[1]FC3 Prod'!$A$6:$BP$36,[2]Consolidated!S$1)</f>
        <v>31</v>
      </c>
      <c r="T64" s="34">
        <f>VLOOKUP($B64&amp;$C64,'[1]FC3 Prod'!$A$6:$BP$36,[2]Consolidated!T$1)</f>
        <v>16</v>
      </c>
      <c r="U64" s="34">
        <f>VLOOKUP($B64&amp;$C64,'[1]FC3 Prod'!$A$6:$BP$36,[2]Consolidated!U$1)</f>
        <v>21</v>
      </c>
      <c r="V64" s="34">
        <f>VLOOKUP($B64&amp;$C64,'[1]FC3 Prod'!$A$6:$BP$36,[2]Consolidated!V$1)</f>
        <v>68</v>
      </c>
      <c r="W64" s="35">
        <f>VLOOKUP($B64&amp;$C64,'[1]FC3 Prod'!$A$6:$BP$36,[2]Consolidated!W$1)</f>
        <v>2.0517847336628225</v>
      </c>
      <c r="X64" s="35">
        <f>VLOOKUP($B64&amp;$C64,'[1]FC3 Prod'!$A$6:$BP$36,[2]Consolidated!X$1)</f>
        <v>37.549999999999997</v>
      </c>
      <c r="Y64" s="36">
        <f>VLOOKUP($B64&amp;$C64,'[1]FC3 Prod'!$A$6:$BP$36,[2]Consolidated!Y$1)</f>
        <v>0.96990679094540622</v>
      </c>
      <c r="Z64" s="37" t="str">
        <f>VLOOKUP($B64&amp;$C64,'[1]FC3 Prod'!$A$6:$BP$36,[2]Consolidated!Z$1)</f>
        <v>60/15</v>
      </c>
      <c r="AA64" s="31">
        <f>VLOOKUP($B64&amp;$C64,'[1]FC3 Prod'!$A$6:$BP$36,[2]Consolidated!AA$1)</f>
        <v>59.341250000000002</v>
      </c>
      <c r="AB64" s="31">
        <f>VLOOKUP($B64&amp;$C64,'[1]FC3 Prod'!$A$6:$BP$36,[2]Consolidated!AB$1)</f>
        <v>14.775000000000002</v>
      </c>
      <c r="AC64" s="31" t="e">
        <f>VLOOKUP($B64&amp;$C64,'[1]FC3 Prod'!$A$6:$BP$36,[2]Consolidated!AC$1)</f>
        <v>#REF!</v>
      </c>
      <c r="AD64" s="38">
        <f>VLOOKUP($B64&amp;$C64,'[1]FC3 Prod'!$A$6:$BP$36,[2]Consolidated!AD$1)</f>
        <v>652.48480502471182</v>
      </c>
      <c r="AE64" s="38">
        <f>VLOOKUP($B64&amp;$C64,'[1]FC3 Prod'!$A$6:$BP$36,[2]Consolidated!AE$1)</f>
        <v>663.81151122185611</v>
      </c>
      <c r="AF64" s="39">
        <f>VLOOKUP($B64&amp;$C64,'[1]FC3 Prod'!$A$6:$BP$36,[2]Consolidated!AF$1)</f>
        <v>0.90946562346003668</v>
      </c>
      <c r="AG64" s="39">
        <f>VLOOKUP($B64&amp;$C64,'[1]FC3 Prod'!$A$6:$BP$36,[2]Consolidated!AG$1)</f>
        <v>0.89394728769877019</v>
      </c>
      <c r="AH64" s="34">
        <f>VLOOKUP($B64&amp;$C64,'[1]FC3 Prod'!$A$6:$BP$36,[2]Consolidated!AH$1)</f>
        <v>421.05422844590873</v>
      </c>
      <c r="AI64" s="33">
        <f>VLOOKUP($B64&amp;$C64,'[1]FC3 Prod'!$A$6:$BP$36,[2]Consolidated!AI$1)</f>
        <v>380.07412822624929</v>
      </c>
      <c r="AJ64" s="39">
        <f>VLOOKUP($B64&amp;$C64,'[1]FC3 Prod'!$A$6:$BP$36,[2]Consolidated!AJ$1)</f>
        <v>0.29640242185563676</v>
      </c>
      <c r="AK64" s="39">
        <f>VLOOKUP($B64&amp;$C64,'[1]FC3 Prod'!$A$6:$BP$36,[2]Consolidated!AK$1)</f>
        <v>0.46886397161356097</v>
      </c>
      <c r="AL64" s="40" t="str">
        <f>VLOOKUP($B64&amp;$C64,'[1]FC3 Prod'!$A$6:$BP$36,[2]Consolidated!AL$1)</f>
        <v>25/50</v>
      </c>
      <c r="AM64" s="41">
        <f>VLOOKUP($B64&amp;$C64,'[1]FC3 Prod'!$A$6:$BP$36,[2]Consolidated!AM$1)</f>
        <v>3.377265238879737E-2</v>
      </c>
      <c r="AN64" s="42">
        <f>VLOOKUP($B64&amp;$C64,'[1]FC3 Prod'!$A$6:$BP$36,[2]Consolidated!AN$1)</f>
        <v>143.1</v>
      </c>
      <c r="AO64" s="43">
        <f>VLOOKUP($B64&amp;$C64,'[1]FC3 Prod'!$A$6:$BP$36,[2]Consolidated!AO$1)</f>
        <v>5.6970000000000001</v>
      </c>
      <c r="AP64" s="44">
        <f>VLOOKUP($B64&amp;$C64,'[1]FC3 Prod'!$A$6:$BP$36,[2]Consolidated!AP$1)</f>
        <v>4.0855848434925859</v>
      </c>
      <c r="AQ64" s="44">
        <f>VLOOKUP($B64&amp;$C64,'[1]FC3 Prod'!$A$6:$BP$36,[2]Consolidated!AQ$1)</f>
        <v>29.158996078566172</v>
      </c>
      <c r="AR64" s="45">
        <f>VLOOKUP($B64&amp;$C64,'[1]FC3 Prod'!$A$6:$BP$36,[2]Consolidated!AR$1)</f>
        <v>0.97745901639344268</v>
      </c>
      <c r="AS64" s="46">
        <f>VLOOKUP($B64&amp;$C64,'[1]FC3 Prod'!$A$6:$BP$36,[2]Consolidated!AS$1)</f>
        <v>2.0749999999999997</v>
      </c>
      <c r="AT64" s="29">
        <f>VLOOKUP($B64&amp;$C64,'[1]FC3 Prod'!$A$6:$BP$36,[2]Consolidated!AT$1)</f>
        <v>0.79113052859854349</v>
      </c>
      <c r="AU64" s="34">
        <f>VLOOKUP($B64&amp;$C64,'[1]FC3 Prod'!$A$6:$BP$36,[2]Consolidated!AU$1)</f>
        <v>591.34606481481489</v>
      </c>
      <c r="AV64" s="34">
        <f>VLOOKUP($B64&amp;$C64,'[1]FC3 Prod'!$A$6:$BP$36,[2]Consolidated!AV$1)</f>
        <v>241.66666666666666</v>
      </c>
      <c r="AW64" s="47">
        <f>VLOOKUP($B64&amp;$C64,'[1]FC3 Prod'!$A$6:$BP$36,[2]Consolidated!AW$1)</f>
        <v>25373.149368478855</v>
      </c>
      <c r="AX64" s="47">
        <f>VLOOKUP($B64&amp;$C64,'[1]FC3 Prod'!$A$6:$BP$36,[2]Consolidated!AX$1)</f>
        <v>9065.4865458539261</v>
      </c>
      <c r="AY64" s="48">
        <f>VLOOKUP($B64&amp;$C64,'[1]FC3 Prod'!$A$6:$BP$36,[2]Consolidated!AY$1)</f>
        <v>2020.9225700164743</v>
      </c>
      <c r="AZ64" s="47">
        <f>VLOOKUP($B64&amp;$C64,'[1]FC3 Prod'!$A$6:$BP$36,[2]Consolidated!AZ$1)</f>
        <v>2172.2226798462384</v>
      </c>
      <c r="BA64" s="47">
        <f>VLOOKUP($B64&amp;$C64,'[1]FC3 Prod'!$A$6:$BP$36,[2]Consolidated!BA$1)</f>
        <v>23900.671334431627</v>
      </c>
      <c r="BB64" s="47">
        <f>VLOOKUP($B64&amp;$C64,'[1]FC3 Prod'!$A$6:$BP$36,[2]Consolidated!BB$1)</f>
        <v>625.32452498627117</v>
      </c>
      <c r="BC64" s="47">
        <f>VLOOKUP($B64&amp;$C64,'[1]FC3 Prod'!$A$6:$BP$36,[2]Consolidated!BC$1)</f>
        <v>7762.6112026359133</v>
      </c>
      <c r="BD64" s="49">
        <f>VLOOKUP($B64&amp;$C64,'[1]FC3 Prod'!$A$6:$BP$36,[2]Consolidated!BD$1)</f>
        <v>70920.388226249299</v>
      </c>
      <c r="BE64" s="47">
        <f>VLOOKUP($B64&amp;$C64,'[1]FC3 Prod'!$A$6:$BP$36,[2]Consolidated!BE$1)</f>
        <v>25771.0823723229</v>
      </c>
      <c r="BF64" s="47">
        <f>VLOOKUP($B64&amp;$C64,'[1]FC3 Prod'!$A$6:$BP$36,[2]Consolidated!BF$1)</f>
        <v>8588.6511257550792</v>
      </c>
      <c r="BG64" s="50">
        <f>VLOOKUP($B64&amp;$C64,'[1]FC3 Prod'!$A$6:$BP$36,[2]Consolidated!BG$1)</f>
        <v>1002.3887973640856</v>
      </c>
      <c r="BH64" s="50">
        <f>VLOOKUP($B64&amp;$C64,'[1]FC3 Prod'!$A$6:$BP$36,[2]Consolidated!BH$1)</f>
        <v>614.35016309719924</v>
      </c>
      <c r="BI64" s="50">
        <f>VLOOKUP($B64&amp;$C64,'[1]FC3 Prod'!$A$6:$BP$36,[2]Consolidated!BI$1)</f>
        <v>69811.977675453047</v>
      </c>
      <c r="BJ64" s="37" t="e">
        <f>VLOOKUP($B64&amp;$C64,'[1]FC3 Prod'!$A$6:$BP$36,[2]Consolidated!BJ$1)</f>
        <v>#REF!</v>
      </c>
      <c r="BK64" s="37" t="e">
        <f>VLOOKUP($B64&amp;$C64,'[1]FC3 Prod'!$A$6:$BP$36,[2]Consolidated!BK$1)</f>
        <v>#REF!</v>
      </c>
      <c r="BL64" s="37" t="e">
        <f>VLOOKUP($B64&amp;$C64,'[1]FC3 Prod'!$A$6:$BP$36,[2]Consolidated!BL$1)</f>
        <v>#REF!</v>
      </c>
      <c r="BM64" s="37" t="e">
        <f>VLOOKUP($B64&amp;$C64,'[1]FC3 Prod'!$A$6:$BP$36,[2]Consolidated!BM$1)</f>
        <v>#REF!</v>
      </c>
      <c r="BN64" s="37">
        <f>VLOOKUP($B64&amp;$C64,'[1]FC3 Prod'!$A$6:$BP$36,[2]Consolidated!BN$1)</f>
        <v>20</v>
      </c>
      <c r="BO64" s="37">
        <f>VLOOKUP($B64&amp;$C64,'[1]FC3 Prod'!$A$6:$BP$36,[2]Consolidated!BO$1)</f>
        <v>20</v>
      </c>
      <c r="BP64" s="37" t="str">
        <f>VLOOKUP($B64&amp;$C64,'[1]FC3 Prod'!$A$6:$BP$36,[2]Consolidated!BP$1)</f>
        <v>Power Grids supply failure.</v>
      </c>
      <c r="BQ64" s="51" t="e">
        <f>VLOOKUP($B64&amp;$C64,'[1]FC3 Prod'!$A$6:$BP$36,[2]Consolidated!BQ$1)</f>
        <v>#REF!</v>
      </c>
      <c r="BR64" s="51">
        <f>VLOOKUP($B64&amp;$C64,'[1]FC3 Prod'!$A$6:$BQ$36,[2]Consolidated!BR$1)</f>
        <v>60369</v>
      </c>
      <c r="BS64" s="52">
        <f t="shared" si="75"/>
        <v>59262.793629873689</v>
      </c>
      <c r="BT64" s="32">
        <f t="shared" ref="BT64:BT65" si="77">BR64-BS64</f>
        <v>1106.2063701263105</v>
      </c>
      <c r="BU64" s="37">
        <f t="shared" ref="BU64:BU65" si="78">E64*BT64</f>
        <v>40288.036000000226</v>
      </c>
      <c r="BV64" s="53" t="s">
        <v>132</v>
      </c>
      <c r="BW64" s="54" cm="1">
        <f t="array" ref="BW64">IFERROR(VLOOKUP($A64,TRANSPOSE('[1]Fur 3 PLC'!$AS$1:$BX$38),8,0),0)</f>
        <v>849.78034047226799</v>
      </c>
      <c r="BX64" s="54" cm="1">
        <f t="array" ref="BX64">IFERROR(VLOOKUP($A64,TRANSPOSE('[1]Fur 3 PLC'!$AS$1:$BX$38),30,0),0)</f>
        <v>0</v>
      </c>
      <c r="BY64" s="54" cm="1">
        <f t="array" ref="BY64">IFERROR(VLOOKUP($A64,TRANSPOSE('[1]Fur 3 PLC'!$AS$1:$BX$38),14,0),0)</f>
        <v>0</v>
      </c>
      <c r="BZ64" s="54" cm="1">
        <f t="array" ref="BZ64">IFERROR(VLOOKUP($A64,TRANSPOSE('[1]Fur 3 PLC'!$AS$1:$BX$38),16,0),0)</f>
        <v>0</v>
      </c>
      <c r="CA64" s="54" cm="1">
        <f t="array" ref="CA64">IFERROR(VLOOKUP($A64,TRANSPOSE('[1]Fur 3 PLC'!$AS$1:$BX$38),9,0),0)</f>
        <v>401.29049972542555</v>
      </c>
      <c r="CB64" s="54" cm="1">
        <f t="array" ref="CB64">IFERROR(VLOOKUP($A64,TRANSPOSE('[1]Fur 3 PLC'!$AS$1:$BX$38),17,0),0)</f>
        <v>0</v>
      </c>
      <c r="CC64" s="54" cm="1">
        <f t="array" ref="CC64">IFERROR(VLOOKUP($A64,TRANSPOSE('[1]Fur 3 PLC'!$AS$1:$BX$38),20,0),0)</f>
        <v>74.354750137287212</v>
      </c>
      <c r="CD64" s="54" cm="1">
        <f t="array" ref="CD64">IFERROR(VLOOKUP($A64,TRANSPOSE('[1]Fur 3 PLC'!$AS$1:$BX$38),28,0),0)</f>
        <v>0</v>
      </c>
      <c r="CE64" s="54" cm="1">
        <f t="array" ref="CE64">IFERROR(VLOOKUP($A64,TRANSPOSE('[1]Fur 3 PLC'!$AS$1:$BX$38),13,0),0)</f>
        <v>0</v>
      </c>
      <c r="CF64" s="54" cm="1">
        <f t="array" ref="CF64">IFERROR(VLOOKUP($A64,TRANSPOSE('[1]Fur 3 PLC'!$AS$1:$BX$38),37,0),0)</f>
        <v>365.12904997254253</v>
      </c>
      <c r="CG64" s="54" cm="1">
        <f t="array" ref="CG64">IFERROR(VLOOKUP($A64,TRANSPOSE('[1]Fur 3 PLC'!$AS$1:$BX$38),6,0),0)</f>
        <v>0</v>
      </c>
      <c r="CH64" s="54" cm="1">
        <f t="array" ref="CH64">IFERROR(VLOOKUP($A64,TRANSPOSE('[1]Fur 3 PLC'!$AS$1:$BX$38),21,0),0)</f>
        <v>0</v>
      </c>
      <c r="CI64" s="54" cm="1">
        <f t="array" ref="CI64">IFERROR(VLOOKUP($A64,TRANSPOSE('[1]Fur 3 PLC'!$AS$1:$BX$38),12,0),0)</f>
        <v>0</v>
      </c>
      <c r="CJ64" s="54" cm="1">
        <f t="array" ref="CJ64">IFERROR(VLOOKUP($A64,TRANSPOSE('[1]Fur 3 PLC'!$AS$1:$BX$38),25,0),0)</f>
        <v>0</v>
      </c>
      <c r="CK64" s="54" cm="1">
        <f t="array" ref="CK64">IFERROR(VLOOKUP($A64,TRANSPOSE('[1]Fur 3 PLC'!$AS$1:$BX$38),26,0),0)</f>
        <v>411.33992311916529</v>
      </c>
      <c r="CL64" s="54" cm="1">
        <f t="array" ref="CL64">IFERROR(VLOOKUP($A64,TRANSPOSE('[1]Fur 3 PLC'!$AS$1:$BX$38),27,0),0)</f>
        <v>130.91707852828117</v>
      </c>
      <c r="CM64" s="54" cm="1">
        <f t="array" ref="CM64">IFERROR(VLOOKUP($A64,TRANSPOSE('[1]Fur 3 PLC'!$AS$1:$BX$38),22,0),0)</f>
        <v>0</v>
      </c>
      <c r="CN64" s="54"/>
      <c r="CO64" s="54" cm="1">
        <f t="array" ref="CO64">IFERROR(VLOOKUP($A64,TRANSPOSE('[1]Fur 3 PLC'!$AS$1:$BX$38),29,0),0)</f>
        <v>112.10873146622735</v>
      </c>
      <c r="CP64" s="54" cm="1">
        <f t="array" ref="CP64">IFERROR(VLOOKUP($A64,TRANSPOSE('[1]Fur 3 PLC'!$AS$1:$BX$38),10,0),0)</f>
        <v>0</v>
      </c>
      <c r="CQ64" s="54" cm="1">
        <f t="array" ref="CQ64">IFERROR(VLOOKUP($A64,TRANSPOSE('[1]Fur 3 PLC'!$AS$1:$BX$38),7,0),0)</f>
        <v>224.73915431081824</v>
      </c>
      <c r="CR64" s="54" cm="1">
        <f t="array" ref="CR64">IFERROR(VLOOKUP($A64,TRANSPOSE('[1]Fur 3 PLC'!$AS$1:$BX$38),35,0),0)</f>
        <v>6.8918176825919817</v>
      </c>
      <c r="CS64" s="54" cm="1">
        <f t="array" ref="CS64">IFERROR(VLOOKUP($A64,TRANSPOSE('[1]Fur 3 PLC'!$AS$1:$BX$38),11,0),0)</f>
        <v>0</v>
      </c>
      <c r="CT64" s="54" cm="1">
        <f t="array" ref="CT64">IFERROR(VLOOKUP($A64,TRANSPOSE('[1]Fur 3 PLC'!$AS$1:$BX$38),19,0),0)</f>
        <v>0</v>
      </c>
      <c r="CU64" s="54" cm="1">
        <f t="array" ref="CU64">IFERROR(VLOOKUP($A64,TRANSPOSE('[1]Fur 3 PLC'!$AS$1:$BX$38),18,0),0)</f>
        <v>362.41076331685883</v>
      </c>
      <c r="CV64" s="54" cm="1">
        <f t="array" ref="CV64">IFERROR(VLOOKUP($A64,TRANSPOSE('[1]Fur 3 PLC'!$AR$1:$BV$38),15,0),0)</f>
        <v>363.94838001098299</v>
      </c>
      <c r="CW64" s="54" cm="1">
        <f t="array" ref="CW64">IFERROR(VLOOKUP($A64,TRANSPOSE('[1]Fur 3 PLC'!$CK$1:$DO$38),8,0),0)</f>
        <v>455.13235294117646</v>
      </c>
      <c r="CX64" s="54" cm="1">
        <f t="array" ref="CX64">IFERROR(VLOOKUP($A64,TRANSPOSE('[1]Fur 3 PLC'!$CK$1:$DO$38),30,0),0)</f>
        <v>0</v>
      </c>
      <c r="CY64" s="54" cm="1">
        <f t="array" ref="CY64">IFERROR(VLOOKUP($A64,TRANSPOSE('[1]Fur 3 PLC'!$CK$1:$DO$38),14,0),0)</f>
        <v>0</v>
      </c>
      <c r="CZ64" s="54" cm="1">
        <f t="array" ref="CZ64">IFERROR(VLOOKUP($A64,TRANSPOSE('[1]Fur 3 PLC'!$CK$1:$DO$38),16,0),0)</f>
        <v>0</v>
      </c>
      <c r="DA64" s="54" cm="1">
        <f t="array" ref="DA64">IFERROR(VLOOKUP($A64,TRANSPOSE('[1]Fur 3 PLC'!$CK$1:$DO$38),9,0),0)</f>
        <v>214.9264705882353</v>
      </c>
      <c r="DB64" s="55" cm="1">
        <f t="array" ref="DB64">IFERROR(VLOOKUP($A64,TRANSPOSE('[1]Fur 3 PLC'!$CK$1:$DO$38),17,0),0)</f>
        <v>0</v>
      </c>
      <c r="DC64" s="55" cm="1">
        <f t="array" ref="DC64">IFERROR(VLOOKUP($A64,TRANSPOSE('[1]Fur 3 PLC'!$CK$1:$DO$38),20,0),0)</f>
        <v>39.82352941176471</v>
      </c>
      <c r="DD64" s="54" cm="1">
        <f t="array" ref="DD64">IFERROR(VLOOKUP($A64,TRANSPOSE('[1]Fur 3 PLC'!$CK$1:$DO$38),28,0),0)</f>
        <v>0</v>
      </c>
      <c r="DE64" s="54" cm="1">
        <f t="array" ref="DE64">IFERROR(VLOOKUP($A64,TRANSPOSE('[1]Fur 3 PLC'!$CK$1:$DO$38),13,0),0)</f>
        <v>0</v>
      </c>
      <c r="DF64" s="54" cm="1">
        <f t="array" ref="DF64">IFERROR(VLOOKUP($A64,TRANSPOSE('[1]Fur 3 PLC'!$CK$1:$DO$38),37,0),0)</f>
        <v>195.55882352941177</v>
      </c>
      <c r="DG64" s="54" cm="1">
        <f t="array" ref="DG64">IFERROR(VLOOKUP($A64,TRANSPOSE('[1]Fur 3 PLC'!$CK$1:$DO$38),6,0),0)</f>
        <v>0</v>
      </c>
      <c r="DH64" s="54" cm="1">
        <f t="array" ref="DH64">IFERROR(VLOOKUP($A64,TRANSPOSE('[1]Fur 3 PLC'!$CK$1:$DO$38),21,0),0)</f>
        <v>0</v>
      </c>
      <c r="DI64" s="54" cm="1">
        <f t="array" ref="DI64">IFERROR(VLOOKUP($A64,TRANSPOSE('[1]Fur 3 PLC'!$CK$1:$DO$38),12,0),0)</f>
        <v>0</v>
      </c>
      <c r="DJ64" s="54" cm="1">
        <f t="array" ref="DJ64">IFERROR(VLOOKUP($A64,TRANSPOSE('[1]Fur 3 PLC'!$CK$1:$DO$38),25,0),0)</f>
        <v>0</v>
      </c>
      <c r="DK64" s="54" cm="1">
        <f t="array" ref="DK64">IFERROR(VLOOKUP($A64,TRANSPOSE('[1]Fur 3 PLC'!$CK$1:$DO$38),26,0),0)</f>
        <v>220.30882352941174</v>
      </c>
      <c r="DL64" s="54" cm="1">
        <f t="array" ref="DL64">IFERROR(VLOOKUP($A64,TRANSPOSE('[1]Fur 3 PLC'!$CK$1:$DO$38),27,0),0)</f>
        <v>70.117647058823522</v>
      </c>
      <c r="DM64" s="54" cm="1">
        <f t="array" ref="DM64">IFERROR(VLOOKUP($A64,TRANSPOSE('[1]Fur 3 PLC'!$CK$1:$DO$38),22,0),0)</f>
        <v>0</v>
      </c>
      <c r="DN64" s="54" cm="1">
        <f t="array" ref="DN64">IFERROR(VLOOKUP($A64,TRANSPOSE('[1]Fur 3 PLC'!$CK$1:$DO$38),19,0),0)</f>
        <v>0</v>
      </c>
      <c r="DO64" s="54" cm="1">
        <f t="array" ref="DO64">IFERROR(VLOOKUP($A64,TRANSPOSE('[1]Fur 3 PLC'!$CK$1:$DO$38),29,0),0)</f>
        <v>60.044117647058826</v>
      </c>
      <c r="DP64" s="54" cm="1">
        <f t="array" ref="DP64">IFERROR(VLOOKUP($A64,TRANSPOSE('[1]Fur 3 PLC'!$CK$1:$DO$38),10,0),0)</f>
        <v>0</v>
      </c>
      <c r="DQ64" s="54" cm="1">
        <f t="array" ref="DQ64">IFERROR(VLOOKUP($A64,TRANSPOSE('[1]Fur 3 PLC'!$CK$1:$DO$38),7,0),0)</f>
        <v>120.36764705882354</v>
      </c>
      <c r="DR64" s="54" cm="1">
        <f t="array" ref="DR64">IFERROR(VLOOKUP($A64,TRANSPOSE('[1]Fur 3 PLC'!$CK$1:$DO$38),35,0),0)</f>
        <v>3.6911764705882355</v>
      </c>
      <c r="DS64" s="54" cm="1">
        <f t="array" ref="DS64">IFERROR(VLOOKUP($A64,TRANSPOSE('[1]Fur 3 PLC'!$CK$1:$DO$38),11,0),0)</f>
        <v>0</v>
      </c>
      <c r="DT64" s="54" cm="1">
        <f t="array" ref="DT64">IFERROR(VLOOKUP($A64,TRANSPOSE('[1]Fur 3 PLC'!$CK$1:$DO$38),19,0),0)</f>
        <v>0</v>
      </c>
      <c r="DU64" s="54" cm="1">
        <f t="array" ref="DU64">IFERROR(VLOOKUP($A64,TRANSPOSE('[1]Fur 3 PLC'!$CK$1:$DO$38),18,0),0)</f>
        <v>194.10294117647058</v>
      </c>
      <c r="DV64" s="54" cm="1">
        <f t="array" ref="DV64">IFERROR(VLOOKUP($A64,TRANSPOSE('[1]Fur 3 PLC'!$CK$1:$DO$38),15,0),0)</f>
        <v>194.9264705882353</v>
      </c>
      <c r="DW64" t="str">
        <f t="shared" si="76"/>
        <v>Dec-25</v>
      </c>
    </row>
    <row r="65" spans="1:127" x14ac:dyDescent="0.3">
      <c r="A65" s="28" t="str">
        <f t="shared" si="59"/>
        <v>F446007</v>
      </c>
      <c r="B65" s="29" t="s">
        <v>29</v>
      </c>
      <c r="C65" s="30">
        <f>C64</f>
        <v>46007</v>
      </c>
      <c r="D65" s="29" t="str">
        <f>VLOOKUP($B65&amp;$C65,'[1]FC4 Prod'!$A$6:$BP$36,[2]Consolidated!D$1)</f>
        <v>Mr.Ganesh Ghosh Ji</v>
      </c>
      <c r="E65" s="29">
        <f>VLOOKUP($B65&amp;$C65,'[1]FC4 Prod'!$A$6:$BP$36,[2]Consolidated!E$1)</f>
        <v>52.41</v>
      </c>
      <c r="F65" s="31">
        <f>VLOOKUP($B65&amp;$C65,'[1]FC4 Prod'!$A$6:$BP$36,[2]Consolidated!F$1)</f>
        <v>0</v>
      </c>
      <c r="G65" s="32">
        <f>VLOOKUP($B65&amp;$C65,'[1]FC4 Prod'!$A$6:$BP$36,[2]Consolidated!G$1)</f>
        <v>52.41</v>
      </c>
      <c r="H65" s="32">
        <f>VLOOKUP($B65&amp;$C65,'[1]FC4 Prod'!$A$6:$BP$36,[2]Consolidated!H$1)</f>
        <v>21.652999999999999</v>
      </c>
      <c r="I65" s="32">
        <f>VLOOKUP($B65&amp;$C65,'[1]FC4 Prod'!$A$6:$BP$36,[2]Consolidated!I$1)</f>
        <v>9.92</v>
      </c>
      <c r="J65" s="32">
        <f>VLOOKUP($B65&amp;$C65,'[1]FC4 Prod'!$A$6:$BP$36,[2]Consolidated!J$1)</f>
        <v>40.520000000000003</v>
      </c>
      <c r="K65" s="32">
        <f>VLOOKUP($B65&amp;$C65,'[1]FC4 Prod'!$A$6:$BP$36,[2]Consolidated!K$1)</f>
        <v>1.42</v>
      </c>
      <c r="L65" s="32">
        <f>VLOOKUP($B65&amp;$C65,'[1]FC4 Prod'!$A$6:$BP$36,[2]Consolidated!L$1)</f>
        <v>22.1</v>
      </c>
      <c r="M65" s="32">
        <f>VLOOKUP($B65&amp;$C65,'[1]FC4 Prod'!$A$6:$BP$36,[2]Consolidated!M$1)</f>
        <v>4.42</v>
      </c>
      <c r="N65" s="32">
        <f>VLOOKUP($B65&amp;$C65,'[1]FC4 Prod'!$A$6:$BP$36,[2]Consolidated!N$1)</f>
        <v>18.21</v>
      </c>
      <c r="O65" s="32">
        <f>VLOOKUP($B65&amp;$C65,'[1]FC4 Prod'!$A$6:$BP$36,[2]Consolidated!O$1)</f>
        <v>0.65</v>
      </c>
      <c r="P65" s="33">
        <f>VLOOKUP($B65&amp;$C65,'[1]FC4 Prod'!$A$6:$BP$36,[2]Consolidated!P$1)</f>
        <v>8</v>
      </c>
      <c r="Q65" s="29">
        <f>VLOOKUP($B65&amp;$C65,'[1]FC4 Prod'!$A$6:$BP$36,[2]Consolidated!Q$1)</f>
        <v>95.3</v>
      </c>
      <c r="R65" s="29">
        <f>VLOOKUP($B65&amp;$C65,'[1]FC4 Prod'!$A$6:$BP$36,[2]Consolidated!R$1)</f>
        <v>30.951000000000001</v>
      </c>
      <c r="S65" s="34">
        <f>VLOOKUP($B65&amp;$C65,'[1]FC4 Prod'!$A$6:$BP$36,[2]Consolidated!S$1)</f>
        <v>40</v>
      </c>
      <c r="T65" s="34">
        <f>VLOOKUP($B65&amp;$C65,'[1]FC4 Prod'!$A$6:$BP$36,[2]Consolidated!T$1)</f>
        <v>28</v>
      </c>
      <c r="U65" s="34">
        <f>VLOOKUP($B65&amp;$C65,'[1]FC4 Prod'!$A$6:$BP$36,[2]Consolidated!U$1)</f>
        <v>26</v>
      </c>
      <c r="V65" s="34">
        <f>VLOOKUP($B65&amp;$C65,'[1]FC4 Prod'!$A$6:$BP$36,[2]Consolidated!V$1)</f>
        <v>94</v>
      </c>
      <c r="W65" s="35">
        <f>VLOOKUP($B65&amp;$C65,'[1]FC4 Prod'!$A$6:$BP$36,[2]Consolidated!W$1)</f>
        <v>1.8183552757107422</v>
      </c>
      <c r="X65" s="35">
        <f>VLOOKUP($B65&amp;$C65,'[1]FC4 Prod'!$A$6:$BP$36,[2]Consolidated!X$1)</f>
        <v>54.034999999999997</v>
      </c>
      <c r="Y65" s="36">
        <f>VLOOKUP($B65&amp;$C65,'[1]FC4 Prod'!$A$6:$BP$36,[2]Consolidated!Y$1)</f>
        <v>0.96992689923197928</v>
      </c>
      <c r="Z65" s="37" t="str">
        <f>VLOOKUP($B65&amp;$C65,'[1]FC4 Prod'!$A$6:$BP$36,[2]Consolidated!Z$1)</f>
        <v>40/8</v>
      </c>
      <c r="AA65" s="31">
        <f>VLOOKUP($B65&amp;$C65,'[1]FC4 Prod'!$A$6:$BP$36,[2]Consolidated!AA$1)</f>
        <v>37.114000000000004</v>
      </c>
      <c r="AB65" s="31">
        <f>VLOOKUP($B65&amp;$C65,'[1]FC4 Prod'!$A$6:$BP$36,[2]Consolidated!AB$1)</f>
        <v>6.3940000000000001</v>
      </c>
      <c r="AC65" s="31">
        <f>VLOOKUP($B65&amp;$C65,'[1]FC4 Prod'!$A$6:$BP$36,[2]Consolidated!AC$1)</f>
        <v>0</v>
      </c>
      <c r="AD65" s="38">
        <f>VLOOKUP($B65&amp;$C65,'[1]FC4 Prod'!$A$6:$BP$36,[2]Consolidated!AD$1)</f>
        <v>440.82856426254529</v>
      </c>
      <c r="AE65" s="38">
        <f>VLOOKUP($B65&amp;$C65,'[1]FC4 Prod'!$A$6:$BP$36,[2]Consolidated!AE$1)</f>
        <v>404.74674112383133</v>
      </c>
      <c r="AF65" s="39">
        <f>VLOOKUP($B65&amp;$C65,'[1]FC4 Prod'!$A$6:$BP$36,[2]Consolidated!AF$1)</f>
        <v>0.84191459013295555</v>
      </c>
      <c r="AG65" s="39">
        <f>VLOOKUP($B65&amp;$C65,'[1]FC4 Prod'!$A$6:$BP$36,[2]Consolidated!AG$1)</f>
        <v>0.91696847013389693</v>
      </c>
      <c r="AH65" s="34">
        <f>VLOOKUP($B65&amp;$C65,'[1]FC4 Prod'!$A$6:$BP$36,[2]Consolidated!AH$1)</f>
        <v>417.61128219805386</v>
      </c>
      <c r="AI65" s="33">
        <f>VLOOKUP($B65&amp;$C65,'[1]FC4 Prod'!$A$6:$BP$36,[2]Consolidated!AI$1)</f>
        <v>325.72930738408701</v>
      </c>
      <c r="AJ65" s="39">
        <f>VLOOKUP($B65&amp;$C65,'[1]FC4 Prod'!$A$6:$BP$36,[2]Consolidated!AJ$1)</f>
        <v>0.51152064889824944</v>
      </c>
      <c r="AK65" s="39">
        <f>VLOOKUP($B65&amp;$C65,'[1]FC4 Prod'!$A$6:$BP$36,[2]Consolidated!AK$1)</f>
        <v>0.62038161919270696</v>
      </c>
      <c r="AL65" s="40" t="str">
        <f>VLOOKUP($B65&amp;$C65,'[1]FC4 Prod'!$A$6:$BP$36,[2]Consolidated!AL$1)</f>
        <v>25/50</v>
      </c>
      <c r="AM65" s="41">
        <f>VLOOKUP($B65&amp;$C65,'[1]FC4 Prod'!$A$6:$BP$36,[2]Consolidated!AM$1)</f>
        <v>3.5680213699675639E-2</v>
      </c>
      <c r="AN65" s="42">
        <f>VLOOKUP($B65&amp;$C65,'[1]FC4 Prod'!$A$6:$BP$36,[2]Consolidated!AN$1)</f>
        <v>142.9</v>
      </c>
      <c r="AO65" s="43">
        <f>VLOOKUP($B65&amp;$C65,'[1]FC4 Prod'!$A$6:$BP$36,[2]Consolidated!AO$1)</f>
        <v>5.6970000000000001</v>
      </c>
      <c r="AP65" s="44">
        <f>VLOOKUP($B65&amp;$C65,'[1]FC4 Prod'!$A$6:$BP$36,[2]Consolidated!AP$1)</f>
        <v>2.8352795268078617</v>
      </c>
      <c r="AQ65" s="44">
        <f>VLOOKUP($B65&amp;$C65,'[1]FC4 Prod'!$A$6:$BP$36,[2]Consolidated!AQ$1)</f>
        <v>20.539691027334257</v>
      </c>
      <c r="AR65" s="45">
        <f>VLOOKUP($B65&amp;$C65,'[1]FC4 Prod'!$A$6:$BP$36,[2]Consolidated!AR$1)</f>
        <v>0.97609289617486361</v>
      </c>
      <c r="AS65" s="46">
        <f>VLOOKUP($B65&amp;$C65,'[1]FC4 Prod'!$A$6:$BP$36,[2]Consolidated!AS$1)</f>
        <v>2.0833333333333335</v>
      </c>
      <c r="AT65" s="29">
        <f>VLOOKUP($B65&amp;$C65,'[1]FC4 Prod'!$A$6:$BP$36,[2]Consolidated!AT$1)</f>
        <v>0.78355619967894352</v>
      </c>
      <c r="AU65" s="34">
        <f>VLOOKUP($B65&amp;$C65,'[1]FC4 Prod'!$A$6:$BP$36,[2]Consolidated!AU$1)</f>
        <v>653.22685185185185</v>
      </c>
      <c r="AV65" s="34">
        <f>VLOOKUP($B65&amp;$C65,'[1]FC4 Prod'!$A$6:$BP$36,[2]Consolidated!AV$1)</f>
        <v>125</v>
      </c>
      <c r="AW65" s="47">
        <f>VLOOKUP($B65&amp;$C65,'[1]FC4 Prod'!$A$6:$BP$36,[2]Consolidated!AW$1)</f>
        <v>16447.485403548944</v>
      </c>
      <c r="AX65" s="47">
        <f>VLOOKUP($B65&amp;$C65,'[1]FC4 Prod'!$A$6:$BP$36,[2]Consolidated!AX$1)</f>
        <v>8764.1156267887818</v>
      </c>
      <c r="AY65" s="48">
        <f>VLOOKUP($B65&amp;$C65,'[1]FC4 Prod'!$A$6:$BP$36,[2]Consolidated!AY$1)</f>
        <v>428.16256439610765</v>
      </c>
      <c r="AZ65" s="47">
        <f>VLOOKUP($B65&amp;$C65,'[1]FC4 Prod'!$A$6:$BP$36,[2]Consolidated!AZ$1)</f>
        <v>829.65750810913948</v>
      </c>
      <c r="BA65" s="47">
        <f>VLOOKUP($B65&amp;$C65,'[1]FC4 Prod'!$A$6:$BP$36,[2]Consolidated!BA$1)</f>
        <v>16586.385231825992</v>
      </c>
      <c r="BB65" s="47">
        <f>VLOOKUP($B65&amp;$C65,'[1]FC4 Prod'!$A$6:$BP$36,[2]Consolidated!BB$1)</f>
        <v>430.55806334668966</v>
      </c>
      <c r="BC65" s="47">
        <f>VLOOKUP($B65&amp;$C65,'[1]FC4 Prod'!$A$6:$BP$36,[2]Consolidated!BC$1)</f>
        <v>5387.0311009349371</v>
      </c>
      <c r="BD65" s="49">
        <f>VLOOKUP($B65&amp;$C65,'[1]FC4 Prod'!$A$6:$BP$36,[2]Consolidated!BD$1)</f>
        <v>48873.395498950595</v>
      </c>
      <c r="BE65" s="47">
        <f>VLOOKUP($B65&amp;$C65,'[1]FC4 Prod'!$A$6:$BP$36,[2]Consolidated!BE$1)</f>
        <v>15204.88599503912</v>
      </c>
      <c r="BF65" s="47">
        <f>VLOOKUP($B65&amp;$C65,'[1]FC4 Prod'!$A$6:$BP$36,[2]Consolidated!BF$1)</f>
        <v>6800.3099408509834</v>
      </c>
      <c r="BG65" s="50">
        <f>VLOOKUP($B65&amp;$C65,'[1]FC4 Prod'!$A$6:$BP$36,[2]Consolidated!BG$1)</f>
        <v>418.50028620492282</v>
      </c>
      <c r="BH65" s="50">
        <f>VLOOKUP($B65&amp;$C65,'[1]FC4 Prod'!$A$6:$BP$36,[2]Consolidated!BH$1)</f>
        <v>398.39738962030157</v>
      </c>
      <c r="BI65" s="50">
        <f>VLOOKUP($B65&amp;$C65,'[1]FC4 Prod'!$A$6:$BP$36,[2]Consolidated!BI$1)</f>
        <v>45625.167452585403</v>
      </c>
      <c r="BJ65" s="37" t="e">
        <f>VLOOKUP($B65&amp;$C65,'[1]FC4 Prod'!$A$6:$BP$36,[2]Consolidated!BJ$1)</f>
        <v>#REF!</v>
      </c>
      <c r="BK65" s="37" t="e">
        <f>VLOOKUP($B65&amp;$C65,'[1]FC4 Prod'!$A$6:$BP$36,[2]Consolidated!BK$1)</f>
        <v>#REF!</v>
      </c>
      <c r="BL65" s="37" t="e">
        <f>VLOOKUP($B65&amp;$C65,'[1]FC4 Prod'!$A$6:$BP$36,[2]Consolidated!BL$1)</f>
        <v>#REF!</v>
      </c>
      <c r="BM65" s="37" t="e">
        <f>VLOOKUP($B65&amp;$C65,'[1]FC4 Prod'!$A$6:$BP$36,[2]Consolidated!BM$1)</f>
        <v>#REF!</v>
      </c>
      <c r="BN65" s="37">
        <f>VLOOKUP($B65&amp;$C65,'[1]FC4 Prod'!$A$6:$BP$36,[2]Consolidated!BN$1)</f>
        <v>20</v>
      </c>
      <c r="BO65" s="37">
        <f>VLOOKUP($B65&amp;$C65,'[1]FC4 Prod'!$A$6:$BP$36,[2]Consolidated!BO$1)</f>
        <v>20</v>
      </c>
      <c r="BP65" s="37" t="str">
        <f>VLOOKUP($B65&amp;$C65,'[1]FC4 Prod'!$A$6:$BP$36,[2]Consolidated!BP$1)</f>
        <v>Power Grids supply failure.</v>
      </c>
      <c r="BQ65" s="51" t="e">
        <f>VLOOKUP($B65&amp;$C65,'[1]FC4 Prod'!$A$6:$BP$36,[2]Consolidated!BQ$1)</f>
        <v>#REF!</v>
      </c>
      <c r="BR65" s="51">
        <f>VLOOKUP($B65&amp;$C65,'[1]FC4 Prod'!$A$6:$BQ$36,[2]Consolidated!BR$1)</f>
        <v>41644</v>
      </c>
      <c r="BS65" s="52">
        <f t="shared" ref="BS65" si="79">BE65+BF65*110%+BG65+BA65</f>
        <v>39690.112448006112</v>
      </c>
      <c r="BT65" s="32">
        <f t="shared" si="77"/>
        <v>1953.8875519938883</v>
      </c>
      <c r="BU65" s="37">
        <f t="shared" si="78"/>
        <v>102403.24659999968</v>
      </c>
      <c r="BV65" s="53" t="s">
        <v>132</v>
      </c>
      <c r="BW65" s="54" cm="1">
        <f t="array" ref="BW65">IFERROR(VLOOKUP($A65,TRANSPOSE('[1]Fur 4 PLC'!$AR$1:$BV$39),8,0),0)</f>
        <v>0</v>
      </c>
      <c r="BX65" s="54" cm="1">
        <f t="array" ref="BX65">IFERROR(VLOOKUP($A65,TRANSPOSE('[1]Fur 4 PLC'!$AR$1:$BV$39),30,0),0)</f>
        <v>0</v>
      </c>
      <c r="BY65" s="54" cm="1">
        <f t="array" ref="BY65">IFERROR(VLOOKUP($A65,TRANSPOSE('[1]Fur 4 PLC'!$AR$1:$BV$39),14,0),0)</f>
        <v>0</v>
      </c>
      <c r="BZ65" s="54" cm="1">
        <f t="array" ref="BZ65">IFERROR(VLOOKUP($A65,TRANSPOSE('[1]Fur 4 PLC'!$AR$1:$BV$39),16,0),0)</f>
        <v>0</v>
      </c>
      <c r="CA65" s="54" cm="1">
        <f t="array" ref="CA65">IFERROR(VLOOKUP($A65,TRANSPOSE('[1]Fur 4 PLC'!$AR$1:$BV$39),9,0),0)</f>
        <v>0</v>
      </c>
      <c r="CB65" s="54" cm="1">
        <f t="array" ref="CB65">IFERROR(VLOOKUP($A65,TRANSPOSE('[1]Fur 4 PLC'!$AR$1:$BV$39),17,0),0)</f>
        <v>0</v>
      </c>
      <c r="CC65" s="54" cm="1">
        <f t="array" ref="CC65">IFERROR(VLOOKUP($A65,TRANSPOSE('[1]Fur 4 PLC'!$AR$1:$BV$39),20,0),0)</f>
        <v>682.36977676016033</v>
      </c>
      <c r="CD65" s="54" cm="1">
        <f t="array" ref="CD65">IFERROR(VLOOKUP($A65,TRANSPOSE('[1]Fur 4 PLC'!$AR$1:$BV$39),28,0),0)</f>
        <v>0</v>
      </c>
      <c r="CE65" s="54" cm="1">
        <f t="array" ref="CE65">IFERROR(VLOOKUP($A65,TRANSPOSE('[1]Fur 4 PLC'!$AR$1:$BV$39),13,0),0)</f>
        <v>90.249952299179569</v>
      </c>
      <c r="CF65" s="54" cm="1">
        <f t="array" ref="CF65">IFERROR(VLOOKUP($A65,TRANSPOSE('[1]Fur 4 PLC'!$AR$1:$BV$39),37,0),0)</f>
        <v>1.8317115054378938</v>
      </c>
      <c r="CG65" s="54" cm="1">
        <f t="array" ref="CG65">IFERROR(VLOOKUP($A65,TRANSPOSE('[1]Fur 4 PLC'!$AR$1:$BV$39),6,0),0)</f>
        <v>0</v>
      </c>
      <c r="CH65" s="54" cm="1">
        <f t="array" ref="CH65">IFERROR(VLOOKUP($A65,TRANSPOSE('[1]Fur 4 PLC'!$AR$1:$BV$39),21,0),0)</f>
        <v>664.07174203396301</v>
      </c>
      <c r="CI65" s="54" cm="1">
        <f t="array" ref="CI65">IFERROR(VLOOKUP($A65,TRANSPOSE('[1]Fur 4 PLC'!$AR$1:$BV$39),12,0),0)</f>
        <v>0</v>
      </c>
      <c r="CJ65" s="54" cm="1">
        <f t="array" ref="CJ65">IFERROR(VLOOKUP($A65,TRANSPOSE('[1]Fur 4 PLC'!$AR$1:$BV$39),25,0),0)</f>
        <v>107.32684602175158</v>
      </c>
      <c r="CK65" s="54" cm="1">
        <f t="array" ref="CK65">IFERROR(VLOOKUP($A65,TRANSPOSE('[1]Fur 4 PLC'!$AR$1:$BV$39),26,0),0)</f>
        <v>363.40393054760546</v>
      </c>
      <c r="CL65" s="54" cm="1">
        <f t="array" ref="CL65">IFERROR(VLOOKUP($A65,TRANSPOSE('[1]Fur 4 PLC'!$AR$1:$BV$39),27,0),0)</f>
        <v>0</v>
      </c>
      <c r="CM65" s="54" cm="1">
        <f t="array" ref="CM65">IFERROR(VLOOKUP($A65,TRANSPOSE('[1]Fur 4 PLC'!$AR$1:$BV$39),22,0),0)</f>
        <v>0</v>
      </c>
      <c r="CN65" s="54"/>
      <c r="CO65" s="54" cm="1">
        <f t="array" ref="CO65">IFERROR(VLOOKUP($A65,TRANSPOSE('[1]Fur 4 PLC'!$AR$1:$BV$39),29,0),0)</f>
        <v>119.82446098072889</v>
      </c>
      <c r="CP65" s="54" cm="1">
        <f t="array" ref="CP65">IFERROR(VLOOKUP($A65,TRANSPOSE('[1]Fur 4 PLC'!$AR$1:$BV$39),10,0),0)</f>
        <v>0</v>
      </c>
      <c r="CQ65" s="54" cm="1">
        <f t="array" ref="CQ65">IFERROR(VLOOKUP($A65,TRANSPOSE('[1]Fur 4 PLC'!$AR$1:$BV$39),7,0),0)</f>
        <v>152.20377790498</v>
      </c>
      <c r="CR65" s="54" cm="1">
        <f t="array" ref="CR65">IFERROR(VLOOKUP($A65,TRANSPOSE('[1]Fur 4 PLC'!$AR$1:$BV$39),36,0),0)</f>
        <v>173.95535203205498</v>
      </c>
      <c r="CS65" s="54" cm="1">
        <f t="array" ref="CS65">IFERROR(VLOOKUP($A65,TRANSPOSE('[1]Fur 4 PLC'!$AR$1:$BV$39),11,0),0)</f>
        <v>0</v>
      </c>
      <c r="CT65" s="54" cm="1">
        <f t="array" ref="CT65">IFERROR(VLOOKUP($A65,TRANSPOSE('[1]Fur 4 PLC'!$AR$1:$BV$39),19,0),0)</f>
        <v>91.051326082808643</v>
      </c>
      <c r="CU65" s="54" cm="1">
        <f t="array" ref="CU65">IFERROR(VLOOKUP($A65,TRANSPOSE('[1]Fur 4 PLC'!$AR$1:$BV$39),18,0),0)</f>
        <v>290.61247853463078</v>
      </c>
      <c r="CV65" s="54" cm="1">
        <f t="array" ref="CV65">IFERROR(VLOOKUP($A65,TRANSPOSE('[1]Fur 4 PLC'!$AR$1:$BV$38),15,0),0)</f>
        <v>0</v>
      </c>
      <c r="CW65" s="54" cm="1">
        <f t="array" ref="CW65">IFERROR(VLOOKUP($A65,TRANSPOSE('[1]Fur 4 PLC'!$CK$1:$DO$39),8,0),0)</f>
        <v>0</v>
      </c>
      <c r="CX65" s="54" cm="1">
        <f t="array" ref="CX65">IFERROR(VLOOKUP($A65,TRANSPOSE('[1]Fur 4 PLC'!$CK$1:$DO$39),30,0),0)</f>
        <v>0</v>
      </c>
      <c r="CY65" s="54" cm="1">
        <f t="array" ref="CY65">IFERROR(VLOOKUP($A65,TRANSPOSE('[1]Fur 4 PLC'!$CK$1:$DO$39),14,0),0)</f>
        <v>0</v>
      </c>
      <c r="CZ65" s="54" cm="1">
        <f t="array" ref="CZ65">IFERROR(VLOOKUP($A65,TRANSPOSE('[1]Fur 4 PLC'!$CK$1:$DO$39),16,0),0)</f>
        <v>0</v>
      </c>
      <c r="DA65" s="54" cm="1">
        <f t="array" ref="DA65">IFERROR(VLOOKUP($A65,TRANSPOSE('[1]Fur 4 PLC'!$CK$1:$DO$39),9,0),0)</f>
        <v>0</v>
      </c>
      <c r="DB65" s="55" cm="1">
        <f t="array" ref="DB65">IFERROR(VLOOKUP($A65,TRANSPOSE('[1]Fur 4 PLC'!$CK$1:$DO$39),17,0),0)</f>
        <v>0</v>
      </c>
      <c r="DC65" s="55" cm="1">
        <f t="array" ref="DC65">IFERROR(VLOOKUP($A65,TRANSPOSE('[1]Fur 4 PLC'!$CK$1:$DO$39),20,0),0)</f>
        <v>380.45744680851061</v>
      </c>
      <c r="DD65" s="54" cm="1">
        <f t="array" ref="DD65">IFERROR(VLOOKUP($A65,TRANSPOSE('[1]Fur 4 PLC'!$CK$1:$DO$39),28,0),0)</f>
        <v>0</v>
      </c>
      <c r="DE65" s="54" cm="1">
        <f t="array" ref="DE65">IFERROR(VLOOKUP($A65,TRANSPOSE('[1]Fur 4 PLC'!$CK$1:$DO$39),13,0),0)</f>
        <v>50.319148936170215</v>
      </c>
      <c r="DF65" s="54" cm="1">
        <f t="array" ref="DF65">IFERROR(VLOOKUP($A65,TRANSPOSE('[1]Fur 4 PLC'!$CK$1:$DO$39),37,0),0)</f>
        <v>1.0212765957446808</v>
      </c>
      <c r="DG65" s="54" cm="1">
        <f t="array" ref="DG65">IFERROR(VLOOKUP($A65,TRANSPOSE('[1]Fur 4 PLC'!$CK$1:$DO$39),6,0),0)</f>
        <v>0</v>
      </c>
      <c r="DH65" s="54" cm="1">
        <f t="array" ref="DH65">IFERROR(VLOOKUP($A65,TRANSPOSE('[1]Fur 4 PLC'!$CK$1:$DO$39),21,0),0)</f>
        <v>370.25531914893617</v>
      </c>
      <c r="DI65" s="54" cm="1">
        <f t="array" ref="DI65">IFERROR(VLOOKUP($A65,TRANSPOSE('[1]Fur 4 PLC'!$CK$1:$DO$39),12,0),0)</f>
        <v>0</v>
      </c>
      <c r="DJ65" s="54" cm="1">
        <f t="array" ref="DJ65">IFERROR(VLOOKUP($A65,TRANSPOSE('[1]Fur 4 PLC'!$CK$1:$DO$39),25,0),0)</f>
        <v>59.840425531914896</v>
      </c>
      <c r="DK65" s="54" cm="1">
        <f t="array" ref="DK65">IFERROR(VLOOKUP($A65,TRANSPOSE('[1]Fur 4 PLC'!$CK$1:$DO$39),26,0),0)</f>
        <v>202.61702127659572</v>
      </c>
      <c r="DL65" s="54" cm="1">
        <f t="array" ref="DL65">IFERROR(VLOOKUP($A65,TRANSPOSE('[1]Fur 4 PLC'!$CK$1:$DO$39),27,0),0)</f>
        <v>0</v>
      </c>
      <c r="DM65" s="54" cm="1">
        <f t="array" ref="DM65">IFERROR(VLOOKUP($A65,TRANSPOSE('[1]Fur 4 PLC'!$CK$1:$DO$39),22,0),0)</f>
        <v>0</v>
      </c>
      <c r="DN65" s="54" cm="1">
        <f t="array" ref="DN65">IFERROR(VLOOKUP($A65,TRANSPOSE('[1]Fur 4 PLC'!$CK$1:$DO$39),19,0),0)</f>
        <v>50.765957446808514</v>
      </c>
      <c r="DO65" s="54" cm="1">
        <f t="array" ref="DO65">IFERROR(VLOOKUP($A65,TRANSPOSE('[1]Fur 4 PLC'!$CK$1:$DO$39),29,0),0)</f>
        <v>66.808510638297875</v>
      </c>
      <c r="DP65" s="54" cm="1">
        <f t="array" ref="DP65">IFERROR(VLOOKUP($A65,TRANSPOSE('[1]Fur 4 PLC'!$CK$1:$DO$39),10,0),0)</f>
        <v>0</v>
      </c>
      <c r="DQ65" s="54" cm="1">
        <f t="array" ref="DQ65">IFERROR(VLOOKUP($A65,TRANSPOSE('[1]Fur 4 PLC'!$CK$1:$DO$39),7,0),0)</f>
        <v>84.861702127659569</v>
      </c>
      <c r="DR65" s="54" cm="1">
        <f t="array" ref="DR65">IFERROR(VLOOKUP($A65,TRANSPOSE('[1]Fur 4 PLC'!$CK$1:$DO$39),36,0),0)</f>
        <v>96.989361702127667</v>
      </c>
      <c r="DS65" s="54" cm="1">
        <f t="array" ref="DS65">IFERROR(VLOOKUP($A65,TRANSPOSE('[1]Fur 4 PLC'!$CK$1:$DO$39),11,0),0)</f>
        <v>0</v>
      </c>
      <c r="DT65" s="54" cm="1">
        <f t="array" ref="DT65">IFERROR(VLOOKUP($A65,TRANSPOSE('[1]Fur 4 PLC'!$CK$1:$DO$39),19,0),0)</f>
        <v>50.765957446808514</v>
      </c>
      <c r="DU65" s="54" cm="1">
        <f t="array" ref="DU65">IFERROR(VLOOKUP($A65,TRANSPOSE('[1]Fur 4 PLC'!$CK$1:$DO$39),18,0),0)</f>
        <v>162.031914893617</v>
      </c>
      <c r="DV65" s="54" cm="1">
        <f t="array" ref="DV65">IFERROR(VLOOKUP($A65,TRANSPOSE('[1]Fur 4 PLC'!$CK$1:$DO$39),15,0),0)</f>
        <v>0</v>
      </c>
      <c r="DW65" t="str">
        <f t="shared" si="76"/>
        <v>Dec-25</v>
      </c>
    </row>
    <row r="66" spans="1:127" x14ac:dyDescent="0.3">
      <c r="A66" s="28" t="str">
        <f t="shared" si="59"/>
        <v>F146008</v>
      </c>
      <c r="B66" s="29" t="s">
        <v>26</v>
      </c>
      <c r="C66" s="30">
        <f>C62+1</f>
        <v>46008</v>
      </c>
      <c r="D66" s="29" t="str">
        <f>VLOOKUP($B66&amp;$C66,'[1]FC1 Prod'!$A$6:$BP$36,[2]Consolidated!D$1)</f>
        <v>Raju Singh</v>
      </c>
      <c r="E66" s="29">
        <f>VLOOKUP($B66&amp;$C66,'[1]FC1 Prod'!$A$6:$BP$36,[2]Consolidated!E$1)</f>
        <v>20.09</v>
      </c>
      <c r="F66" s="31">
        <f>VLOOKUP($B66&amp;$C66,'[1]FC1 Prod'!$A$6:$BP$36,[2]Consolidated!F$1)</f>
        <v>0</v>
      </c>
      <c r="G66" s="32">
        <f>VLOOKUP($B66&amp;$C66,'[1]FC1 Prod'!$A$6:$BP$36,[2]Consolidated!G$1)</f>
        <v>20.09</v>
      </c>
      <c r="H66" s="32">
        <f>VLOOKUP($B66&amp;$C66,'[1]FC1 Prod'!$A$6:$BP$36,[2]Consolidated!H$1)</f>
        <v>20.6</v>
      </c>
      <c r="I66" s="32">
        <f>VLOOKUP($B66&amp;$C66,'[1]FC1 Prod'!$A$6:$BP$36,[2]Consolidated!I$1)</f>
        <v>0</v>
      </c>
      <c r="J66" s="32">
        <f>VLOOKUP($B66&amp;$C66,'[1]FC1 Prod'!$A$6:$BP$36,[2]Consolidated!J$1)</f>
        <v>39.56</v>
      </c>
      <c r="K66" s="32">
        <f>VLOOKUP($B66&amp;$C66,'[1]FC1 Prod'!$A$6:$BP$36,[2]Consolidated!K$1)</f>
        <v>1.28</v>
      </c>
      <c r="L66" s="32">
        <f>VLOOKUP($B66&amp;$C66,'[1]FC1 Prod'!$A$6:$BP$36,[2]Consolidated!L$1)</f>
        <v>28.32</v>
      </c>
      <c r="M66" s="32">
        <f>VLOOKUP($B66&amp;$C66,'[1]FC1 Prod'!$A$6:$BP$36,[2]Consolidated!M$1)</f>
        <v>5.0199999999999996</v>
      </c>
      <c r="N66" s="32">
        <f>VLOOKUP($B66&amp;$C66,'[1]FC1 Prod'!$A$6:$BP$36,[2]Consolidated!N$1)</f>
        <v>15.86</v>
      </c>
      <c r="O66" s="32">
        <f>VLOOKUP($B66&amp;$C66,'[1]FC1 Prod'!$A$6:$BP$36,[2]Consolidated!O$1)</f>
        <v>0.84</v>
      </c>
      <c r="P66" s="33">
        <f>VLOOKUP($B66&amp;$C66,'[1]FC1 Prod'!$A$6:$BP$36,[2]Consolidated!P$1)</f>
        <v>8</v>
      </c>
      <c r="Q66" s="29">
        <f>VLOOKUP($B66&amp;$C66,'[1]FC1 Prod'!$A$6:$BP$36,[2]Consolidated!Q$1)</f>
        <v>39.443000000000005</v>
      </c>
      <c r="R66" s="29">
        <f>VLOOKUP($B66&amp;$C66,'[1]FC1 Prod'!$A$6:$BP$36,[2]Consolidated!R$1)</f>
        <v>11.826000000000001</v>
      </c>
      <c r="S66" s="34">
        <f>VLOOKUP($B66&amp;$C66,'[1]FC1 Prod'!$A$6:$BP$36,[2]Consolidated!S$1)</f>
        <v>17</v>
      </c>
      <c r="T66" s="34">
        <f>VLOOKUP($B66&amp;$C66,'[1]FC1 Prod'!$A$6:$BP$36,[2]Consolidated!T$1)</f>
        <v>16</v>
      </c>
      <c r="U66" s="34">
        <f>VLOOKUP($B66&amp;$C66,'[1]FC1 Prod'!$A$6:$BP$36,[2]Consolidated!U$1)</f>
        <v>12</v>
      </c>
      <c r="V66" s="34">
        <f>VLOOKUP($B66&amp;$C66,'[1]FC1 Prod'!$A$6:$BP$36,[2]Consolidated!V$1)</f>
        <v>45</v>
      </c>
      <c r="W66" s="35">
        <f>VLOOKUP($B66&amp;$C66,'[1]FC1 Prod'!$A$6:$BP$36,[2]Consolidated!W$1)</f>
        <v>1.9633150821304135</v>
      </c>
      <c r="X66" s="35">
        <f>VLOOKUP($B66&amp;$C66,'[1]FC1 Prod'!$A$6:$BP$36,[2]Consolidated!X$1)</f>
        <v>20.715</v>
      </c>
      <c r="Y66" s="36">
        <f>VLOOKUP($B66&amp;$C66,'[1]FC1 Prod'!$A$6:$BP$36,[2]Consolidated!Y$1)</f>
        <v>0.96982862659908275</v>
      </c>
      <c r="Z66" s="37" t="str">
        <f>VLOOKUP($B66&amp;$C66,'[1]FC1 Prod'!$A$6:$BP$36,[2]Consolidated!Z$1)</f>
        <v>55/22</v>
      </c>
      <c r="AA66" s="31">
        <f>VLOOKUP($B66&amp;$C66,'[1]FC1 Prod'!$A$6:$BP$36,[2]Consolidated!AA$1)</f>
        <v>54.931250000000006</v>
      </c>
      <c r="AB66" s="31">
        <f>VLOOKUP($B66&amp;$C66,'[1]FC1 Prod'!$A$6:$BP$36,[2]Consolidated!AB$1)</f>
        <v>21.391249999999999</v>
      </c>
      <c r="AC66" s="31">
        <f>VLOOKUP($B66&amp;$C66,'[1]FC1 Prod'!$A$6:$BP$36,[2]Consolidated!AC$1)</f>
        <v>0.44374999999999998</v>
      </c>
      <c r="AD66" s="38">
        <f>VLOOKUP($B66&amp;$C66,'[1]FC1 Prod'!$A$6:$BP$36,[2]Consolidated!AD$1)</f>
        <v>686.75807332005991</v>
      </c>
      <c r="AE66" s="38">
        <f>VLOOKUP($B66&amp;$C66,'[1]FC1 Prod'!$A$6:$BP$36,[2]Consolidated!AE$1)</f>
        <v>624.52621837730226</v>
      </c>
      <c r="AF66" s="39">
        <f>VLOOKUP($B66&amp;$C66,'[1]FC1 Prod'!$A$6:$BP$36,[2]Consolidated!AF$1)</f>
        <v>0.79986318521805844</v>
      </c>
      <c r="AG66" s="39">
        <f>VLOOKUP($B66&amp;$C66,'[1]FC1 Prod'!$A$6:$BP$36,[2]Consolidated!AG$1)</f>
        <v>0.87956675610396484</v>
      </c>
      <c r="AH66" s="34">
        <f>VLOOKUP($B66&amp;$C66,'[1]FC1 Prod'!$A$6:$BP$36,[2]Consolidated!AH$1)</f>
        <v>582.34340268790436</v>
      </c>
      <c r="AI66" s="33">
        <f>VLOOKUP($B66&amp;$C66,'[1]FC1 Prod'!$A$6:$BP$36,[2]Consolidated!AI$1)</f>
        <v>432.82058138377295</v>
      </c>
      <c r="AJ66" s="39">
        <f>VLOOKUP($B66&amp;$C66,'[1]FC1 Prod'!$A$6:$BP$36,[2]Consolidated!AJ$1)</f>
        <v>1.1627205752309333</v>
      </c>
      <c r="AK66" s="39">
        <f>VLOOKUP($B66&amp;$C66,'[1]FC1 Prod'!$A$6:$BP$36,[2]Consolidated!AK$1)</f>
        <v>0.4981232421274272</v>
      </c>
      <c r="AL66" s="40" t="str">
        <f>VLOOKUP($B66&amp;$C66,'[1]FC1 Prod'!$A$6:$BP$36,[2]Consolidated!AL$1)</f>
        <v>10/70</v>
      </c>
      <c r="AM66" s="41">
        <f>VLOOKUP($B66&amp;$C66,'[1]FC1 Prod'!$A$6:$BP$36,[2]Consolidated!AM$1)</f>
        <v>2.4888003982080638E-2</v>
      </c>
      <c r="AN66" s="42">
        <f>VLOOKUP($B66&amp;$C66,'[1]FC1 Prod'!$A$6:$BP$36,[2]Consolidated!AN$1)</f>
        <v>102.4</v>
      </c>
      <c r="AO66" s="43">
        <f>VLOOKUP($B66&amp;$C66,'[1]FC1 Prod'!$A$6:$BP$36,[2]Consolidated!AO$1)</f>
        <v>3.55</v>
      </c>
      <c r="AP66" s="44">
        <f>VLOOKUP($B66&amp;$C66,'[1]FC1 Prod'!$A$6:$BP$36,[2]Consolidated!AP$1)</f>
        <v>5.2737680438028871</v>
      </c>
      <c r="AQ66" s="44">
        <f>VLOOKUP($B66&amp;$C66,'[1]FC1 Prod'!$A$6:$BP$36,[2]Consolidated!AQ$1)</f>
        <v>29.494656026704906</v>
      </c>
      <c r="AR66" s="45">
        <f>VLOOKUP($B66&amp;$C66,'[1]FC1 Prod'!$A$6:$BP$36,[2]Consolidated!AR$1)</f>
        <v>0.96969696969696972</v>
      </c>
      <c r="AS66" s="46">
        <f>VLOOKUP($B66&amp;$C66,'[1]FC1 Prod'!$A$6:$BP$36,[2]Consolidated!AS$1)</f>
        <v>2.0966666666666667</v>
      </c>
      <c r="AT66" s="29">
        <f>VLOOKUP($B66&amp;$C66,'[1]FC1 Prod'!$A$6:$BP$36,[2]Consolidated!AT$1)</f>
        <v>0.78259469694148664</v>
      </c>
      <c r="AU66" s="34">
        <f>VLOOKUP($B66&amp;$C66,'[1]FC1 Prod'!$A$6:$BP$36,[2]Consolidated!AU$1)</f>
        <v>450.92592592592592</v>
      </c>
      <c r="AV66" s="34">
        <f>VLOOKUP($B66&amp;$C66,'[1]FC1 Prod'!$A$6:$BP$36,[2]Consolidated!AV$1)</f>
        <v>175</v>
      </c>
      <c r="AW66" s="47">
        <f>VLOOKUP($B66&amp;$C66,'[1]FC1 Prod'!$A$6:$BP$36,[2]Consolidated!AW$1)</f>
        <v>26387.039820806371</v>
      </c>
      <c r="AX66" s="47">
        <f>VLOOKUP($B66&amp;$C66,'[1]FC1 Prod'!$A$6:$BP$36,[2]Consolidated!AX$1)</f>
        <v>17800.099552015927</v>
      </c>
      <c r="AY66" s="48">
        <f>VLOOKUP($B66&amp;$C66,'[1]FC1 Prod'!$A$6:$BP$36,[2]Consolidated!AY$1)</f>
        <v>1505.2264808362368</v>
      </c>
      <c r="AZ66" s="47">
        <f>VLOOKUP($B66&amp;$C66,'[1]FC1 Prod'!$A$6:$BP$36,[2]Consolidated!AZ$1)</f>
        <v>1885.990542558487</v>
      </c>
      <c r="BA66" s="47">
        <f>VLOOKUP($B66&amp;$C66,'[1]FC1 Prod'!$A$6:$BP$36,[2]Consolidated!BA$1)</f>
        <v>30851.54305624689</v>
      </c>
      <c r="BB66" s="47">
        <f>VLOOKUP($B66&amp;$C66,'[1]FC1 Prod'!$A$6:$BP$36,[2]Consolidated!BB$1)</f>
        <v>784.29899452463917</v>
      </c>
      <c r="BC66" s="47">
        <f>VLOOKUP($B66&amp;$C66,'[1]FC1 Prod'!$A$6:$BP$36,[2]Consolidated!BC$1)</f>
        <v>10020.159283225485</v>
      </c>
      <c r="BD66" s="49">
        <f>VLOOKUP($B66&amp;$C66,'[1]FC1 Prod'!$A$6:$BP$36,[2]Consolidated!BD$1)</f>
        <v>89234.357730214033</v>
      </c>
      <c r="BE66" s="47">
        <f>VLOOKUP($B66&amp;$C66,'[1]FC1 Prod'!$A$6:$BP$36,[2]Consolidated!BE$1)</f>
        <v>24660.499402687903</v>
      </c>
      <c r="BF66" s="47">
        <f>VLOOKUP($B66&amp;$C66,'[1]FC1 Prod'!$A$6:$BP$36,[2]Consolidated!BF$1)</f>
        <v>13252.663016426082</v>
      </c>
      <c r="BG66" s="50">
        <f>VLOOKUP($B66&amp;$C66,'[1]FC1 Prod'!$A$6:$BP$36,[2]Consolidated!BG$1)</f>
        <v>1774.0915878546541</v>
      </c>
      <c r="BH66" s="50">
        <f>VLOOKUP($B66&amp;$C66,'[1]FC1 Prod'!$A$6:$BP$36,[2]Consolidated!BH$1)</f>
        <v>724.24787605774009</v>
      </c>
      <c r="BI66" s="50">
        <f>VLOOKUP($B66&amp;$C66,'[1]FC1 Prod'!$A$6:$BP$36,[2]Consolidated!BI$1)</f>
        <v>83169.19476505724</v>
      </c>
      <c r="BJ66" s="37" t="e">
        <f>VLOOKUP($B66&amp;$C66,'[1]FC1 Prod'!$A$6:$BP$36,[2]Consolidated!BJ$1)</f>
        <v>#REF!</v>
      </c>
      <c r="BK66" s="37" t="e">
        <f>VLOOKUP($B66&amp;$C66,'[1]FC1 Prod'!$A$6:$BP$36,[2]Consolidated!BK$1)</f>
        <v>#REF!</v>
      </c>
      <c r="BL66" s="37" t="e">
        <f>VLOOKUP($B66&amp;$C66,'[1]FC1 Prod'!$A$6:$BP$36,[2]Consolidated!BL$1)</f>
        <v>#REF!</v>
      </c>
      <c r="BM66" s="37" t="e">
        <f>VLOOKUP($B66&amp;$C66,'[1]FC1 Prod'!$A$6:$BP$36,[2]Consolidated!BM$1)</f>
        <v>#REF!</v>
      </c>
      <c r="BN66" s="37" t="e">
        <f>VLOOKUP($B66&amp;$C66,'[1]FC1 Prod'!$A$6:$BP$36,[2]Consolidated!BN$1)</f>
        <v>#REF!</v>
      </c>
      <c r="BO66" s="37" t="e">
        <f>VLOOKUP($B66&amp;$C66,'[1]FC1 Prod'!$A$6:$BP$36,[2]Consolidated!BO$1)</f>
        <v>#REF!</v>
      </c>
      <c r="BP66" s="37" t="str">
        <f>VLOOKUP($B66&amp;$C66,'[1]FC1 Prod'!$A$6:$BP$36,[2]Consolidated!BP$1)</f>
        <v>NIL</v>
      </c>
      <c r="BQ66" s="51" t="e">
        <f>VLOOKUP($B66&amp;$C66,'[1]FC1 Prod'!$A$6:$BP$36,[2]Consolidated!BQ$1)</f>
        <v>#REF!</v>
      </c>
      <c r="BR66" s="51">
        <f>VLOOKUP($B66&amp;$C66,'[1]FC1 Prod'!$A$6:$BQ$36,[2]Consolidated!BR$1)</f>
        <v>69902</v>
      </c>
      <c r="BS66" s="52">
        <f t="shared" ref="BS66:BS68" si="80">BE66+BF66+BG66+BA66</f>
        <v>70538.797063215519</v>
      </c>
      <c r="BT66" s="32">
        <f>BR66-BS66</f>
        <v>-636.7970632155193</v>
      </c>
      <c r="BU66" s="37">
        <f>E66*BT66</f>
        <v>-12793.252999999782</v>
      </c>
      <c r="BV66" s="53" t="s">
        <v>132</v>
      </c>
      <c r="BW66" s="54" cm="1">
        <f t="array" ref="BW66">IFERROR(VLOOKUP($A66,TRANSPOSE('[1]Fur 1 PLC'!$AR$1:$BV$38),8,0),0)</f>
        <v>0</v>
      </c>
      <c r="BX66" s="54" cm="1">
        <f t="array" ref="BX66">IFERROR(VLOOKUP($A66,TRANSPOSE('[1]Fur 1 PLC'!$AR$1:$BV$38),30,0),0)</f>
        <v>0</v>
      </c>
      <c r="BY66" s="54" cm="1">
        <f t="array" ref="BY66">IFERROR(VLOOKUP($A66,TRANSPOSE('[1]Fur 1 PLC'!$AR$1:$BV$38),14,0),0)</f>
        <v>0</v>
      </c>
      <c r="BZ66" s="54" cm="1">
        <f t="array" ref="BZ66">IFERROR(VLOOKUP($A66,TRANSPOSE('[1]Fur 1 PLC'!$AR$1:$BV$38),16,0),0)</f>
        <v>0</v>
      </c>
      <c r="CA66" s="54" cm="1">
        <f t="array" ref="CA66">IFERROR(VLOOKUP($A66,TRANSPOSE('[1]Fur 1 PLC'!$AR$1:$BV$38),9,0),0)</f>
        <v>489.89547038327532</v>
      </c>
      <c r="CB66" s="54" cm="1">
        <f t="array" ref="CB66">IFERROR(VLOOKUP($A66,TRANSPOSE('[1]Fur 1 PLC'!$AR$1:$BV$38),17,0),0)</f>
        <v>394.67396714783479</v>
      </c>
      <c r="CC66" s="54" cm="1">
        <f t="array" ref="CC66">IFERROR(VLOOKUP($A66,TRANSPOSE('[1]Fur 1 PLC'!$AR$1:$BV$38),20,0),0)</f>
        <v>0</v>
      </c>
      <c r="CD66" s="54" cm="1">
        <f t="array" ref="CD66">IFERROR(VLOOKUP($A66,TRANSPOSE('[1]Fur 1 PLC'!$AR$1:$BV$38),28,0),0)</f>
        <v>128.67098058735689</v>
      </c>
      <c r="CE66" s="54" cm="1">
        <f t="array" ref="CE66">IFERROR(VLOOKUP($A66,TRANSPOSE('[1]Fur 1 PLC'!$AR$1:$BV$38),13,0),0)</f>
        <v>0</v>
      </c>
      <c r="CF66" s="54" cm="1">
        <f t="array" ref="CF66">IFERROR(VLOOKUP($A66,TRANSPOSE('[1]Fur 1 PLC'!$AR$1:$BV$38),37,0),0)</f>
        <v>635.39074166251874</v>
      </c>
      <c r="CG66" s="54" cm="1">
        <f t="array" ref="CG66">IFERROR(VLOOKUP($A66,TRANSPOSE('[1]Fur 1 PLC'!$AR$1:$BV$38),6,0),0)</f>
        <v>0</v>
      </c>
      <c r="CH66" s="54" cm="1">
        <f t="array" ref="CH66">IFERROR(VLOOKUP($A66,TRANSPOSE('[1]Fur 1 PLC'!$AR$1:$BV$38),21,0),0)</f>
        <v>0</v>
      </c>
      <c r="CI66" s="54" cm="1">
        <f t="array" ref="CI66">IFERROR(VLOOKUP($A66,TRANSPOSE('[1]Fur 1 PLC'!$AR$1:$BV$38),12,0),0)</f>
        <v>0</v>
      </c>
      <c r="CJ66" s="54" cm="1">
        <f t="array" ref="CJ66">IFERROR(VLOOKUP($A66,TRANSPOSE('[1]Fur 1 PLC'!$AR$1:$BV$38),25,0),0)</f>
        <v>0</v>
      </c>
      <c r="CK66" s="54" cm="1">
        <f t="array" ref="CK66">IFERROR(VLOOKUP($A66,TRANSPOSE('[1]Fur 1 PLC'!$AR$1:$BV$38),26,0),0)</f>
        <v>0</v>
      </c>
      <c r="CL66" s="54" cm="1">
        <f t="array" ref="CL66">IFERROR(VLOOKUP($A66,TRANSPOSE('[1]Fur 1 PLC'!$AR$1:$BV$38),27,0),0)</f>
        <v>459.98008959681431</v>
      </c>
      <c r="CM66" s="54" cm="1">
        <f t="array" ref="CM66">IFERROR(VLOOKUP($A66,TRANSPOSE('[1]Fur 1 PLC'!$AR$1:$BV$38),22,0),0)</f>
        <v>0</v>
      </c>
      <c r="CN66" s="54"/>
      <c r="CO66" s="54" cm="1">
        <f t="array" ref="CO66">IFERROR(VLOOKUP($A66,TRANSPOSE('[1]Fur 1 PLC'!$AR$1:$BV$38),29,0),0)</f>
        <v>0</v>
      </c>
      <c r="CP66" s="54" cm="1">
        <f t="array" ref="CP66">IFERROR(VLOOKUP($A66,TRANSPOSE('[1]Fur 1 PLC'!$AR$1:$BV$38),10,0),0)</f>
        <v>0</v>
      </c>
      <c r="CQ66" s="54" cm="1">
        <f t="array" ref="CQ66">IFERROR(VLOOKUP($A66,TRANSPOSE('[1]Fur 1 PLC'!$AR$1:$BV$38),7,0),0)</f>
        <v>154.10652065704332</v>
      </c>
      <c r="CR66" s="54" cm="1">
        <f t="array" ref="CR66">IFERROR(VLOOKUP($A66,TRANSPOSE('[1]Fur 1 PLC'!$AR$1:$BV$38),35,0),0)</f>
        <v>24.390243902439025</v>
      </c>
      <c r="CS66" s="54" cm="1">
        <f t="array" ref="CS66">IFERROR(VLOOKUP($A66,TRANSPOSE('[1]Fur 1 PLC'!$AR$1:$BV$38),11,0),0)</f>
        <v>735.63962170233947</v>
      </c>
      <c r="CT66" s="54" cm="1">
        <f t="array" ref="CT66">IFERROR(VLOOKUP($A66,TRANSPOSE('[1]Fur 1 PLC'!$AR$1:$BV$38),19,0),0)</f>
        <v>0</v>
      </c>
      <c r="CU66" s="54" cm="1">
        <f t="array" ref="CU66">IFERROR(VLOOKUP($A66,TRANSPOSE('[1]Fur 1 PLC'!$AR$1:$BV$38),18,0),0)</f>
        <v>0</v>
      </c>
      <c r="CV66" s="54" cm="1">
        <f t="array" ref="CV66">IFERROR(VLOOKUP($A66,TRANSPOSE('[1]Fur 1 PLC'!$AR$1:$BV$38),15,0),0)</f>
        <v>343.10602289696368</v>
      </c>
      <c r="CW66" s="54" cm="1">
        <f t="array" ref="CW66">IFERROR(VLOOKUP($A66,TRANSPOSE('[1]Fur 1 PLC'!$CL$1:$DP$38),8,0),0)</f>
        <v>0</v>
      </c>
      <c r="CX66" s="54" cm="1">
        <f t="array" ref="CX66">IFERROR(VLOOKUP($A66,TRANSPOSE('[1]Fur 1 PLC'!$CL$1:$DP$38),30,0),0)</f>
        <v>0</v>
      </c>
      <c r="CY66" s="54" cm="1">
        <f t="array" ref="CY66">IFERROR(VLOOKUP($A66,TRANSPOSE('[1]Fur 1 PLC'!$CL$1:$DP$38),14,0),0)</f>
        <v>0</v>
      </c>
      <c r="CZ66" s="54" cm="1">
        <f t="array" ref="CZ66">IFERROR(VLOOKUP($A66,TRANSPOSE('[1]Fur 1 PLC'!$CL$1:$DP$38),16,0),0)</f>
        <v>0</v>
      </c>
      <c r="DA66" s="54" cm="1">
        <f t="array" ref="DA66">IFERROR(VLOOKUP($A66,TRANSPOSE('[1]Fur 1 PLC'!$CL$1:$DP$38),9,0),0)</f>
        <v>218.71111111111114</v>
      </c>
      <c r="DB66" s="55" cm="1">
        <f t="array" ref="DB66">IFERROR(VLOOKUP($A66,TRANSPOSE('[1]Fur 1 PLC'!$CL$1:$DP$38),17,0),0)</f>
        <v>176.2</v>
      </c>
      <c r="DC66" s="55" cm="1">
        <f t="array" ref="DC66">IFERROR(VLOOKUP($A66,TRANSPOSE('[1]Fur 1 PLC'!$CL$1:$DP$38),20,0),0)</f>
        <v>0</v>
      </c>
      <c r="DD66" s="54" cm="1">
        <f t="array" ref="DD66">IFERROR(VLOOKUP($A66,TRANSPOSE('[1]Fur 1 PLC'!$CL$1:$DP$38),28,0),0)</f>
        <v>57.444444444444443</v>
      </c>
      <c r="DE66" s="54" cm="1">
        <f t="array" ref="DE66">IFERROR(VLOOKUP($A66,TRANSPOSE('[1]Fur 1 PLC'!$CL$1:$DP$38),13,0),0)</f>
        <v>0</v>
      </c>
      <c r="DF66" s="54" cm="1">
        <f t="array" ref="DF66">IFERROR(VLOOKUP($A66,TRANSPOSE('[1]Fur 1 PLC'!$CL$1:$DP$38),37,0),0)</f>
        <v>283.66666666666669</v>
      </c>
      <c r="DG66" s="54" cm="1">
        <f t="array" ref="DG66">IFERROR(VLOOKUP($A66,TRANSPOSE('[1]Fur 1 PLC'!$CL$1:$DP$38),6,0),0)</f>
        <v>0</v>
      </c>
      <c r="DH66" s="54" cm="1">
        <f t="array" ref="DH66">IFERROR(VLOOKUP($A66,TRANSPOSE('[1]Fur 1 PLC'!$CL$1:$DP$38),21,0),0)</f>
        <v>0</v>
      </c>
      <c r="DI66" s="54" cm="1">
        <f t="array" ref="DI66">IFERROR(VLOOKUP($A66,TRANSPOSE('[1]Fur 1 PLC'!$CL$1:$DP$38),12,0),0)</f>
        <v>0</v>
      </c>
      <c r="DJ66" s="54" cm="1">
        <f t="array" ref="DJ66">IFERROR(VLOOKUP($A66,TRANSPOSE('[1]Fur 1 PLC'!$CL$1:$DP$38),25,0),0)</f>
        <v>0</v>
      </c>
      <c r="DK66" s="54" cm="1">
        <f t="array" ref="DK66">IFERROR(VLOOKUP($A66,TRANSPOSE('[1]Fur 1 PLC'!$CL$1:$DP$38),26,0),0)</f>
        <v>0</v>
      </c>
      <c r="DL66" s="54" cm="1">
        <f t="array" ref="DL66">IFERROR(VLOOKUP($A66,TRANSPOSE('[1]Fur 1 PLC'!$CL$1:$DP$38),27,0),0)</f>
        <v>205.35555555555555</v>
      </c>
      <c r="DM66" s="54" cm="1">
        <f t="array" ref="DM66">IFERROR(VLOOKUP($A66,TRANSPOSE('[1]Fur 1 PLC'!$CL$1:$DP$38),22,0),0)</f>
        <v>0</v>
      </c>
      <c r="DN66" s="54" cm="1">
        <f t="array" ref="DN66">IFERROR(VLOOKUP($A66,TRANSPOSE('[1]Fur 1 PLC'!$CL$1:$DP$38),19,0),0)</f>
        <v>0</v>
      </c>
      <c r="DO66" s="54" cm="1">
        <f t="array" ref="DO66">IFERROR(VLOOKUP($A66,TRANSPOSE('[1]Fur 1 PLC'!$CL$1:$DP$38),29,0),0)</f>
        <v>0</v>
      </c>
      <c r="DP66" s="54" cm="1">
        <f t="array" ref="DP66">IFERROR(VLOOKUP($A66,TRANSPOSE('[1]Fur 1 PLC'!$CL$1:$DP$38),10,0),0)</f>
        <v>0</v>
      </c>
      <c r="DQ66" s="54" cm="1">
        <f t="array" ref="DQ66">IFERROR(VLOOKUP($A66,TRANSPOSE('[1]Fur 1 PLC'!$CL$1:$DP$38),7,0),0)</f>
        <v>68.8</v>
      </c>
      <c r="DR66" s="54" cm="1">
        <f t="array" ref="DR66">IFERROR(VLOOKUP($A66,TRANSPOSE('[1]Fur 1 PLC'!$CL$1:$DP$38),35,0),0)</f>
        <v>10.888888888888889</v>
      </c>
      <c r="DS66" s="54" cm="1">
        <f t="array" ref="DS66">IFERROR(VLOOKUP($A66,TRANSPOSE('[1]Fur 1 PLC'!$CL$1:$DP$38),11,0),0)</f>
        <v>328.42222222222222</v>
      </c>
      <c r="DT66" s="54" cm="1">
        <f t="array" ref="DT66">IFERROR(VLOOKUP($A66,TRANSPOSE('[1]Fur 1 PLC'!$CL$1:$DP$38),19,0),0)</f>
        <v>0</v>
      </c>
      <c r="DU66" s="54" cm="1">
        <f t="array" ref="DU66">IFERROR(VLOOKUP($A66,TRANSPOSE('[1]Fur 1 PLC'!$CL$1:$DP$38),18,0),0)</f>
        <v>0</v>
      </c>
      <c r="DV66" s="54" cm="1">
        <f t="array" ref="DV66">IFERROR(VLOOKUP($A66,TRANSPOSE('[1]Fur 1 PLC'!$CL$1:$DP$38),15,0),0)</f>
        <v>153.17777777777778</v>
      </c>
      <c r="DW66" t="str">
        <f>TEXT(C66,"Mmm-yy")</f>
        <v>Dec-25</v>
      </c>
    </row>
    <row r="67" spans="1:127" x14ac:dyDescent="0.3">
      <c r="A67" s="28" t="str">
        <f t="shared" si="59"/>
        <v>F246008</v>
      </c>
      <c r="B67" s="29" t="s">
        <v>27</v>
      </c>
      <c r="C67" s="30">
        <f>C66</f>
        <v>46008</v>
      </c>
      <c r="D67" s="29" t="str">
        <f>VLOOKUP($B67&amp;$C67,'[1]FC2 Prod'!$A$6:$BP$36,[2]Consolidated!D$1)</f>
        <v>Mr. Girish Malik</v>
      </c>
      <c r="E67" s="29">
        <f>VLOOKUP($B67&amp;$C67,'[1]FC2 Prod'!$A$6:$BP$36,[2]Consolidated!E$1)</f>
        <v>31.33</v>
      </c>
      <c r="F67" s="29">
        <f>VLOOKUP($B67&amp;$C67,'[1]FC2 Prod'!$A$6:$BP$36,[2]Consolidated!F$1)</f>
        <v>0</v>
      </c>
      <c r="G67" s="29">
        <f>VLOOKUP($B67&amp;$C67,'[1]FC2 Prod'!$A$6:$BP$36,[2]Consolidated!G$1)</f>
        <v>31.33</v>
      </c>
      <c r="H67" s="32">
        <f>VLOOKUP($B67&amp;$C67,'[1]FC2 Prod'!$A$6:$BP$36,[2]Consolidated!H$1)</f>
        <v>21.92</v>
      </c>
      <c r="I67" s="32">
        <f>VLOOKUP($B67&amp;$C67,'[1]FC2 Prod'!$A$6:$BP$36,[2]Consolidated!I$1)</f>
        <v>5.76</v>
      </c>
      <c r="J67" s="32">
        <f>VLOOKUP($B67&amp;$C67,'[1]FC2 Prod'!$A$6:$BP$36,[2]Consolidated!J$1)</f>
        <v>40.520000000000003</v>
      </c>
      <c r="K67" s="32">
        <f>VLOOKUP($B67&amp;$C67,'[1]FC2 Prod'!$A$6:$BP$36,[2]Consolidated!K$1)</f>
        <v>1.26</v>
      </c>
      <c r="L67" s="32">
        <f>VLOOKUP($B67&amp;$C67,'[1]FC2 Prod'!$A$6:$BP$36,[2]Consolidated!L$1)</f>
        <v>28.45</v>
      </c>
      <c r="M67" s="32">
        <f>VLOOKUP($B67&amp;$C67,'[1]FC2 Prod'!$A$6:$BP$36,[2]Consolidated!M$1)</f>
        <v>5.12</v>
      </c>
      <c r="N67" s="32">
        <f>VLOOKUP($B67&amp;$C67,'[1]FC2 Prod'!$A$6:$BP$36,[2]Consolidated!N$1)</f>
        <v>15.62</v>
      </c>
      <c r="O67" s="32">
        <f>VLOOKUP($B67&amp;$C67,'[1]FC2 Prod'!$A$6:$BP$36,[2]Consolidated!O$1)</f>
        <v>0.83</v>
      </c>
      <c r="P67" s="34">
        <f>VLOOKUP($B67&amp;$C67,'[1]FC2 Prod'!$A$6:$BP$36,[2]Consolidated!P$1)</f>
        <v>9</v>
      </c>
      <c r="Q67" s="29">
        <f>VLOOKUP($B67&amp;$C67,'[1]FC2 Prod'!$A$6:$BP$36,[2]Consolidated!Q$1)</f>
        <v>62.378</v>
      </c>
      <c r="R67" s="29">
        <f>VLOOKUP($B67&amp;$C67,'[1]FC2 Prod'!$A$6:$BP$36,[2]Consolidated!R$1)</f>
        <v>19.058</v>
      </c>
      <c r="S67" s="34">
        <f>VLOOKUP($B67&amp;$C67,'[1]FC2 Prod'!$A$6:$BP$36,[2]Consolidated!S$1)</f>
        <v>28</v>
      </c>
      <c r="T67" s="34">
        <f>VLOOKUP($B67&amp;$C67,'[1]FC2 Prod'!$A$6:$BP$36,[2]Consolidated!T$1)</f>
        <v>20</v>
      </c>
      <c r="U67" s="34">
        <f>VLOOKUP($B67&amp;$C67,'[1]FC2 Prod'!$A$6:$BP$36,[2]Consolidated!U$1)</f>
        <v>22</v>
      </c>
      <c r="V67" s="34">
        <f>VLOOKUP($B67&amp;$C67,'[1]FC2 Prod'!$A$6:$BP$36,[2]Consolidated!V$1)</f>
        <v>70</v>
      </c>
      <c r="W67" s="29">
        <f>VLOOKUP($B67&amp;$C67,'[1]FC2 Prod'!$A$6:$BP$36,[2]Consolidated!W$1)</f>
        <v>1.9909990424513246</v>
      </c>
      <c r="X67" s="35">
        <f>VLOOKUP($B67&amp;$C67,'[1]FC2 Prod'!$A$6:$BP$36,[2]Consolidated!X$1)</f>
        <v>32.300000000000004</v>
      </c>
      <c r="Y67" s="36">
        <f>VLOOKUP($B67&amp;$C67,'[1]FC2 Prod'!$A$6:$BP$36,[2]Consolidated!Y$1)</f>
        <v>0.96996904024767783</v>
      </c>
      <c r="Z67" s="37" t="str">
        <f>VLOOKUP($B67&amp;$C67,'[1]FC2 Prod'!$A$6:$BP$36,[2]Consolidated!Z$1)</f>
        <v xml:space="preserve">55/22 </v>
      </c>
      <c r="AA67" s="31">
        <f>VLOOKUP($B67&amp;$C67,'[1]FC2 Prod'!$A$6:$BP$36,[2]Consolidated!AA$1)</f>
        <v>55.13333333333334</v>
      </c>
      <c r="AB67" s="31">
        <f>VLOOKUP($B67&amp;$C67,'[1]FC2 Prod'!$A$6:$BP$36,[2]Consolidated!AB$1)</f>
        <v>22.537777777777777</v>
      </c>
      <c r="AC67" s="31">
        <f>VLOOKUP($B67&amp;$C67,'[1]FC2 Prod'!$A$6:$BP$36,[2]Consolidated!AC$1)</f>
        <v>0.39333333333333331</v>
      </c>
      <c r="AD67" s="38">
        <f>VLOOKUP($B67&amp;$C67,'[1]FC2 Prod'!$A$6:$BP$36,[2]Consolidated!AD$1)</f>
        <v>546.02443747207167</v>
      </c>
      <c r="AE67" s="38">
        <f>VLOOKUP($B67&amp;$C67,'[1]FC2 Prod'!$A$6:$BP$36,[2]Consolidated!AE$1)</f>
        <v>636.16826219278653</v>
      </c>
      <c r="AF67" s="39">
        <f>VLOOKUP($B67&amp;$C67,'[1]FC2 Prod'!$A$6:$BP$36,[2]Consolidated!AF$1)</f>
        <v>1.0097228173263459</v>
      </c>
      <c r="AG67" s="39">
        <f>VLOOKUP($B67&amp;$C67,'[1]FC2 Prod'!$A$6:$BP$36,[2]Consolidated!AG$1)</f>
        <v>0.86664702736499533</v>
      </c>
      <c r="AH67" s="34">
        <f>VLOOKUP($B67&amp;$C67,'[1]FC2 Prod'!$A$6:$BP$36,[2]Consolidated!AH$1)</f>
        <v>483.00207468879671</v>
      </c>
      <c r="AI67" s="33">
        <f>VLOOKUP($B67&amp;$C67,'[1]FC2 Prod'!$A$6:$BP$36,[2]Consolidated!AI$1)</f>
        <v>433.6888924353654</v>
      </c>
      <c r="AJ67" s="39">
        <f>VLOOKUP($B67&amp;$C67,'[1]FC2 Prod'!$A$6:$BP$36,[2]Consolidated!AJ$1)</f>
        <v>0.49933271162913384</v>
      </c>
      <c r="AK67" s="39">
        <f>VLOOKUP($B67&amp;$C67,'[1]FC2 Prod'!$A$6:$BP$36,[2]Consolidated!AK$1)</f>
        <v>0.51613539096598449</v>
      </c>
      <c r="AL67" s="40" t="str">
        <f>VLOOKUP($B67&amp;$C67,'[1]FC2 Prod'!$A$6:$BP$36,[2]Consolidated!AL$1)</f>
        <v>10/70</v>
      </c>
      <c r="AM67" s="41">
        <f>VLOOKUP($B67&amp;$C67,'[1]FC2 Prod'!$A$6:$BP$36,[2]Consolidated!AM$1)</f>
        <v>2.5853814235556976E-2</v>
      </c>
      <c r="AN67" s="42">
        <f>VLOOKUP($B67&amp;$C67,'[1]FC2 Prod'!$A$6:$BP$36,[2]Consolidated!AN$1)</f>
        <v>144.6</v>
      </c>
      <c r="AO67" s="43">
        <f>VLOOKUP($B67&amp;$C67,'[1]FC2 Prod'!$A$6:$BP$36,[2]Consolidated!AO$1)</f>
        <v>5.7770000000000001</v>
      </c>
      <c r="AP67" s="44">
        <f>VLOOKUP($B67&amp;$C67,'[1]FC2 Prod'!$A$6:$BP$36,[2]Consolidated!AP$1)</f>
        <v>4.7997765719757419</v>
      </c>
      <c r="AQ67" s="44">
        <f>VLOOKUP($B67&amp;$C67,'[1]FC2 Prod'!$A$6:$BP$36,[2]Consolidated!AQ$1)</f>
        <v>29.318709131227848</v>
      </c>
      <c r="AR67" s="45">
        <f>VLOOKUP($B67&amp;$C67,'[1]FC2 Prod'!$A$6:$BP$36,[2]Consolidated!AR$1)</f>
        <v>0.98770491803278704</v>
      </c>
      <c r="AS67" s="46">
        <f>VLOOKUP($B67&amp;$C67,'[1]FC2 Prod'!$A$6:$BP$36,[2]Consolidated!AS$1)</f>
        <v>2.2166666666666668</v>
      </c>
      <c r="AT67" s="29">
        <f>VLOOKUP($B67&amp;$C67,'[1]FC2 Prod'!$A$6:$BP$36,[2]Consolidated!AT$1)</f>
        <v>0.78290943859134421</v>
      </c>
      <c r="AU67" s="34">
        <f>VLOOKUP($B67&amp;$C67,'[1]FC2 Prod'!$A$6:$BP$36,[2]Consolidated!AU$1)</f>
        <v>494.97222222222223</v>
      </c>
      <c r="AV67" s="34">
        <f>VLOOKUP($B67&amp;$C67,'[1]FC2 Prod'!$A$6:$BP$36,[2]Consolidated!AV$1)</f>
        <v>300</v>
      </c>
      <c r="AW67" s="47">
        <f>VLOOKUP($B67&amp;$C67,'[1]FC2 Prod'!$A$6:$BP$36,[2]Consolidated!AW$1)</f>
        <v>21570.845196297483</v>
      </c>
      <c r="AX67" s="47">
        <f>VLOOKUP($B67&amp;$C67,'[1]FC2 Prod'!$A$6:$BP$36,[2]Consolidated!AX$1)</f>
        <v>14090.965209064794</v>
      </c>
      <c r="AY67" s="48">
        <f>VLOOKUP($B67&amp;$C67,'[1]FC2 Prod'!$A$6:$BP$36,[2]Consolidated!AY$1)</f>
        <v>1837.344398340249</v>
      </c>
      <c r="AZ67" s="47">
        <f>VLOOKUP($B67&amp;$C67,'[1]FC2 Prod'!$A$6:$BP$36,[2]Consolidated!AZ$1)</f>
        <v>2346.6182572614111</v>
      </c>
      <c r="BA67" s="47">
        <f>VLOOKUP($B67&amp;$C67,'[1]FC2 Prod'!$A$6:$BP$36,[2]Consolidated!BA$1)</f>
        <v>28078.69294605809</v>
      </c>
      <c r="BB67" s="47">
        <f>VLOOKUP($B67&amp;$C67,'[1]FC2 Prod'!$A$6:$BP$36,[2]Consolidated!BB$1)</f>
        <v>679.24466007022033</v>
      </c>
      <c r="BC67" s="47">
        <f>VLOOKUP($B67&amp;$C67,'[1]FC2 Prod'!$A$6:$BP$36,[2]Consolidated!BC$1)</f>
        <v>9119.575486753909</v>
      </c>
      <c r="BD67" s="49">
        <f>VLOOKUP($B67&amp;$C67,'[1]FC2 Prod'!$A$6:$BP$36,[2]Consolidated!BD$1)</f>
        <v>77723.286153846158</v>
      </c>
      <c r="BE67" s="47">
        <f>VLOOKUP($B67&amp;$C67,'[1]FC2 Prod'!$A$6:$BP$36,[2]Consolidated!BE$1)</f>
        <v>25146.336291094798</v>
      </c>
      <c r="BF67" s="47">
        <f>VLOOKUP($B67&amp;$C67,'[1]FC2 Prod'!$A$6:$BP$36,[2]Consolidated!BF$1)</f>
        <v>12701.44315352697</v>
      </c>
      <c r="BG67" s="50">
        <f>VLOOKUP($B67&amp;$C67,'[1]FC2 Prod'!$A$6:$BP$36,[2]Consolidated!BG$1)</f>
        <v>1736.1698052984361</v>
      </c>
      <c r="BH67" s="50">
        <f>VLOOKUP($B67&amp;$C67,'[1]FC2 Prod'!$A$6:$BP$36,[2]Consolidated!BH$1)</f>
        <v>700.0926045323971</v>
      </c>
      <c r="BI67" s="50">
        <f>VLOOKUP($B67&amp;$C67,'[1]FC2 Prod'!$A$6:$BP$36,[2]Consolidated!BI$1)</f>
        <v>79828.928544526003</v>
      </c>
      <c r="BJ67" s="37" t="e">
        <f>VLOOKUP($B67&amp;$C67,'[1]FC2 Prod'!$A$6:$BP$36,[2]Consolidated!BJ$1)</f>
        <v>#REF!</v>
      </c>
      <c r="BK67" s="37" t="e">
        <f>VLOOKUP($B67&amp;$C67,'[1]FC2 Prod'!$A$6:$BP$36,[2]Consolidated!BK$1)</f>
        <v>#REF!</v>
      </c>
      <c r="BL67" s="37">
        <f>VLOOKUP($B67&amp;$C67,'[1]FC2 Prod'!$A$6:$BP$36,[2]Consolidated!BL$1)</f>
        <v>5</v>
      </c>
      <c r="BM67" s="37" t="e">
        <f>VLOOKUP($B67&amp;$C67,'[1]FC2 Prod'!$A$6:$BP$36,[2]Consolidated!BM$1)</f>
        <v>#REF!</v>
      </c>
      <c r="BN67" s="37" t="e">
        <f>VLOOKUP($B67&amp;$C67,'[1]FC2 Prod'!$A$6:$BP$36,[2]Consolidated!BN$1)</f>
        <v>#REF!</v>
      </c>
      <c r="BO67" s="37">
        <f>VLOOKUP($B67&amp;$C67,'[1]FC2 Prod'!$A$6:$BP$36,[2]Consolidated!BO$1)</f>
        <v>5</v>
      </c>
      <c r="BP67" s="37" t="str">
        <f>VLOOKUP($B67&amp;$C67,'[1]FC2 Prod'!$A$6:$BP$36,[2]Consolidated!BP$1)</f>
        <v>Over current trip.</v>
      </c>
      <c r="BQ67" s="29" t="e">
        <f>VLOOKUP($B67&amp;$C67,'[1]FC2 Prod'!$A$6:$BP$36,[2]Consolidated!BQ$1)</f>
        <v>#REF!</v>
      </c>
      <c r="BR67" s="51">
        <f>VLOOKUP($B67&amp;$C67,'[1]FC2 Prod'!$A$6:$BQ$36,[2]Consolidated!BR$1)</f>
        <v>68163</v>
      </c>
      <c r="BS67" s="52">
        <f t="shared" si="80"/>
        <v>67662.642195978289</v>
      </c>
      <c r="BT67" s="32">
        <f>BR67-BS67</f>
        <v>500.35780402171076</v>
      </c>
      <c r="BU67" s="37">
        <f>E67*BT67</f>
        <v>15676.210000000197</v>
      </c>
      <c r="BV67" s="53" t="s">
        <v>132</v>
      </c>
      <c r="BW67" s="54" cm="1">
        <f t="array" ref="BW67">IFERROR(VLOOKUP($A67,TRANSPOSE('[1]Fur 2 PLC'!$AR$1:$BV$38),8,0),0)</f>
        <v>0</v>
      </c>
      <c r="BX67" s="54" cm="1">
        <f t="array" ref="BX67">IFERROR(VLOOKUP($A67,TRANSPOSE('[1]Fur 2 PLC'!$AR$1:$BV$38),30,0),0)</f>
        <v>0</v>
      </c>
      <c r="BY67" s="54" cm="1">
        <f t="array" ref="BY67">IFERROR(VLOOKUP($A67,TRANSPOSE('[1]Fur 2 PLC'!$AR$1:$BV$38),14,0),0)</f>
        <v>0</v>
      </c>
      <c r="BZ67" s="54" cm="1">
        <f t="array" ref="BZ67">IFERROR(VLOOKUP($A67,TRANSPOSE('[1]Fur 2 PLC'!$AR$1:$BV$38),16,0),0)</f>
        <v>0</v>
      </c>
      <c r="CA67" s="54" cm="1">
        <f t="array" ref="CA67">IFERROR(VLOOKUP($A67,TRANSPOSE('[1]Fur 2 PLC'!$AR$1:$BV$38),9,0),0)</f>
        <v>491.60548994573895</v>
      </c>
      <c r="CB67" s="54" cm="1">
        <f t="array" ref="CB67">IFERROR(VLOOKUP($A67,TRANSPOSE('[1]Fur 2 PLC'!$AR$1:$BV$38),17,0),0)</f>
        <v>382.28534950526654</v>
      </c>
      <c r="CC67" s="54" cm="1">
        <f t="array" ref="CC67">IFERROR(VLOOKUP($A67,TRANSPOSE('[1]Fur 2 PLC'!$AR$1:$BV$38),20,0),0)</f>
        <v>0</v>
      </c>
      <c r="CD67" s="54" cm="1">
        <f t="array" ref="CD67">IFERROR(VLOOKUP($A67,TRANSPOSE('[1]Fur 2 PLC'!$AR$1:$BV$38),28,0),0)</f>
        <v>0</v>
      </c>
      <c r="CE67" s="54" cm="1">
        <f t="array" ref="CE67">IFERROR(VLOOKUP($A67,TRANSPOSE('[1]Fur 2 PLC'!$AR$1:$BV$38),13,0),0)</f>
        <v>0</v>
      </c>
      <c r="CF67" s="54" cm="1">
        <f t="array" ref="CF67">IFERROR(VLOOKUP($A67,TRANSPOSE('[1]Fur 2 PLC'!$AR$1:$BV$38),37,0),0)</f>
        <v>643.02585381423557</v>
      </c>
      <c r="CG67" s="54" cm="1">
        <f t="array" ref="CG67">IFERROR(VLOOKUP($A67,TRANSPOSE('[1]Fur 2 PLC'!$AR$1:$BV$38),6,0),0)</f>
        <v>0</v>
      </c>
      <c r="CH67" s="54" cm="1">
        <f t="array" ref="CH67">IFERROR(VLOOKUP($A67,TRANSPOSE('[1]Fur 2 PLC'!$AR$1:$BV$38),21,0),0)</f>
        <v>0</v>
      </c>
      <c r="CI67" s="54" cm="1">
        <f t="array" ref="CI67">IFERROR(VLOOKUP($A67,TRANSPOSE('[1]Fur 2 PLC'!$AR$1:$BV$38),12,0),0)</f>
        <v>0</v>
      </c>
      <c r="CJ67" s="54" cm="1">
        <f t="array" ref="CJ67">IFERROR(VLOOKUP($A67,TRANSPOSE('[1]Fur 2 PLC'!$AR$1:$BV$38),25,0),0)</f>
        <v>0</v>
      </c>
      <c r="CK67" s="54" cm="1">
        <f t="array" ref="CK67">IFERROR(VLOOKUP($A67,TRANSPOSE('[1]Fur 2 PLC'!$AR$1:$BV$38),26,0),0)</f>
        <v>103.7663581232046</v>
      </c>
      <c r="CL67" s="54" cm="1">
        <f t="array" ref="CL67">IFERROR(VLOOKUP($A67,TRANSPOSE('[1]Fur 2 PLC'!$AR$1:$BV$38),27,0),0)</f>
        <v>448.67539099904246</v>
      </c>
      <c r="CM67" s="54" cm="1">
        <f t="array" ref="CM67">IFERROR(VLOOKUP($A67,TRANSPOSE('[1]Fur 2 PLC'!$AR$1:$BV$38),22,0),0)</f>
        <v>0</v>
      </c>
      <c r="CN67" s="54"/>
      <c r="CO67" s="54" cm="1">
        <f t="array" ref="CO67">IFERROR(VLOOKUP($A67,TRANSPOSE('[1]Fur 2 PLC'!$AR$1:$BV$38),29,0),0)</f>
        <v>55.857006064474945</v>
      </c>
      <c r="CP67" s="54" cm="1">
        <f t="array" ref="CP67">IFERROR(VLOOKUP($A67,TRANSPOSE('[1]Fur 2 PLC'!$AR$1:$BV$38),10,0),0)</f>
        <v>0</v>
      </c>
      <c r="CQ67" s="54" cm="1">
        <f t="array" ref="CQ67">IFERROR(VLOOKUP($A67,TRANSPOSE('[1]Fur 2 PLC'!$AR$1:$BV$38),7,0),0)</f>
        <v>178.83817427385893</v>
      </c>
      <c r="CR67" s="54" cm="1">
        <f t="array" ref="CR67">IFERROR(VLOOKUP($A67,TRANSPOSE('[1]Fur 2 PLC'!$AR$1:$BV$38),35,0),0)</f>
        <v>0</v>
      </c>
      <c r="CS67" s="54" cm="1">
        <f t="array" ref="CS67">IFERROR(VLOOKUP($A67,TRANSPOSE('[1]Fur 2 PLC'!$AR$1:$BV$38),11,0),0)</f>
        <v>755.12288541334192</v>
      </c>
      <c r="CT67" s="54" cm="1">
        <f t="array" ref="CT67">IFERROR(VLOOKUP($A67,TRANSPOSE('[1]Fur 2 PLC'!$AR$1:$BV$38),19,0),0)</f>
        <v>0</v>
      </c>
      <c r="CU67" s="54" cm="1">
        <f t="array" ref="CU67">IFERROR(VLOOKUP($A67,TRANSPOSE('[1]Fur 2 PLC'!$AR$1:$BV$38),18,0),0)</f>
        <v>0</v>
      </c>
      <c r="CV67" s="54" cm="1">
        <f t="array" ref="CV67">IFERROR(VLOOKUP($A67,TRANSPOSE('[1]Fur 2 PLC'!$AR$1:$BV$38),15,0),0)</f>
        <v>361.98531758697732</v>
      </c>
      <c r="CW67" s="54" cm="1">
        <f t="array" ref="CW67">IFERROR(VLOOKUP($A67,TRANSPOSE('[1]Fur 2 PLC'!$CI$1:$DM$38),8,0),0)</f>
        <v>0</v>
      </c>
      <c r="CX67" s="54" cm="1">
        <f t="array" ref="CX67">IFERROR(VLOOKUP($A67,TRANSPOSE('[1]Fur 2 PLC'!$CI$1:$DM$38),30,0),0)</f>
        <v>0</v>
      </c>
      <c r="CY67" s="54" cm="1">
        <f t="array" ref="CY67">IFERROR(VLOOKUP($A67,TRANSPOSE('[1]Fur 2 PLC'!$CI$1:$DM$38),14,0),0)</f>
        <v>0</v>
      </c>
      <c r="CZ67" s="54" cm="1">
        <f t="array" ref="CZ67">IFERROR(VLOOKUP($A67,TRANSPOSE('[1]Fur 2 PLC'!$CI$1:$DM$38),16,0),0)</f>
        <v>0</v>
      </c>
      <c r="DA67" s="54" cm="1">
        <f t="array" ref="DA67">IFERROR(VLOOKUP($A67,TRANSPOSE('[1]Fur 2 PLC'!$CI$1:$DM$38),9,0),0)</f>
        <v>220.02857142857141</v>
      </c>
      <c r="DB67" s="55" cm="1">
        <f t="array" ref="DB67">IFERROR(VLOOKUP($A67,TRANSPOSE('[1]Fur 2 PLC'!$CI$1:$DM$38),17,0),0)</f>
        <v>171.1</v>
      </c>
      <c r="DC67" s="55" cm="1">
        <f t="array" ref="DC67">IFERROR(VLOOKUP($A67,TRANSPOSE('[1]Fur 2 PLC'!$CI$1:$DM$38),20,0),0)</f>
        <v>0</v>
      </c>
      <c r="DD67" s="54" cm="1">
        <f t="array" ref="DD67">IFERROR(VLOOKUP($A67,TRANSPOSE('[1]Fur 2 PLC'!$CI$1:$DM$38),28,0),0)</f>
        <v>0</v>
      </c>
      <c r="DE67" s="54" cm="1">
        <f t="array" ref="DE67">IFERROR(VLOOKUP($A67,TRANSPOSE('[1]Fur 2 PLC'!$CI$1:$DM$38),13,0),0)</f>
        <v>0</v>
      </c>
      <c r="DF67" s="54" cm="1">
        <f t="array" ref="DF67">IFERROR(VLOOKUP($A67,TRANSPOSE('[1]Fur 2 PLC'!$CI$1:$DM$38),37,0),0)</f>
        <v>287.8</v>
      </c>
      <c r="DG67" s="54" cm="1">
        <f t="array" ref="DG67">IFERROR(VLOOKUP($A67,TRANSPOSE('[1]Fur 2 PLC'!$CI$1:$DM$38),6,0),0)</f>
        <v>0</v>
      </c>
      <c r="DH67" s="54" cm="1">
        <f t="array" ref="DH67">IFERROR(VLOOKUP($A67,TRANSPOSE('[1]Fur 2 PLC'!$CI$1:$DM$38),21,0),0)</f>
        <v>0</v>
      </c>
      <c r="DI67" s="54" cm="1">
        <f t="array" ref="DI67">IFERROR(VLOOKUP($A67,TRANSPOSE('[1]Fur 2 PLC'!$CI$1:$DM$38),12,0),0)</f>
        <v>0</v>
      </c>
      <c r="DJ67" s="54" cm="1">
        <f t="array" ref="DJ67">IFERROR(VLOOKUP($A67,TRANSPOSE('[1]Fur 2 PLC'!$CI$1:$DM$38),25,0),0)</f>
        <v>0</v>
      </c>
      <c r="DK67" s="54" cm="1">
        <f t="array" ref="DK67">IFERROR(VLOOKUP($A67,TRANSPOSE('[1]Fur 2 PLC'!$CI$1:$DM$38),26,0),0)</f>
        <v>46.442857142857143</v>
      </c>
      <c r="DL67" s="54" cm="1">
        <f t="array" ref="DL67">IFERROR(VLOOKUP($A67,TRANSPOSE('[1]Fur 2 PLC'!$CI$1:$DM$38),27,0),0)</f>
        <v>200.81428571428572</v>
      </c>
      <c r="DM67" s="54" cm="1">
        <f t="array" ref="DM67">IFERROR(VLOOKUP($A67,TRANSPOSE('[1]Fur 2 PLC'!$CI$1:$DM$38),22,0),0)</f>
        <v>0</v>
      </c>
      <c r="DN67" s="54" cm="1">
        <f t="array" ref="DN67">IFERROR(VLOOKUP($A67,TRANSPOSE('[1]Fur 2 PLC'!$CI$1:$DM$38),19,0),0)</f>
        <v>0</v>
      </c>
      <c r="DO67" s="54" cm="1">
        <f t="array" ref="DO67">IFERROR(VLOOKUP($A67,TRANSPOSE('[1]Fur 2 PLC'!$CI$1:$DM$38),29,0),0)</f>
        <v>25</v>
      </c>
      <c r="DP67" s="54" cm="1">
        <f t="array" ref="DP67">IFERROR(VLOOKUP($A67,TRANSPOSE('[1]Fur 2 PLC'!$CI$1:$DM$38),10,0),0)</f>
        <v>0</v>
      </c>
      <c r="DQ67" s="54" cm="1">
        <f t="array" ref="DQ67">IFERROR(VLOOKUP($A67,TRANSPOSE('[1]Fur 2 PLC'!$CI$1:$DM$38),7,0),0)</f>
        <v>80.042857142857144</v>
      </c>
      <c r="DR67" s="54" cm="1">
        <f t="array" ref="DR67">IFERROR(VLOOKUP($A67,TRANSPOSE('[1]Fur 2 PLC'!$CI$1:$DM$38),35,0),0)</f>
        <v>0</v>
      </c>
      <c r="DS67" s="54" cm="1">
        <f t="array" ref="DS67">IFERROR(VLOOKUP($A67,TRANSPOSE('[1]Fur 2 PLC'!$CI$1:$DM$38),11,0),0)</f>
        <v>337.97142857142859</v>
      </c>
      <c r="DT67" s="54" cm="1">
        <f t="array" ref="DT67">IFERROR(VLOOKUP($A67,TRANSPOSE('[1]Fur 2 PLC'!$CI$1:$DM$38),19,0),0)</f>
        <v>0</v>
      </c>
      <c r="DU67" s="54" cm="1">
        <f t="array" ref="DU67">IFERROR(VLOOKUP($A67,TRANSPOSE('[1]Fur 2 PLC'!$CI$1:$DM$38),18,0),0)</f>
        <v>0</v>
      </c>
      <c r="DV67" s="54" cm="1">
        <f t="array" ref="DV67">IFERROR(VLOOKUP($A67,TRANSPOSE('[1]Fur 2 PLC'!$CI$1:$DM$38),15,0),0)</f>
        <v>162.01428571428571</v>
      </c>
      <c r="DW67" t="str">
        <f t="shared" ref="DW67:DW69" si="81">TEXT(C67,"Mmm-yy")</f>
        <v>Dec-25</v>
      </c>
    </row>
    <row r="68" spans="1:127" x14ac:dyDescent="0.3">
      <c r="A68" s="28" t="str">
        <f t="shared" si="59"/>
        <v>F346008</v>
      </c>
      <c r="B68" s="29" t="s">
        <v>28</v>
      </c>
      <c r="C68" s="30">
        <f>C67</f>
        <v>46008</v>
      </c>
      <c r="D68" s="29" t="str">
        <f>VLOOKUP($B68&amp;$C68,'[1]FC3 Prod'!$A$6:$BP$36,[2]Consolidated!D$1)</f>
        <v>Mr. Ajay Singh</v>
      </c>
      <c r="E68" s="29">
        <f>VLOOKUP($B68&amp;$C68,'[1]FC3 Prod'!$A$6:$BP$36,[2]Consolidated!E$1)</f>
        <v>37.314999999999998</v>
      </c>
      <c r="F68" s="31">
        <f>VLOOKUP($B68&amp;$C68,'[1]FC3 Prod'!$A$6:$BP$36,[2]Consolidated!F$1)</f>
        <v>0</v>
      </c>
      <c r="G68" s="32">
        <f>VLOOKUP($B68&amp;$C68,'[1]FC3 Prod'!$A$6:$BP$36,[2]Consolidated!G$1)</f>
        <v>37.314999999999998</v>
      </c>
      <c r="H68" s="32">
        <f>VLOOKUP($B68&amp;$C68,'[1]FC3 Prod'!$A$6:$BP$36,[2]Consolidated!H$1)</f>
        <v>28.027000000000001</v>
      </c>
      <c r="I68" s="32">
        <f>VLOOKUP($B68&amp;$C68,'[1]FC3 Prod'!$A$6:$BP$36,[2]Consolidated!I$1)</f>
        <v>10.26</v>
      </c>
      <c r="J68" s="32">
        <f>VLOOKUP($B68&amp;$C68,'[1]FC3 Prod'!$A$6:$BP$36,[2]Consolidated!J$1)</f>
        <v>39.520000000000003</v>
      </c>
      <c r="K68" s="32">
        <f>VLOOKUP($B68&amp;$C68,'[1]FC3 Prod'!$A$6:$BP$36,[2]Consolidated!K$1)</f>
        <v>1.36</v>
      </c>
      <c r="L68" s="32">
        <f>VLOOKUP($B68&amp;$C68,'[1]FC3 Prod'!$A$6:$BP$36,[2]Consolidated!L$1)</f>
        <v>27.02</v>
      </c>
      <c r="M68" s="32">
        <f>VLOOKUP($B68&amp;$C68,'[1]FC3 Prod'!$A$6:$BP$36,[2]Consolidated!M$1)</f>
        <v>5.21</v>
      </c>
      <c r="N68" s="32">
        <f>VLOOKUP($B68&amp;$C68,'[1]FC3 Prod'!$A$6:$BP$36,[2]Consolidated!N$1)</f>
        <v>14.02</v>
      </c>
      <c r="O68" s="32">
        <f>VLOOKUP($B68&amp;$C68,'[1]FC3 Prod'!$A$6:$BP$36,[2]Consolidated!O$1)</f>
        <v>0.82</v>
      </c>
      <c r="P68" s="33">
        <f>VLOOKUP($B68&amp;$C68,'[1]FC3 Prod'!$A$6:$BP$36,[2]Consolidated!P$1)</f>
        <v>8</v>
      </c>
      <c r="Q68" s="29">
        <f>VLOOKUP($B68&amp;$C68,'[1]FC3 Prod'!$A$6:$BP$36,[2]Consolidated!Q$1)</f>
        <v>75.83</v>
      </c>
      <c r="R68" s="29">
        <f>VLOOKUP($B68&amp;$C68,'[1]FC3 Prod'!$A$6:$BP$36,[2]Consolidated!R$1)</f>
        <v>24.007999999999999</v>
      </c>
      <c r="S68" s="34">
        <f>VLOOKUP($B68&amp;$C68,'[1]FC3 Prod'!$A$6:$BP$36,[2]Consolidated!S$1)</f>
        <v>31</v>
      </c>
      <c r="T68" s="34">
        <f>VLOOKUP($B68&amp;$C68,'[1]FC3 Prod'!$A$6:$BP$36,[2]Consolidated!T$1)</f>
        <v>17</v>
      </c>
      <c r="U68" s="34">
        <f>VLOOKUP($B68&amp;$C68,'[1]FC3 Prod'!$A$6:$BP$36,[2]Consolidated!U$1)</f>
        <v>20</v>
      </c>
      <c r="V68" s="34">
        <f>VLOOKUP($B68&amp;$C68,'[1]FC3 Prod'!$A$6:$BP$36,[2]Consolidated!V$1)</f>
        <v>68</v>
      </c>
      <c r="W68" s="35">
        <f>VLOOKUP($B68&amp;$C68,'[1]FC3 Prod'!$A$6:$BP$36,[2]Consolidated!W$1)</f>
        <v>2.0321586493367279</v>
      </c>
      <c r="X68" s="35">
        <f>VLOOKUP($B68&amp;$C68,'[1]FC3 Prod'!$A$6:$BP$36,[2]Consolidated!X$1)</f>
        <v>38.47</v>
      </c>
      <c r="Y68" s="36">
        <f>VLOOKUP($B68&amp;$C68,'[1]FC3 Prod'!$A$6:$BP$36,[2]Consolidated!Y$1)</f>
        <v>0.96997660514686768</v>
      </c>
      <c r="Z68" s="37" t="str">
        <f>VLOOKUP($B68&amp;$C68,'[1]FC3 Prod'!$A$6:$BP$36,[2]Consolidated!Z$1)</f>
        <v>60/15</v>
      </c>
      <c r="AA68" s="31">
        <f>VLOOKUP($B68&amp;$C68,'[1]FC3 Prod'!$A$6:$BP$36,[2]Consolidated!AA$1)</f>
        <v>58.993750000000006</v>
      </c>
      <c r="AB68" s="31">
        <f>VLOOKUP($B68&amp;$C68,'[1]FC3 Prod'!$A$6:$BP$36,[2]Consolidated!AB$1)</f>
        <v>15.69125</v>
      </c>
      <c r="AC68" s="31" t="e">
        <f>VLOOKUP($B68&amp;$C68,'[1]FC3 Prod'!$A$6:$BP$36,[2]Consolidated!AC$1)</f>
        <v>#REF!</v>
      </c>
      <c r="AD68" s="38">
        <f>VLOOKUP($B68&amp;$C68,'[1]FC3 Prod'!$A$6:$BP$36,[2]Consolidated!AD$1)</f>
        <v>697.09019715931947</v>
      </c>
      <c r="AE68" s="38">
        <f>VLOOKUP($B68&amp;$C68,'[1]FC3 Prod'!$A$6:$BP$36,[2]Consolidated!AE$1)</f>
        <v>655.07629273750513</v>
      </c>
      <c r="AF68" s="39">
        <f>VLOOKUP($B68&amp;$C68,'[1]FC3 Prod'!$A$6:$BP$36,[2]Consolidated!AF$1)</f>
        <v>0.84628574954005598</v>
      </c>
      <c r="AG68" s="39">
        <f>VLOOKUP($B68&amp;$C68,'[1]FC3 Prod'!$A$6:$BP$36,[2]Consolidated!AG$1)</f>
        <v>0.90056304363374851</v>
      </c>
      <c r="AH68" s="34">
        <f>VLOOKUP($B68&amp;$C68,'[1]FC3 Prod'!$A$6:$BP$36,[2]Consolidated!AH$1)</f>
        <v>485.59466702398504</v>
      </c>
      <c r="AI68" s="33">
        <f>VLOOKUP($B68&amp;$C68,'[1]FC3 Prod'!$A$6:$BP$36,[2]Consolidated!AI$1)</f>
        <v>374.28129438563582</v>
      </c>
      <c r="AJ68" s="39">
        <f>VLOOKUP($B68&amp;$C68,'[1]FC3 Prod'!$A$6:$BP$36,[2]Consolidated!AJ$1)</f>
        <v>0.3745478172086974</v>
      </c>
      <c r="AK68" s="39">
        <f>VLOOKUP($B68&amp;$C68,'[1]FC3 Prod'!$A$6:$BP$36,[2]Consolidated!AK$1)</f>
        <v>0.51252088863264045</v>
      </c>
      <c r="AL68" s="40" t="str">
        <f>VLOOKUP($B68&amp;$C68,'[1]FC3 Prod'!$A$6:$BP$36,[2]Consolidated!AL$1)</f>
        <v>25/50</v>
      </c>
      <c r="AM68" s="41">
        <f>VLOOKUP($B68&amp;$C68,'[1]FC3 Prod'!$A$6:$BP$36,[2]Consolidated!AM$1)</f>
        <v>3.2962615570146056E-2</v>
      </c>
      <c r="AN68" s="42">
        <f>VLOOKUP($B68&amp;$C68,'[1]FC3 Prod'!$A$6:$BP$36,[2]Consolidated!AN$1)</f>
        <v>146</v>
      </c>
      <c r="AO68" s="43">
        <f>VLOOKUP($B68&amp;$C68,'[1]FC3 Prod'!$A$6:$BP$36,[2]Consolidated!AO$1)</f>
        <v>5.7770000000000001</v>
      </c>
      <c r="AP68" s="44">
        <f>VLOOKUP($B68&amp;$C68,'[1]FC3 Prod'!$A$6:$BP$36,[2]Consolidated!AP$1)</f>
        <v>4.067452766983787</v>
      </c>
      <c r="AQ68" s="44">
        <f>VLOOKUP($B68&amp;$C68,'[1]FC3 Prod'!$A$6:$BP$36,[2]Consolidated!AQ$1)</f>
        <v>29.091200180301335</v>
      </c>
      <c r="AR68" s="45">
        <f>VLOOKUP($B68&amp;$C68,'[1]FC3 Prod'!$A$6:$BP$36,[2]Consolidated!AR$1)</f>
        <v>0.99726775956284164</v>
      </c>
      <c r="AS68" s="46">
        <f>VLOOKUP($B68&amp;$C68,'[1]FC3 Prod'!$A$6:$BP$36,[2]Consolidated!AS$1)</f>
        <v>2.1956666666666664</v>
      </c>
      <c r="AT68" s="29">
        <f>VLOOKUP($B68&amp;$C68,'[1]FC3 Prod'!$A$6:$BP$36,[2]Consolidated!AT$1)</f>
        <v>0.78982062075616266</v>
      </c>
      <c r="AU68" s="34">
        <f>VLOOKUP($B68&amp;$C68,'[1]FC3 Prod'!$A$6:$BP$36,[2]Consolidated!AU$1)</f>
        <v>610.95833333333337</v>
      </c>
      <c r="AV68" s="34">
        <f>VLOOKUP($B68&amp;$C68,'[1]FC3 Prod'!$A$6:$BP$36,[2]Consolidated!AV$1)</f>
        <v>266.66666666666669</v>
      </c>
      <c r="AW68" s="47">
        <f>VLOOKUP($B68&amp;$C68,'[1]FC3 Prod'!$A$6:$BP$36,[2]Consolidated!AW$1)</f>
        <v>27266.991826343296</v>
      </c>
      <c r="AX68" s="47">
        <f>VLOOKUP($B68&amp;$C68,'[1]FC3 Prod'!$A$6:$BP$36,[2]Consolidated!AX$1)</f>
        <v>10436.963687525124</v>
      </c>
      <c r="AY68" s="48">
        <f>VLOOKUP($B68&amp;$C68,'[1]FC3 Prod'!$A$6:$BP$36,[2]Consolidated!AY$1)</f>
        <v>1550.6096743936755</v>
      </c>
      <c r="AZ68" s="47">
        <f>VLOOKUP($B68&amp;$C68,'[1]FC3 Prod'!$A$6:$BP$36,[2]Consolidated!AZ$1)</f>
        <v>1778.6667559962482</v>
      </c>
      <c r="BA68" s="47">
        <f>VLOOKUP($B68&amp;$C68,'[1]FC3 Prod'!$A$6:$BP$36,[2]Consolidated!BA$1)</f>
        <v>23794.598686855155</v>
      </c>
      <c r="BB68" s="47">
        <f>VLOOKUP($B68&amp;$C68,'[1]FC3 Prod'!$A$6:$BP$36,[2]Consolidated!BB$1)</f>
        <v>648.278306311135</v>
      </c>
      <c r="BC68" s="47">
        <f>VLOOKUP($B68&amp;$C68,'[1]FC3 Prod'!$A$6:$BP$36,[2]Consolidated!BC$1)</f>
        <v>7728.1602572691954</v>
      </c>
      <c r="BD68" s="49">
        <f>VLOOKUP($B68&amp;$C68,'[1]FC3 Prod'!$A$6:$BP$36,[2]Consolidated!BD$1)</f>
        <v>73204.269194693828</v>
      </c>
      <c r="BE68" s="47">
        <f>VLOOKUP($B68&amp;$C68,'[1]FC3 Prod'!$A$6:$BP$36,[2]Consolidated!BE$1)</f>
        <v>25431.681897360315</v>
      </c>
      <c r="BF68" s="47">
        <f>VLOOKUP($B68&amp;$C68,'[1]FC3 Prod'!$A$6:$BP$36,[2]Consolidated!BF$1)</f>
        <v>8481.5477957925777</v>
      </c>
      <c r="BG68" s="50">
        <f>VLOOKUP($B68&amp;$C68,'[1]FC3 Prod'!$A$6:$BP$36,[2]Consolidated!BG$1)</f>
        <v>999.37826611282344</v>
      </c>
      <c r="BH68" s="50">
        <f>VLOOKUP($B68&amp;$C68,'[1]FC3 Prod'!$A$6:$BP$36,[2]Consolidated!BH$1)</f>
        <v>604.85873402117124</v>
      </c>
      <c r="BI68" s="50">
        <f>VLOOKUP($B68&amp;$C68,'[1]FC3 Prod'!$A$6:$BP$36,[2]Consolidated!BI$1)</f>
        <v>68818.892393407485</v>
      </c>
      <c r="BJ68" s="37" t="e">
        <f>VLOOKUP($B68&amp;$C68,'[1]FC3 Prod'!$A$6:$BP$36,[2]Consolidated!BJ$1)</f>
        <v>#REF!</v>
      </c>
      <c r="BK68" s="37" t="e">
        <f>VLOOKUP($B68&amp;$C68,'[1]FC3 Prod'!$A$6:$BP$36,[2]Consolidated!BK$1)</f>
        <v>#REF!</v>
      </c>
      <c r="BL68" s="37" t="e">
        <f>VLOOKUP($B68&amp;$C68,'[1]FC3 Prod'!$A$6:$BP$36,[2]Consolidated!BL$1)</f>
        <v>#REF!</v>
      </c>
      <c r="BM68" s="37" t="e">
        <f>VLOOKUP($B68&amp;$C68,'[1]FC3 Prod'!$A$6:$BP$36,[2]Consolidated!BM$1)</f>
        <v>#REF!</v>
      </c>
      <c r="BN68" s="37" t="e">
        <f>VLOOKUP($B68&amp;$C68,'[1]FC3 Prod'!$A$6:$BP$36,[2]Consolidated!BN$1)</f>
        <v>#REF!</v>
      </c>
      <c r="BO68" s="37" t="e">
        <f>VLOOKUP($B68&amp;$C68,'[1]FC3 Prod'!$A$6:$BP$36,[2]Consolidated!BO$1)</f>
        <v>#REF!</v>
      </c>
      <c r="BP68" s="37" t="str">
        <f>VLOOKUP($B68&amp;$C68,'[1]FC3 Prod'!$A$6:$BP$36,[2]Consolidated!BP$1)</f>
        <v>NIL</v>
      </c>
      <c r="BQ68" s="51" t="e">
        <f>VLOOKUP($B68&amp;$C68,'[1]FC3 Prod'!$A$6:$BP$36,[2]Consolidated!BQ$1)</f>
        <v>#REF!</v>
      </c>
      <c r="BR68" s="51">
        <f>VLOOKUP($B68&amp;$C68,'[1]FC3 Prod'!$A$6:$BQ$36,[2]Consolidated!BR$1)</f>
        <v>60369</v>
      </c>
      <c r="BS68" s="52">
        <f t="shared" si="80"/>
        <v>58707.206646120867</v>
      </c>
      <c r="BT68" s="32">
        <f t="shared" ref="BT68:BT69" si="82">BR68-BS68</f>
        <v>1661.7933538791331</v>
      </c>
      <c r="BU68" s="37">
        <f t="shared" ref="BU68:BU69" si="83">E68*BT68</f>
        <v>62009.818999999843</v>
      </c>
      <c r="BV68" s="53" t="s">
        <v>132</v>
      </c>
      <c r="BW68" s="54" cm="1">
        <f t="array" ref="BW68">IFERROR(VLOOKUP($A68,TRANSPOSE('[1]Fur 3 PLC'!$AS$1:$BX$38),8,0),0)</f>
        <v>837.27723435615712</v>
      </c>
      <c r="BX68" s="54" cm="1">
        <f t="array" ref="BX68">IFERROR(VLOOKUP($A68,TRANSPOSE('[1]Fur 3 PLC'!$AS$1:$BX$38),30,0),0)</f>
        <v>0</v>
      </c>
      <c r="BY68" s="54" cm="1">
        <f t="array" ref="BY68">IFERROR(VLOOKUP($A68,TRANSPOSE('[1]Fur 3 PLC'!$AS$1:$BX$38),14,0),0)</f>
        <v>0</v>
      </c>
      <c r="BZ68" s="54" cm="1">
        <f t="array" ref="BZ68">IFERROR(VLOOKUP($A68,TRANSPOSE('[1]Fur 3 PLC'!$AS$1:$BX$38),16,0),0)</f>
        <v>0</v>
      </c>
      <c r="CA68" s="54" cm="1">
        <f t="array" ref="CA68">IFERROR(VLOOKUP($A68,TRANSPOSE('[1]Fur 3 PLC'!$AS$1:$BX$38),9,0),0)</f>
        <v>392.79110277368352</v>
      </c>
      <c r="CB68" s="54" cm="1">
        <f t="array" ref="CB68">IFERROR(VLOOKUP($A68,TRANSPOSE('[1]Fur 3 PLC'!$AS$1:$BX$38),17,0),0)</f>
        <v>0</v>
      </c>
      <c r="CC68" s="54" cm="1">
        <f t="array" ref="CC68">IFERROR(VLOOKUP($A68,TRANSPOSE('[1]Fur 3 PLC'!$AS$1:$BX$38),20,0),0)</f>
        <v>89.240251909419811</v>
      </c>
      <c r="CD68" s="54" cm="1">
        <f t="array" ref="CD68">IFERROR(VLOOKUP($A68,TRANSPOSE('[1]Fur 3 PLC'!$AS$1:$BX$38),28,0),0)</f>
        <v>0</v>
      </c>
      <c r="CE68" s="54" cm="1">
        <f t="array" ref="CE68">IFERROR(VLOOKUP($A68,TRANSPOSE('[1]Fur 3 PLC'!$AS$1:$BX$38),13,0),0)</f>
        <v>0</v>
      </c>
      <c r="CF68" s="54" cm="1">
        <f t="array" ref="CF68">IFERROR(VLOOKUP($A68,TRANSPOSE('[1]Fur 3 PLC'!$AS$1:$BX$38),37,0),0)</f>
        <v>350.36848452365007</v>
      </c>
      <c r="CG68" s="54" cm="1">
        <f t="array" ref="CG68">IFERROR(VLOOKUP($A68,TRANSPOSE('[1]Fur 3 PLC'!$AS$1:$BX$38),6,0),0)</f>
        <v>0</v>
      </c>
      <c r="CH68" s="54" cm="1">
        <f t="array" ref="CH68">IFERROR(VLOOKUP($A68,TRANSPOSE('[1]Fur 3 PLC'!$AS$1:$BX$38),21,0),0)</f>
        <v>0</v>
      </c>
      <c r="CI68" s="54" cm="1">
        <f t="array" ref="CI68">IFERROR(VLOOKUP($A68,TRANSPOSE('[1]Fur 3 PLC'!$AS$1:$BX$38),12,0),0)</f>
        <v>0</v>
      </c>
      <c r="CJ68" s="54" cm="1">
        <f t="array" ref="CJ68">IFERROR(VLOOKUP($A68,TRANSPOSE('[1]Fur 3 PLC'!$AS$1:$BX$38),25,0),0)</f>
        <v>0</v>
      </c>
      <c r="CK68" s="54" cm="1">
        <f t="array" ref="CK68">IFERROR(VLOOKUP($A68,TRANSPOSE('[1]Fur 3 PLC'!$AS$1:$BX$38),26,0),0)</f>
        <v>402.35830095136004</v>
      </c>
      <c r="CL68" s="54" cm="1">
        <f t="array" ref="CL68">IFERROR(VLOOKUP($A68,TRANSPOSE('[1]Fur 3 PLC'!$AS$1:$BX$38),27,0),0)</f>
        <v>131.63607128500604</v>
      </c>
      <c r="CM68" s="54" cm="1">
        <f t="array" ref="CM68">IFERROR(VLOOKUP($A68,TRANSPOSE('[1]Fur 3 PLC'!$AS$1:$BX$38),22,0),0)</f>
        <v>0</v>
      </c>
      <c r="CN68" s="54"/>
      <c r="CO68" s="54" cm="1">
        <f t="array" ref="CO68">IFERROR(VLOOKUP($A68,TRANSPOSE('[1]Fur 3 PLC'!$AS$1:$BX$38),29,0),0)</f>
        <v>109.39300549376927</v>
      </c>
      <c r="CP68" s="54" cm="1">
        <f t="array" ref="CP68">IFERROR(VLOOKUP($A68,TRANSPOSE('[1]Fur 3 PLC'!$AS$1:$BX$38),10,0),0)</f>
        <v>0</v>
      </c>
      <c r="CQ68" s="54" cm="1">
        <f t="array" ref="CQ68">IFERROR(VLOOKUP($A68,TRANSPOSE('[1]Fur 3 PLC'!$AS$1:$BX$38),7,0),0)</f>
        <v>219.64357496985127</v>
      </c>
      <c r="CR68" s="54" cm="1">
        <f t="array" ref="CR68">IFERROR(VLOOKUP($A68,TRANSPOSE('[1]Fur 3 PLC'!$AS$1:$BX$38),35,0),0)</f>
        <v>22.24306579123677</v>
      </c>
      <c r="CS68" s="54" cm="1">
        <f t="array" ref="CS68">IFERROR(VLOOKUP($A68,TRANSPOSE('[1]Fur 3 PLC'!$AS$1:$BX$38),11,0),0)</f>
        <v>0</v>
      </c>
      <c r="CT68" s="54" cm="1">
        <f t="array" ref="CT68">IFERROR(VLOOKUP($A68,TRANSPOSE('[1]Fur 3 PLC'!$AS$1:$BX$38),19,0),0)</f>
        <v>0</v>
      </c>
      <c r="CU68" s="54" cm="1">
        <f t="array" ref="CU68">IFERROR(VLOOKUP($A68,TRANSPOSE('[1]Fur 3 PLC'!$AS$1:$BX$38),18,0),0)</f>
        <v>364.41109473402122</v>
      </c>
      <c r="CV68" s="54" cm="1">
        <f t="array" ref="CV68">IFERROR(VLOOKUP($A68,TRANSPOSE('[1]Fur 3 PLC'!$AR$1:$BV$38),15,0),0)</f>
        <v>348.4389655634464</v>
      </c>
      <c r="CW68" s="54" cm="1">
        <f t="array" ref="CW68">IFERROR(VLOOKUP($A68,TRANSPOSE('[1]Fur 3 PLC'!$CK$1:$DO$38),8,0),0)</f>
        <v>459.45588235294116</v>
      </c>
      <c r="CX68" s="54" cm="1">
        <f t="array" ref="CX68">IFERROR(VLOOKUP($A68,TRANSPOSE('[1]Fur 3 PLC'!$CK$1:$DO$38),30,0),0)</f>
        <v>0</v>
      </c>
      <c r="CY68" s="54" cm="1">
        <f t="array" ref="CY68">IFERROR(VLOOKUP($A68,TRANSPOSE('[1]Fur 3 PLC'!$CK$1:$DO$38),14,0),0)</f>
        <v>0</v>
      </c>
      <c r="CZ68" s="54" cm="1">
        <f t="array" ref="CZ68">IFERROR(VLOOKUP($A68,TRANSPOSE('[1]Fur 3 PLC'!$CK$1:$DO$38),16,0),0)</f>
        <v>0</v>
      </c>
      <c r="DA68" s="54" cm="1">
        <f t="array" ref="DA68">IFERROR(VLOOKUP($A68,TRANSPOSE('[1]Fur 3 PLC'!$CK$1:$DO$38),9,0),0)</f>
        <v>215.54411764705884</v>
      </c>
      <c r="DB68" s="55" cm="1">
        <f t="array" ref="DB68">IFERROR(VLOOKUP($A68,TRANSPOSE('[1]Fur 3 PLC'!$CK$1:$DO$38),17,0),0)</f>
        <v>0</v>
      </c>
      <c r="DC68" s="55" cm="1">
        <f t="array" ref="DC68">IFERROR(VLOOKUP($A68,TRANSPOSE('[1]Fur 3 PLC'!$CK$1:$DO$38),20,0),0)</f>
        <v>48.970588235294123</v>
      </c>
      <c r="DD68" s="54" cm="1">
        <f t="array" ref="DD68">IFERROR(VLOOKUP($A68,TRANSPOSE('[1]Fur 3 PLC'!$CK$1:$DO$38),28,0),0)</f>
        <v>0</v>
      </c>
      <c r="DE68" s="54" cm="1">
        <f t="array" ref="DE68">IFERROR(VLOOKUP($A68,TRANSPOSE('[1]Fur 3 PLC'!$CK$1:$DO$38),13,0),0)</f>
        <v>0</v>
      </c>
      <c r="DF68" s="54" cm="1">
        <f t="array" ref="DF68">IFERROR(VLOOKUP($A68,TRANSPOSE('[1]Fur 3 PLC'!$CK$1:$DO$38),37,0),0)</f>
        <v>192.26470588235296</v>
      </c>
      <c r="DG68" s="54" cm="1">
        <f t="array" ref="DG68">IFERROR(VLOOKUP($A68,TRANSPOSE('[1]Fur 3 PLC'!$CK$1:$DO$38),6,0),0)</f>
        <v>0</v>
      </c>
      <c r="DH68" s="54" cm="1">
        <f t="array" ref="DH68">IFERROR(VLOOKUP($A68,TRANSPOSE('[1]Fur 3 PLC'!$CK$1:$DO$38),21,0),0)</f>
        <v>0</v>
      </c>
      <c r="DI68" s="54" cm="1">
        <f t="array" ref="DI68">IFERROR(VLOOKUP($A68,TRANSPOSE('[1]Fur 3 PLC'!$CK$1:$DO$38),12,0),0)</f>
        <v>0</v>
      </c>
      <c r="DJ68" s="54" cm="1">
        <f t="array" ref="DJ68">IFERROR(VLOOKUP($A68,TRANSPOSE('[1]Fur 3 PLC'!$CK$1:$DO$38),25,0),0)</f>
        <v>0</v>
      </c>
      <c r="DK68" s="54" cm="1">
        <f t="array" ref="DK68">IFERROR(VLOOKUP($A68,TRANSPOSE('[1]Fur 3 PLC'!$CK$1:$DO$38),26,0),0)</f>
        <v>220.79411764705881</v>
      </c>
      <c r="DL68" s="54" cm="1">
        <f t="array" ref="DL68">IFERROR(VLOOKUP($A68,TRANSPOSE('[1]Fur 3 PLC'!$CK$1:$DO$38),27,0),0)</f>
        <v>72.235294117647058</v>
      </c>
      <c r="DM68" s="54" cm="1">
        <f t="array" ref="DM68">IFERROR(VLOOKUP($A68,TRANSPOSE('[1]Fur 3 PLC'!$CK$1:$DO$38),22,0),0)</f>
        <v>0</v>
      </c>
      <c r="DN68" s="54" cm="1">
        <f t="array" ref="DN68">IFERROR(VLOOKUP($A68,TRANSPOSE('[1]Fur 3 PLC'!$CK$1:$DO$38),19,0),0)</f>
        <v>0</v>
      </c>
      <c r="DO68" s="54" cm="1">
        <f t="array" ref="DO68">IFERROR(VLOOKUP($A68,TRANSPOSE('[1]Fur 3 PLC'!$CK$1:$DO$38),29,0),0)</f>
        <v>60.029411764705877</v>
      </c>
      <c r="DP68" s="54" cm="1">
        <f t="array" ref="DP68">IFERROR(VLOOKUP($A68,TRANSPOSE('[1]Fur 3 PLC'!$CK$1:$DO$38),10,0),0)</f>
        <v>0</v>
      </c>
      <c r="DQ68" s="54" cm="1">
        <f t="array" ref="DQ68">IFERROR(VLOOKUP($A68,TRANSPOSE('[1]Fur 3 PLC'!$CK$1:$DO$38),7,0),0)</f>
        <v>120.52941176470588</v>
      </c>
      <c r="DR68" s="54" cm="1">
        <f t="array" ref="DR68">IFERROR(VLOOKUP($A68,TRANSPOSE('[1]Fur 3 PLC'!$CK$1:$DO$38),35,0),0)</f>
        <v>12.205882352941176</v>
      </c>
      <c r="DS68" s="54" cm="1">
        <f t="array" ref="DS68">IFERROR(VLOOKUP($A68,TRANSPOSE('[1]Fur 3 PLC'!$CK$1:$DO$38),11,0),0)</f>
        <v>0</v>
      </c>
      <c r="DT68" s="54" cm="1">
        <f t="array" ref="DT68">IFERROR(VLOOKUP($A68,TRANSPOSE('[1]Fur 3 PLC'!$CK$1:$DO$38),19,0),0)</f>
        <v>0</v>
      </c>
      <c r="DU68" s="54" cm="1">
        <f t="array" ref="DU68">IFERROR(VLOOKUP($A68,TRANSPOSE('[1]Fur 3 PLC'!$CK$1:$DO$38),18,0),0)</f>
        <v>199.97058823529412</v>
      </c>
      <c r="DV68" s="54" cm="1">
        <f t="array" ref="DV68">IFERROR(VLOOKUP($A68,TRANSPOSE('[1]Fur 3 PLC'!$CK$1:$DO$38),15,0),0)</f>
        <v>191.20588235294119</v>
      </c>
      <c r="DW68" t="str">
        <f t="shared" si="81"/>
        <v>Dec-25</v>
      </c>
    </row>
    <row r="69" spans="1:127" x14ac:dyDescent="0.3">
      <c r="A69" s="28" t="str">
        <f t="shared" si="59"/>
        <v>F446008</v>
      </c>
      <c r="B69" s="29" t="s">
        <v>29</v>
      </c>
      <c r="C69" s="30">
        <f>C68</f>
        <v>46008</v>
      </c>
      <c r="D69" s="29" t="str">
        <f>VLOOKUP($B69&amp;$C69,'[1]FC4 Prod'!$A$6:$BP$36,[2]Consolidated!D$1)</f>
        <v>Mr.Ganesh Ghosh Ji</v>
      </c>
      <c r="E69" s="29">
        <f>VLOOKUP($B69&amp;$C69,'[1]FC4 Prod'!$A$6:$BP$36,[2]Consolidated!E$1)</f>
        <v>52.019999999999996</v>
      </c>
      <c r="F69" s="31">
        <f>VLOOKUP($B69&amp;$C69,'[1]FC4 Prod'!$A$6:$BP$36,[2]Consolidated!F$1)</f>
        <v>0.25000000000000711</v>
      </c>
      <c r="G69" s="32">
        <f>VLOOKUP($B69&amp;$C69,'[1]FC4 Prod'!$A$6:$BP$36,[2]Consolidated!G$1)</f>
        <v>52.27</v>
      </c>
      <c r="H69" s="32">
        <f>VLOOKUP($B69&amp;$C69,'[1]FC4 Prod'!$A$6:$BP$36,[2]Consolidated!H$1)</f>
        <v>21.720000000000002</v>
      </c>
      <c r="I69" s="32">
        <f>VLOOKUP($B69&amp;$C69,'[1]FC4 Prod'!$A$6:$BP$36,[2]Consolidated!I$1)</f>
        <v>10.119999999999999</v>
      </c>
      <c r="J69" s="32">
        <f>VLOOKUP($B69&amp;$C69,'[1]FC4 Prod'!$A$6:$BP$36,[2]Consolidated!J$1)</f>
        <v>40.68</v>
      </c>
      <c r="K69" s="32">
        <f>VLOOKUP($B69&amp;$C69,'[1]FC4 Prod'!$A$6:$BP$36,[2]Consolidated!K$1)</f>
        <v>1.41</v>
      </c>
      <c r="L69" s="32">
        <f>VLOOKUP($B69&amp;$C69,'[1]FC4 Prod'!$A$6:$BP$36,[2]Consolidated!L$1)</f>
        <v>22.32</v>
      </c>
      <c r="M69" s="32">
        <f>VLOOKUP($B69&amp;$C69,'[1]FC4 Prod'!$A$6:$BP$36,[2]Consolidated!M$1)</f>
        <v>4.6500000000000004</v>
      </c>
      <c r="N69" s="32">
        <f>VLOOKUP($B69&amp;$C69,'[1]FC4 Prod'!$A$6:$BP$36,[2]Consolidated!N$1)</f>
        <v>17.88</v>
      </c>
      <c r="O69" s="32">
        <f>VLOOKUP($B69&amp;$C69,'[1]FC4 Prod'!$A$6:$BP$36,[2]Consolidated!O$1)</f>
        <v>0.66</v>
      </c>
      <c r="P69" s="33">
        <f>VLOOKUP($B69&amp;$C69,'[1]FC4 Prod'!$A$6:$BP$36,[2]Consolidated!P$1)</f>
        <v>8</v>
      </c>
      <c r="Q69" s="29">
        <f>VLOOKUP($B69&amp;$C69,'[1]FC4 Prod'!$A$6:$BP$36,[2]Consolidated!Q$1)</f>
        <v>95.093000000000004</v>
      </c>
      <c r="R69" s="29">
        <f>VLOOKUP($B69&amp;$C69,'[1]FC4 Prod'!$A$6:$BP$36,[2]Consolidated!R$1)</f>
        <v>31.027999999999999</v>
      </c>
      <c r="S69" s="34">
        <f>VLOOKUP($B69&amp;$C69,'[1]FC4 Prod'!$A$6:$BP$36,[2]Consolidated!S$1)</f>
        <v>38</v>
      </c>
      <c r="T69" s="34">
        <f>VLOOKUP($B69&amp;$C69,'[1]FC4 Prod'!$A$6:$BP$36,[2]Consolidated!T$1)</f>
        <v>28</v>
      </c>
      <c r="U69" s="34">
        <f>VLOOKUP($B69&amp;$C69,'[1]FC4 Prod'!$A$6:$BP$36,[2]Consolidated!U$1)</f>
        <v>28</v>
      </c>
      <c r="V69" s="34">
        <f>VLOOKUP($B69&amp;$C69,'[1]FC4 Prod'!$A$6:$BP$36,[2]Consolidated!V$1)</f>
        <v>94</v>
      </c>
      <c r="W69" s="35">
        <f>VLOOKUP($B69&amp;$C69,'[1]FC4 Prod'!$A$6:$BP$36,[2]Consolidated!W$1)</f>
        <v>1.8280084582852751</v>
      </c>
      <c r="X69" s="35">
        <f>VLOOKUP($B69&amp;$C69,'[1]FC4 Prod'!$A$6:$BP$36,[2]Consolidated!X$1)</f>
        <v>53.89</v>
      </c>
      <c r="Y69" s="36">
        <f>VLOOKUP($B69&amp;$C69,'[1]FC4 Prod'!$A$6:$BP$36,[2]Consolidated!Y$1)</f>
        <v>0.96529968454258663</v>
      </c>
      <c r="Z69" s="37" t="str">
        <f>VLOOKUP($B69&amp;$C69,'[1]FC4 Prod'!$A$6:$BP$36,[2]Consolidated!Z$1)</f>
        <v>40/8</v>
      </c>
      <c r="AA69" s="31">
        <f>VLOOKUP($B69&amp;$C69,'[1]FC4 Prod'!$A$6:$BP$36,[2]Consolidated!AA$1)</f>
        <v>36.739999999999995</v>
      </c>
      <c r="AB69" s="31">
        <f>VLOOKUP($B69&amp;$C69,'[1]FC4 Prod'!$A$6:$BP$36,[2]Consolidated!AB$1)</f>
        <v>7.3899999999999988</v>
      </c>
      <c r="AC69" s="31">
        <f>VLOOKUP($B69&amp;$C69,'[1]FC4 Prod'!$A$6:$BP$36,[2]Consolidated!AC$1)</f>
        <v>0</v>
      </c>
      <c r="AD69" s="38">
        <f>VLOOKUP($B69&amp;$C69,'[1]FC4 Prod'!$A$6:$BP$36,[2]Consolidated!AD$1)</f>
        <v>355.53940173010392</v>
      </c>
      <c r="AE69" s="38">
        <f>VLOOKUP($B69&amp;$C69,'[1]FC4 Prod'!$A$6:$BP$36,[2]Consolidated!AE$1)</f>
        <v>406.64763563629378</v>
      </c>
      <c r="AF69" s="39">
        <f>VLOOKUP($B69&amp;$C69,'[1]FC4 Prod'!$A$6:$BP$36,[2]Consolidated!AF$1)</f>
        <v>1.0333594482416877</v>
      </c>
      <c r="AG69" s="39">
        <f>VLOOKUP($B69&amp;$C69,'[1]FC4 Prod'!$A$6:$BP$36,[2]Consolidated!AG$1)</f>
        <v>0.90348490389011626</v>
      </c>
      <c r="AH69" s="34">
        <f>VLOOKUP($B69&amp;$C69,'[1]FC4 Prod'!$A$6:$BP$36,[2]Consolidated!AH$1)</f>
        <v>397.96778392925796</v>
      </c>
      <c r="AI69" s="33">
        <f>VLOOKUP($B69&amp;$C69,'[1]FC4 Prod'!$A$6:$BP$36,[2]Consolidated!AI$1)</f>
        <v>327.85132210688204</v>
      </c>
      <c r="AJ69" s="39">
        <f>VLOOKUP($B69&amp;$C69,'[1]FC4 Prod'!$A$6:$BP$36,[2]Consolidated!AJ$1)</f>
        <v>0.68157124855665718</v>
      </c>
      <c r="AK69" s="39">
        <f>VLOOKUP($B69&amp;$C69,'[1]FC4 Prod'!$A$6:$BP$36,[2]Consolidated!AK$1)</f>
        <v>0.65394221808483077</v>
      </c>
      <c r="AL69" s="40" t="str">
        <f>VLOOKUP($B69&amp;$C69,'[1]FC4 Prod'!$A$6:$BP$36,[2]Consolidated!AL$1)</f>
        <v>25/50</v>
      </c>
      <c r="AM69" s="41">
        <f>VLOOKUP($B69&amp;$C69,'[1]FC4 Prod'!$A$6:$BP$36,[2]Consolidated!AM$1)</f>
        <v>4.6328335255670899E-2</v>
      </c>
      <c r="AN69" s="42">
        <f>VLOOKUP($B69&amp;$C69,'[1]FC4 Prod'!$A$6:$BP$36,[2]Consolidated!AN$1)</f>
        <v>144.80000000000001</v>
      </c>
      <c r="AO69" s="43">
        <f>VLOOKUP($B69&amp;$C69,'[1]FC4 Prod'!$A$6:$BP$36,[2]Consolidated!AO$1)</f>
        <v>5.7770000000000001</v>
      </c>
      <c r="AP69" s="44">
        <f>VLOOKUP($B69&amp;$C69,'[1]FC4 Prod'!$A$6:$BP$36,[2]Consolidated!AP$1)</f>
        <v>2.8945982314494425</v>
      </c>
      <c r="AQ69" s="44">
        <f>VLOOKUP($B69&amp;$C69,'[1]FC4 Prod'!$A$6:$BP$36,[2]Consolidated!AQ$1)</f>
        <v>20.518953581973733</v>
      </c>
      <c r="AR69" s="45">
        <f>VLOOKUP($B69&amp;$C69,'[1]FC4 Prod'!$A$6:$BP$36,[2]Consolidated!AR$1)</f>
        <v>0.98907103825136633</v>
      </c>
      <c r="AS69" s="46">
        <f>VLOOKUP($B69&amp;$C69,'[1]FC4 Prod'!$A$6:$BP$36,[2]Consolidated!AS$1)</f>
        <v>2.0690000000000004</v>
      </c>
      <c r="AT69" s="29">
        <f>VLOOKUP($B69&amp;$C69,'[1]FC4 Prod'!$A$6:$BP$36,[2]Consolidated!AT$1)</f>
        <v>0.78666707741101927</v>
      </c>
      <c r="AU69" s="34">
        <f>VLOOKUP($B69&amp;$C69,'[1]FC4 Prod'!$A$6:$BP$36,[2]Consolidated!AU$1)</f>
        <v>531.21064814814815</v>
      </c>
      <c r="AV69" s="34">
        <f>VLOOKUP($B69&amp;$C69,'[1]FC4 Prod'!$A$6:$BP$36,[2]Consolidated!AV$1)</f>
        <v>216.66666666666666</v>
      </c>
      <c r="AW69" s="47">
        <f>VLOOKUP($B69&amp;$C69,'[1]FC4 Prod'!$A$6:$BP$36,[2]Consolidated!AW$1)</f>
        <v>13365.333910034602</v>
      </c>
      <c r="AX69" s="47">
        <f>VLOOKUP($B69&amp;$C69,'[1]FC4 Prod'!$A$6:$BP$36,[2]Consolidated!AX$1)</f>
        <v>8216.0034602076139</v>
      </c>
      <c r="AY69" s="48">
        <f>VLOOKUP($B69&amp;$C69,'[1]FC4 Prod'!$A$6:$BP$36,[2]Consolidated!AY$1)</f>
        <v>373.70242214532874</v>
      </c>
      <c r="AZ69" s="47">
        <f>VLOOKUP($B69&amp;$C69,'[1]FC4 Prod'!$A$6:$BP$36,[2]Consolidated!AZ$1)</f>
        <v>518.95328719723193</v>
      </c>
      <c r="BA69" s="47">
        <f>VLOOKUP($B69&amp;$C69,'[1]FC4 Prod'!$A$6:$BP$36,[2]Consolidated!BA$1)</f>
        <v>16933.399653979239</v>
      </c>
      <c r="BB69" s="47">
        <f>VLOOKUP($B69&amp;$C69,'[1]FC4 Prod'!$A$6:$BP$36,[2]Consolidated!BB$1)</f>
        <v>394.07392733564018</v>
      </c>
      <c r="BC69" s="47">
        <f>VLOOKUP($B69&amp;$C69,'[1]FC4 Prod'!$A$6:$BP$36,[2]Consolidated!BC$1)</f>
        <v>5499.7366397539408</v>
      </c>
      <c r="BD69" s="49">
        <f>VLOOKUP($B69&amp;$C69,'[1]FC4 Prod'!$A$6:$BP$36,[2]Consolidated!BD$1)</f>
        <v>45301.203300653593</v>
      </c>
      <c r="BE69" s="47">
        <f>VLOOKUP($B69&amp;$C69,'[1]FC4 Prod'!$A$6:$BP$36,[2]Consolidated!BE$1)</f>
        <v>15275.998615916958</v>
      </c>
      <c r="BF69" s="47">
        <f>VLOOKUP($B69&amp;$C69,'[1]FC4 Prod'!$A$6:$BP$36,[2]Consolidated!BF$1)</f>
        <v>6824.6370242214543</v>
      </c>
      <c r="BG69" s="50">
        <f>VLOOKUP($B69&amp;$C69,'[1]FC4 Prod'!$A$6:$BP$36,[2]Consolidated!BG$1)</f>
        <v>437.96808919646293</v>
      </c>
      <c r="BH69" s="50">
        <f>VLOOKUP($B69&amp;$C69,'[1]FC4 Prod'!$A$6:$BP$36,[2]Consolidated!BH$1)</f>
        <v>399.90956670511349</v>
      </c>
      <c r="BI69" s="50">
        <f>VLOOKUP($B69&amp;$C69,'[1]FC4 Prod'!$A$6:$BP$36,[2]Consolidated!BI$1)</f>
        <v>45890.602876970399</v>
      </c>
      <c r="BJ69" s="37" t="e">
        <f>VLOOKUP($B69&amp;$C69,'[1]FC4 Prod'!$A$6:$BP$36,[2]Consolidated!BJ$1)</f>
        <v>#REF!</v>
      </c>
      <c r="BK69" s="37" t="e">
        <f>VLOOKUP($B69&amp;$C69,'[1]FC4 Prod'!$A$6:$BP$36,[2]Consolidated!BK$1)</f>
        <v>#REF!</v>
      </c>
      <c r="BL69" s="37" t="e">
        <f>VLOOKUP($B69&amp;$C69,'[1]FC4 Prod'!$A$6:$BP$36,[2]Consolidated!BL$1)</f>
        <v>#REF!</v>
      </c>
      <c r="BM69" s="37" t="e">
        <f>VLOOKUP($B69&amp;$C69,'[1]FC4 Prod'!$A$6:$BP$36,[2]Consolidated!BM$1)</f>
        <v>#REF!</v>
      </c>
      <c r="BN69" s="37" t="e">
        <f>VLOOKUP($B69&amp;$C69,'[1]FC4 Prod'!$A$6:$BP$36,[2]Consolidated!BN$1)</f>
        <v>#REF!</v>
      </c>
      <c r="BO69" s="37" t="e">
        <f>VLOOKUP($B69&amp;$C69,'[1]FC4 Prod'!$A$6:$BP$36,[2]Consolidated!BO$1)</f>
        <v>#REF!</v>
      </c>
      <c r="BP69" s="37" t="str">
        <f>VLOOKUP($B69&amp;$C69,'[1]FC4 Prod'!$A$6:$BP$36,[2]Consolidated!BP$1)</f>
        <v>NIL</v>
      </c>
      <c r="BQ69" s="51" t="e">
        <f>VLOOKUP($B69&amp;$C69,'[1]FC4 Prod'!$A$6:$BP$36,[2]Consolidated!BQ$1)</f>
        <v>#REF!</v>
      </c>
      <c r="BR69" s="51">
        <f>VLOOKUP($B69&amp;$C69,'[1]FC4 Prod'!$A$6:$BQ$36,[2]Consolidated!BR$1)</f>
        <v>41644</v>
      </c>
      <c r="BS69" s="52">
        <f t="shared" ref="BS69" si="84">BE69+BF69*110%+BG69+BA69</f>
        <v>40154.467085736265</v>
      </c>
      <c r="BT69" s="32">
        <f t="shared" si="82"/>
        <v>1489.5329142637347</v>
      </c>
      <c r="BU69" s="37">
        <f t="shared" si="83"/>
        <v>77485.502199999479</v>
      </c>
      <c r="BV69" s="53" t="s">
        <v>132</v>
      </c>
      <c r="BW69" s="54" cm="1">
        <f t="array" ref="BW69">IFERROR(VLOOKUP($A69,TRANSPOSE('[1]Fur 4 PLC'!$AR$1:$BV$39),8,0),0)</f>
        <v>0</v>
      </c>
      <c r="BX69" s="54" cm="1">
        <f t="array" ref="BX69">IFERROR(VLOOKUP($A69,TRANSPOSE('[1]Fur 4 PLC'!$AR$1:$BV$39),30,0),0)</f>
        <v>0</v>
      </c>
      <c r="BY69" s="54" cm="1">
        <f t="array" ref="BY69">IFERROR(VLOOKUP($A69,TRANSPOSE('[1]Fur 4 PLC'!$AR$1:$BV$39),14,0),0)</f>
        <v>0</v>
      </c>
      <c r="BZ69" s="54" cm="1">
        <f t="array" ref="BZ69">IFERROR(VLOOKUP($A69,TRANSPOSE('[1]Fur 4 PLC'!$AR$1:$BV$39),16,0),0)</f>
        <v>0</v>
      </c>
      <c r="CA69" s="54" cm="1">
        <f t="array" ref="CA69">IFERROR(VLOOKUP($A69,TRANSPOSE('[1]Fur 4 PLC'!$AR$1:$BV$39),9,0),0)</f>
        <v>0</v>
      </c>
      <c r="CB69" s="54" cm="1">
        <f t="array" ref="CB69">IFERROR(VLOOKUP($A69,TRANSPOSE('[1]Fur 4 PLC'!$AR$1:$BV$39),17,0),0)</f>
        <v>0</v>
      </c>
      <c r="CC69" s="54" cm="1">
        <f t="array" ref="CC69">IFERROR(VLOOKUP($A69,TRANSPOSE('[1]Fur 4 PLC'!$AR$1:$BV$39),20,0),0)</f>
        <v>687.15878508266064</v>
      </c>
      <c r="CD69" s="54" cm="1">
        <f t="array" ref="CD69">IFERROR(VLOOKUP($A69,TRANSPOSE('[1]Fur 4 PLC'!$AR$1:$BV$39),28,0),0)</f>
        <v>0</v>
      </c>
      <c r="CE69" s="54" cm="1">
        <f t="array" ref="CE69">IFERROR(VLOOKUP($A69,TRANSPOSE('[1]Fur 4 PLC'!$AR$1:$BV$39),13,0),0)</f>
        <v>90.465205690119205</v>
      </c>
      <c r="CF69" s="54" cm="1">
        <f t="array" ref="CF69">IFERROR(VLOOKUP($A69,TRANSPOSE('[1]Fur 4 PLC'!$AR$1:$BV$39),37,0),0)</f>
        <v>21.72241445597847</v>
      </c>
      <c r="CG69" s="54" cm="1">
        <f t="array" ref="CG69">IFERROR(VLOOKUP($A69,TRANSPOSE('[1]Fur 4 PLC'!$AR$1:$BV$39),6,0),0)</f>
        <v>0</v>
      </c>
      <c r="CH69" s="54" cm="1">
        <f t="array" ref="CH69">IFERROR(VLOOKUP($A69,TRANSPOSE('[1]Fur 4 PLC'!$AR$1:$BV$39),21,0),0)</f>
        <v>668.93502499038834</v>
      </c>
      <c r="CI69" s="54" cm="1">
        <f t="array" ref="CI69">IFERROR(VLOOKUP($A69,TRANSPOSE('[1]Fur 4 PLC'!$AR$1:$BV$39),12,0),0)</f>
        <v>0</v>
      </c>
      <c r="CJ69" s="54" cm="1">
        <f t="array" ref="CJ69">IFERROR(VLOOKUP($A69,TRANSPOSE('[1]Fur 4 PLC'!$AR$1:$BV$39),25,0),0)</f>
        <v>108.28527489427145</v>
      </c>
      <c r="CK69" s="54" cm="1">
        <f t="array" ref="CK69">IFERROR(VLOOKUP($A69,TRANSPOSE('[1]Fur 4 PLC'!$AR$1:$BV$39),26,0),0)</f>
        <v>370.56901191849295</v>
      </c>
      <c r="CL69" s="54" cm="1">
        <f t="array" ref="CL69">IFERROR(VLOOKUP($A69,TRANSPOSE('[1]Fur 4 PLC'!$AR$1:$BV$39),27,0),0)</f>
        <v>0</v>
      </c>
      <c r="CM69" s="54" cm="1">
        <f t="array" ref="CM69">IFERROR(VLOOKUP($A69,TRANSPOSE('[1]Fur 4 PLC'!$AR$1:$BV$39),22,0),0)</f>
        <v>0</v>
      </c>
      <c r="CN69" s="54"/>
      <c r="CO69" s="54" cm="1">
        <f t="array" ref="CO69">IFERROR(VLOOKUP($A69,TRANSPOSE('[1]Fur 4 PLC'!$AR$1:$BV$39),29,0),0)</f>
        <v>117.60861207227991</v>
      </c>
      <c r="CP69" s="54" cm="1">
        <f t="array" ref="CP69">IFERROR(VLOOKUP($A69,TRANSPOSE('[1]Fur 4 PLC'!$AR$1:$BV$39),10,0),0)</f>
        <v>0</v>
      </c>
      <c r="CQ69" s="54" cm="1">
        <f t="array" ref="CQ69">IFERROR(VLOOKUP($A69,TRANSPOSE('[1]Fur 4 PLC'!$AR$1:$BV$39),7,0),0)</f>
        <v>153.80622837370242</v>
      </c>
      <c r="CR69" s="54" cm="1">
        <f t="array" ref="CR69">IFERROR(VLOOKUP($A69,TRANSPOSE('[1]Fur 4 PLC'!$AR$1:$BV$39),36,0),0)</f>
        <v>177.50865051903114</v>
      </c>
      <c r="CS69" s="54" cm="1">
        <f t="array" ref="CS69">IFERROR(VLOOKUP($A69,TRANSPOSE('[1]Fur 4 PLC'!$AR$1:$BV$39),11,0),0)</f>
        <v>0</v>
      </c>
      <c r="CT69" s="54" cm="1">
        <f t="array" ref="CT69">IFERROR(VLOOKUP($A69,TRANSPOSE('[1]Fur 4 PLC'!$AR$1:$BV$39),19,0),0)</f>
        <v>90.907343329488654</v>
      </c>
      <c r="CU69" s="54" cm="1">
        <f t="array" ref="CU69">IFERROR(VLOOKUP($A69,TRANSPOSE('[1]Fur 4 PLC'!$AR$1:$BV$39),18,0),0)</f>
        <v>290.54209919261825</v>
      </c>
      <c r="CV69" s="54" cm="1">
        <f t="array" ref="CV69">IFERROR(VLOOKUP($A69,TRANSPOSE('[1]Fur 4 PLC'!$AR$1:$BV$38),15,0),0)</f>
        <v>0</v>
      </c>
      <c r="CW69" s="54" cm="1">
        <f t="array" ref="CW69">IFERROR(VLOOKUP($A69,TRANSPOSE('[1]Fur 4 PLC'!$CK$1:$DO$39),8,0),0)</f>
        <v>0</v>
      </c>
      <c r="CX69" s="54" cm="1">
        <f t="array" ref="CX69">IFERROR(VLOOKUP($A69,TRANSPOSE('[1]Fur 4 PLC'!$CK$1:$DO$39),30,0),0)</f>
        <v>0</v>
      </c>
      <c r="CY69" s="54" cm="1">
        <f t="array" ref="CY69">IFERROR(VLOOKUP($A69,TRANSPOSE('[1]Fur 4 PLC'!$CK$1:$DO$39),14,0),0)</f>
        <v>0</v>
      </c>
      <c r="CZ69" s="54" cm="1">
        <f t="array" ref="CZ69">IFERROR(VLOOKUP($A69,TRANSPOSE('[1]Fur 4 PLC'!$CK$1:$DO$39),16,0),0)</f>
        <v>0</v>
      </c>
      <c r="DA69" s="54" cm="1">
        <f t="array" ref="DA69">IFERROR(VLOOKUP($A69,TRANSPOSE('[1]Fur 4 PLC'!$CK$1:$DO$39),9,0),0)</f>
        <v>0</v>
      </c>
      <c r="DB69" s="55" cm="1">
        <f t="array" ref="DB69">IFERROR(VLOOKUP($A69,TRANSPOSE('[1]Fur 4 PLC'!$CK$1:$DO$39),17,0),0)</f>
        <v>0</v>
      </c>
      <c r="DC69" s="55" cm="1">
        <f t="array" ref="DC69">IFERROR(VLOOKUP($A69,TRANSPOSE('[1]Fur 4 PLC'!$CK$1:$DO$39),20,0),0)</f>
        <v>380.27659574468089</v>
      </c>
      <c r="DD69" s="54" cm="1">
        <f t="array" ref="DD69">IFERROR(VLOOKUP($A69,TRANSPOSE('[1]Fur 4 PLC'!$CK$1:$DO$39),28,0),0)</f>
        <v>0</v>
      </c>
      <c r="DE69" s="54" cm="1">
        <f t="array" ref="DE69">IFERROR(VLOOKUP($A69,TRANSPOSE('[1]Fur 4 PLC'!$CK$1:$DO$39),13,0),0)</f>
        <v>50.063829787234049</v>
      </c>
      <c r="DF69" s="54" cm="1">
        <f t="array" ref="DF69">IFERROR(VLOOKUP($A69,TRANSPOSE('[1]Fur 4 PLC'!$CK$1:$DO$39),37,0),0)</f>
        <v>12.021276595744681</v>
      </c>
      <c r="DG69" s="54" cm="1">
        <f t="array" ref="DG69">IFERROR(VLOOKUP($A69,TRANSPOSE('[1]Fur 4 PLC'!$CK$1:$DO$39),6,0),0)</f>
        <v>0</v>
      </c>
      <c r="DH69" s="54" cm="1">
        <f t="array" ref="DH69">IFERROR(VLOOKUP($A69,TRANSPOSE('[1]Fur 4 PLC'!$CK$1:$DO$39),21,0),0)</f>
        <v>370.19148936170217</v>
      </c>
      <c r="DI69" s="54" cm="1">
        <f t="array" ref="DI69">IFERROR(VLOOKUP($A69,TRANSPOSE('[1]Fur 4 PLC'!$CK$1:$DO$39),12,0),0)</f>
        <v>0</v>
      </c>
      <c r="DJ69" s="54" cm="1">
        <f t="array" ref="DJ69">IFERROR(VLOOKUP($A69,TRANSPOSE('[1]Fur 4 PLC'!$CK$1:$DO$39),25,0),0)</f>
        <v>59.925531914893618</v>
      </c>
      <c r="DK69" s="54" cm="1">
        <f t="array" ref="DK69">IFERROR(VLOOKUP($A69,TRANSPOSE('[1]Fur 4 PLC'!$CK$1:$DO$39),26,0),0)</f>
        <v>205.07446808510642</v>
      </c>
      <c r="DL69" s="54" cm="1">
        <f t="array" ref="DL69">IFERROR(VLOOKUP($A69,TRANSPOSE('[1]Fur 4 PLC'!$CK$1:$DO$39),27,0),0)</f>
        <v>0</v>
      </c>
      <c r="DM69" s="54" cm="1">
        <f t="array" ref="DM69">IFERROR(VLOOKUP($A69,TRANSPOSE('[1]Fur 4 PLC'!$CK$1:$DO$39),22,0),0)</f>
        <v>0</v>
      </c>
      <c r="DN69" s="54" cm="1">
        <f t="array" ref="DN69">IFERROR(VLOOKUP($A69,TRANSPOSE('[1]Fur 4 PLC'!$CK$1:$DO$39),19,0),0)</f>
        <v>50.308510638297875</v>
      </c>
      <c r="DO69" s="54" cm="1">
        <f t="array" ref="DO69">IFERROR(VLOOKUP($A69,TRANSPOSE('[1]Fur 4 PLC'!$CK$1:$DO$39),29,0),0)</f>
        <v>65.085106382978722</v>
      </c>
      <c r="DP69" s="54" cm="1">
        <f t="array" ref="DP69">IFERROR(VLOOKUP($A69,TRANSPOSE('[1]Fur 4 PLC'!$CK$1:$DO$39),10,0),0)</f>
        <v>0</v>
      </c>
      <c r="DQ69" s="54" cm="1">
        <f t="array" ref="DQ69">IFERROR(VLOOKUP($A69,TRANSPOSE('[1]Fur 4 PLC'!$CK$1:$DO$39),7,0),0)</f>
        <v>85.117021276595736</v>
      </c>
      <c r="DR69" s="54" cm="1">
        <f t="array" ref="DR69">IFERROR(VLOOKUP($A69,TRANSPOSE('[1]Fur 4 PLC'!$CK$1:$DO$39),36,0),0)</f>
        <v>98.234042553191486</v>
      </c>
      <c r="DS69" s="54" cm="1">
        <f t="array" ref="DS69">IFERROR(VLOOKUP($A69,TRANSPOSE('[1]Fur 4 PLC'!$CK$1:$DO$39),11,0),0)</f>
        <v>0</v>
      </c>
      <c r="DT69" s="54" cm="1">
        <f t="array" ref="DT69">IFERROR(VLOOKUP($A69,TRANSPOSE('[1]Fur 4 PLC'!$CK$1:$DO$39),19,0),0)</f>
        <v>50.308510638297875</v>
      </c>
      <c r="DU69" s="54" cm="1">
        <f t="array" ref="DU69">IFERROR(VLOOKUP($A69,TRANSPOSE('[1]Fur 4 PLC'!$CK$1:$DO$39),18,0),0)</f>
        <v>160.78723404255322</v>
      </c>
      <c r="DV69" s="54" cm="1">
        <f t="array" ref="DV69">IFERROR(VLOOKUP($A69,TRANSPOSE('[1]Fur 4 PLC'!$CK$1:$DO$39),15,0),0)</f>
        <v>0</v>
      </c>
      <c r="DW69" t="str">
        <f t="shared" si="81"/>
        <v>Dec-25</v>
      </c>
    </row>
    <row r="70" spans="1:127" x14ac:dyDescent="0.3">
      <c r="A70" s="28" t="str">
        <f t="shared" si="59"/>
        <v>F146009</v>
      </c>
      <c r="B70" s="29" t="s">
        <v>26</v>
      </c>
      <c r="C70" s="30">
        <f>C66+1</f>
        <v>46009</v>
      </c>
      <c r="D70" s="29" t="str">
        <f>VLOOKUP($B70&amp;$C70,'[1]FC1 Prod'!$A$6:$BP$36,[2]Consolidated!D$1)</f>
        <v>Raju Singh</v>
      </c>
      <c r="E70" s="29">
        <f>VLOOKUP($B70&amp;$C70,'[1]FC1 Prod'!$A$6:$BP$36,[2]Consolidated!E$1)</f>
        <v>20.74</v>
      </c>
      <c r="F70" s="31">
        <f>VLOOKUP($B70&amp;$C70,'[1]FC1 Prod'!$A$6:$BP$36,[2]Consolidated!F$1)</f>
        <v>0</v>
      </c>
      <c r="G70" s="32">
        <f>VLOOKUP($B70&amp;$C70,'[1]FC1 Prod'!$A$6:$BP$36,[2]Consolidated!G$1)</f>
        <v>20.74</v>
      </c>
      <c r="H70" s="32">
        <f>VLOOKUP($B70&amp;$C70,'[1]FC1 Prod'!$A$6:$BP$36,[2]Consolidated!H$1)</f>
        <v>15.43</v>
      </c>
      <c r="I70" s="32">
        <f>VLOOKUP($B70&amp;$C70,'[1]FC1 Prod'!$A$6:$BP$36,[2]Consolidated!I$1)</f>
        <v>6.43</v>
      </c>
      <c r="J70" s="32">
        <f>VLOOKUP($B70&amp;$C70,'[1]FC1 Prod'!$A$6:$BP$36,[2]Consolidated!J$1)</f>
        <v>39.755000000000003</v>
      </c>
      <c r="K70" s="32">
        <f>VLOOKUP($B70&amp;$C70,'[1]FC1 Prod'!$A$6:$BP$36,[2]Consolidated!K$1)</f>
        <v>1.3175000000000001</v>
      </c>
      <c r="L70" s="32">
        <f>VLOOKUP($B70&amp;$C70,'[1]FC1 Prod'!$A$6:$BP$36,[2]Consolidated!L$1)</f>
        <v>28.405000000000001</v>
      </c>
      <c r="M70" s="32">
        <f>VLOOKUP($B70&amp;$C70,'[1]FC1 Prod'!$A$6:$BP$36,[2]Consolidated!M$1)</f>
        <v>4.9249999999999998</v>
      </c>
      <c r="N70" s="32">
        <f>VLOOKUP($B70&amp;$C70,'[1]FC1 Prod'!$A$6:$BP$36,[2]Consolidated!N$1)</f>
        <v>16.1325</v>
      </c>
      <c r="O70" s="32">
        <f>VLOOKUP($B70&amp;$C70,'[1]FC1 Prod'!$A$6:$BP$36,[2]Consolidated!O$1)</f>
        <v>0.84</v>
      </c>
      <c r="P70" s="33">
        <f>VLOOKUP($B70&amp;$C70,'[1]FC1 Prod'!$A$6:$BP$36,[2]Consolidated!P$1)</f>
        <v>8</v>
      </c>
      <c r="Q70" s="29">
        <f>VLOOKUP($B70&amp;$C70,'[1]FC1 Prod'!$A$6:$BP$36,[2]Consolidated!Q$1)</f>
        <v>41.034999999999997</v>
      </c>
      <c r="R70" s="29">
        <f>VLOOKUP($B70&amp;$C70,'[1]FC1 Prod'!$A$6:$BP$36,[2]Consolidated!R$1)</f>
        <v>12.335999999999999</v>
      </c>
      <c r="S70" s="34">
        <f>VLOOKUP($B70&amp;$C70,'[1]FC1 Prod'!$A$6:$BP$36,[2]Consolidated!S$1)</f>
        <v>18</v>
      </c>
      <c r="T70" s="34">
        <f>VLOOKUP($B70&amp;$C70,'[1]FC1 Prod'!$A$6:$BP$36,[2]Consolidated!T$1)</f>
        <v>16</v>
      </c>
      <c r="U70" s="34">
        <f>VLOOKUP($B70&amp;$C70,'[1]FC1 Prod'!$A$6:$BP$36,[2]Consolidated!U$1)</f>
        <v>12</v>
      </c>
      <c r="V70" s="34">
        <f>VLOOKUP($B70&amp;$C70,'[1]FC1 Prod'!$A$6:$BP$36,[2]Consolidated!V$1)</f>
        <v>46</v>
      </c>
      <c r="W70" s="35">
        <f>VLOOKUP($B70&amp;$C70,'[1]FC1 Prod'!$A$6:$BP$36,[2]Consolidated!W$1)</f>
        <v>1.9785438765670202</v>
      </c>
      <c r="X70" s="35">
        <f>VLOOKUP($B70&amp;$C70,'[1]FC1 Prod'!$A$6:$BP$36,[2]Consolidated!X$1)</f>
        <v>21.38</v>
      </c>
      <c r="Y70" s="36">
        <f>VLOOKUP($B70&amp;$C70,'[1]FC1 Prod'!$A$6:$BP$36,[2]Consolidated!Y$1)</f>
        <v>0.97006548175865293</v>
      </c>
      <c r="Z70" s="37" t="str">
        <f>VLOOKUP($B70&amp;$C70,'[1]FC1 Prod'!$A$6:$BP$36,[2]Consolidated!Z$1)</f>
        <v>55/22</v>
      </c>
      <c r="AA70" s="31">
        <f>VLOOKUP($B70&amp;$C70,'[1]FC1 Prod'!$A$6:$BP$36,[2]Consolidated!AA$1)</f>
        <v>55.007499999999993</v>
      </c>
      <c r="AB70" s="31">
        <f>VLOOKUP($B70&amp;$C70,'[1]FC1 Prod'!$A$6:$BP$36,[2]Consolidated!AB$1)</f>
        <v>20.934999999999999</v>
      </c>
      <c r="AC70" s="31">
        <f>VLOOKUP($B70&amp;$C70,'[1]FC1 Prod'!$A$6:$BP$36,[2]Consolidated!AC$1)</f>
        <v>0.49</v>
      </c>
      <c r="AD70" s="38">
        <f>VLOOKUP($B70&amp;$C70,'[1]FC1 Prod'!$A$6:$BP$36,[2]Consolidated!AD$1)</f>
        <v>740.731619141755</v>
      </c>
      <c r="AE70" s="38">
        <f>VLOOKUP($B70&amp;$C70,'[1]FC1 Prod'!$A$6:$BP$36,[2]Consolidated!AE$1)</f>
        <v>632.1656769575701</v>
      </c>
      <c r="AF70" s="39">
        <f>VLOOKUP($B70&amp;$C70,'[1]FC1 Prod'!$A$6:$BP$36,[2]Consolidated!AF$1)</f>
        <v>0.74261039462220013</v>
      </c>
      <c r="AG70" s="39">
        <f>VLOOKUP($B70&amp;$C70,'[1]FC1 Prod'!$A$6:$BP$36,[2]Consolidated!AG$1)</f>
        <v>0.87014372980094601</v>
      </c>
      <c r="AH70" s="34">
        <f>VLOOKUP($B70&amp;$C70,'[1]FC1 Prod'!$A$6:$BP$36,[2]Consolidated!AH$1)</f>
        <v>626.42610896817746</v>
      </c>
      <c r="AI70" s="33">
        <f>VLOOKUP($B70&amp;$C70,'[1]FC1 Prod'!$A$6:$BP$36,[2]Consolidated!AI$1)</f>
        <v>438.173393635487</v>
      </c>
      <c r="AJ70" s="39">
        <f>VLOOKUP($B70&amp;$C70,'[1]FC1 Prod'!$A$6:$BP$36,[2]Consolidated!AJ$1)</f>
        <v>1.2128856891205815</v>
      </c>
      <c r="AK70" s="39">
        <f>VLOOKUP($B70&amp;$C70,'[1]FC1 Prod'!$A$6:$BP$36,[2]Consolidated!AK$1)</f>
        <v>0.47823029274259388</v>
      </c>
      <c r="AL70" s="40" t="e">
        <f>VLOOKUP($B70&amp;$C70,'[1]FC1 Prod'!$A$6:$BP$36,[2]Consolidated!AL$1)</f>
        <v>#REF!</v>
      </c>
      <c r="AM70" s="41">
        <f>VLOOKUP($B70&amp;$C70,'[1]FC1 Prod'!$A$6:$BP$36,[2]Consolidated!AM$1)</f>
        <v>0</v>
      </c>
      <c r="AN70" s="42">
        <f>VLOOKUP($B70&amp;$C70,'[1]FC1 Prod'!$A$6:$BP$36,[2]Consolidated!AN$1)</f>
        <v>103.3</v>
      </c>
      <c r="AO70" s="43">
        <f>VLOOKUP($B70&amp;$C70,'[1]FC1 Prod'!$A$6:$BP$36,[2]Consolidated!AO$1)</f>
        <v>3.5939999999999999</v>
      </c>
      <c r="AP70" s="44">
        <f>VLOOKUP($B70&amp;$C70,'[1]FC1 Prod'!$A$6:$BP$36,[2]Consolidated!AP$1)</f>
        <v>5.1540019286403087</v>
      </c>
      <c r="AQ70" s="44">
        <f>VLOOKUP($B70&amp;$C70,'[1]FC1 Prod'!$A$6:$BP$36,[2]Consolidated!AQ$1)</f>
        <v>29.597535193688216</v>
      </c>
      <c r="AR70" s="45">
        <f>VLOOKUP($B70&amp;$C70,'[1]FC1 Prod'!$A$6:$BP$36,[2]Consolidated!AR$1)</f>
        <v>0.97821969696969691</v>
      </c>
      <c r="AS70" s="46">
        <f>VLOOKUP($B70&amp;$C70,'[1]FC1 Prod'!$A$6:$BP$36,[2]Consolidated!AS$1)</f>
        <v>2.1233333333333331</v>
      </c>
      <c r="AT70" s="29">
        <f>VLOOKUP($B70&amp;$C70,'[1]FC1 Prod'!$A$6:$BP$36,[2]Consolidated!AT$1)</f>
        <v>0</v>
      </c>
      <c r="AU70" s="34">
        <f>VLOOKUP($B70&amp;$C70,'[1]FC1 Prod'!$A$6:$BP$36,[2]Consolidated!AU$1)</f>
        <v>425.47453703703701</v>
      </c>
      <c r="AV70" s="34">
        <f>VLOOKUP($B70&amp;$C70,'[1]FC1 Prod'!$A$6:$BP$36,[2]Consolidated!AV$1)</f>
        <v>216.66666666666666</v>
      </c>
      <c r="AW70" s="47">
        <f>VLOOKUP($B70&amp;$C70,'[1]FC1 Prod'!$A$6:$BP$36,[2]Consolidated!AW$1)</f>
        <v>29636.40067502411</v>
      </c>
      <c r="AX70" s="47">
        <f>VLOOKUP($B70&amp;$C70,'[1]FC1 Prod'!$A$6:$BP$36,[2]Consolidated!AX$1)</f>
        <v>17046.766634522664</v>
      </c>
      <c r="AY70" s="48">
        <f>VLOOKUP($B70&amp;$C70,'[1]FC1 Prod'!$A$6:$BP$36,[2]Consolidated!AY$1)</f>
        <v>1481.4850530376088</v>
      </c>
      <c r="AZ70" s="47">
        <f>VLOOKUP($B70&amp;$C70,'[1]FC1 Prod'!$A$6:$BP$36,[2]Consolidated!AZ$1)</f>
        <v>2977.1239151398267</v>
      </c>
      <c r="BA70" s="47">
        <f>VLOOKUP($B70&amp;$C70,'[1]FC1 Prod'!$A$6:$BP$36,[2]Consolidated!BA$1)</f>
        <v>30150.911282545807</v>
      </c>
      <c r="BB70" s="47">
        <f>VLOOKUP($B70&amp;$C70,'[1]FC1 Prod'!$A$6:$BP$36,[2]Consolidated!BB$1)</f>
        <v>812.92687560270019</v>
      </c>
      <c r="BC70" s="47">
        <f>VLOOKUP($B70&amp;$C70,'[1]FC1 Prod'!$A$6:$BP$36,[2]Consolidated!BC$1)</f>
        <v>9792.603664416587</v>
      </c>
      <c r="BD70" s="49">
        <f>VLOOKUP($B70&amp;$C70,'[1]FC1 Prod'!$A$6:$BP$36,[2]Consolidated!BD$1)</f>
        <v>91898.218100289305</v>
      </c>
      <c r="BE70" s="47">
        <f>VLOOKUP($B70&amp;$C70,'[1]FC1 Prod'!$A$6:$BP$36,[2]Consolidated!BE$1)</f>
        <v>24988.978929604633</v>
      </c>
      <c r="BF70" s="47">
        <f>VLOOKUP($B70&amp;$C70,'[1]FC1 Prod'!$A$6:$BP$36,[2]Consolidated!BF$1)</f>
        <v>13441.253616200578</v>
      </c>
      <c r="BG70" s="50">
        <f>VLOOKUP($B70&amp;$C70,'[1]FC1 Prod'!$A$6:$BP$36,[2]Consolidated!BG$1)</f>
        <v>1808.8379942140793</v>
      </c>
      <c r="BH70" s="50">
        <f>VLOOKUP($B70&amp;$C70,'[1]FC1 Prod'!$A$6:$BP$36,[2]Consolidated!BH$1)</f>
        <v>733.67105737704935</v>
      </c>
      <c r="BI70" s="50">
        <f>VLOOKUP($B70&amp;$C70,'[1]FC1 Prod'!$A$6:$BP$36,[2]Consolidated!BI$1)</f>
        <v>83893.380459498556</v>
      </c>
      <c r="BJ70" s="37" t="e">
        <f>VLOOKUP($B70&amp;$C70,'[1]FC1 Prod'!$A$6:$BP$36,[2]Consolidated!BJ$1)</f>
        <v>#REF!</v>
      </c>
      <c r="BK70" s="37" t="e">
        <f>VLOOKUP($B70&amp;$C70,'[1]FC1 Prod'!$A$6:$BP$36,[2]Consolidated!BK$1)</f>
        <v>#REF!</v>
      </c>
      <c r="BL70" s="37" t="e">
        <f>VLOOKUP($B70&amp;$C70,'[1]FC1 Prod'!$A$6:$BP$36,[2]Consolidated!BL$1)</f>
        <v>#REF!</v>
      </c>
      <c r="BM70" s="37" t="e">
        <f>VLOOKUP($B70&amp;$C70,'[1]FC1 Prod'!$A$6:$BP$36,[2]Consolidated!BM$1)</f>
        <v>#REF!</v>
      </c>
      <c r="BN70" s="37" t="e">
        <f>VLOOKUP($B70&amp;$C70,'[1]FC1 Prod'!$A$6:$BP$36,[2]Consolidated!BN$1)</f>
        <v>#REF!</v>
      </c>
      <c r="BO70" s="37" t="e">
        <f>VLOOKUP($B70&amp;$C70,'[1]FC1 Prod'!$A$6:$BP$36,[2]Consolidated!BO$1)</f>
        <v>#REF!</v>
      </c>
      <c r="BP70" s="37" t="str">
        <f>VLOOKUP($B70&amp;$C70,'[1]FC1 Prod'!$A$6:$BP$36,[2]Consolidated!BP$1)</f>
        <v>NIL</v>
      </c>
      <c r="BQ70" s="51" t="e">
        <f>VLOOKUP($B70&amp;$C70,'[1]FC1 Prod'!$A$6:$BP$36,[2]Consolidated!BQ$1)</f>
        <v>#REF!</v>
      </c>
      <c r="BR70" s="51">
        <f>VLOOKUP($B70&amp;$C70,'[1]FC1 Prod'!$A$6:$BQ$36,[2]Consolidated!BR$1)</f>
        <v>69902</v>
      </c>
      <c r="BS70" s="52">
        <f t="shared" ref="BS70:BS72" si="85">BE70+BF70+BG70+BA70</f>
        <v>70389.981822565096</v>
      </c>
      <c r="BT70" s="32">
        <f>BR70-BS70</f>
        <v>-487.98182256509608</v>
      </c>
      <c r="BU70" s="37">
        <f>E70*BT70</f>
        <v>-10120.743000000091</v>
      </c>
      <c r="BV70" s="53" t="s">
        <v>132</v>
      </c>
      <c r="BW70" s="54" cm="1">
        <f t="array" ref="BW70">IFERROR(VLOOKUP($A70,TRANSPOSE('[1]Fur 1 PLC'!$AR$1:$BV$38),8,0),0)</f>
        <v>0</v>
      </c>
      <c r="BX70" s="54" cm="1">
        <f t="array" ref="BX70">IFERROR(VLOOKUP($A70,TRANSPOSE('[1]Fur 1 PLC'!$AR$1:$BV$38),30,0),0)</f>
        <v>0</v>
      </c>
      <c r="BY70" s="54" cm="1">
        <f t="array" ref="BY70">IFERROR(VLOOKUP($A70,TRANSPOSE('[1]Fur 1 PLC'!$AR$1:$BV$38),14,0),0)</f>
        <v>0</v>
      </c>
      <c r="BZ70" s="54" cm="1">
        <f t="array" ref="BZ70">IFERROR(VLOOKUP($A70,TRANSPOSE('[1]Fur 1 PLC'!$AR$1:$BV$38),16,0),0)</f>
        <v>379.31533269045326</v>
      </c>
      <c r="CA70" s="54" cm="1">
        <f t="array" ref="CA70">IFERROR(VLOOKUP($A70,TRANSPOSE('[1]Fur 1 PLC'!$AR$1:$BV$38),9,0),0)</f>
        <v>488.76567020250729</v>
      </c>
      <c r="CB70" s="54" cm="1">
        <f t="array" ref="CB70">IFERROR(VLOOKUP($A70,TRANSPOSE('[1]Fur 1 PLC'!$AR$1:$BV$38),17,0),0)</f>
        <v>379.31533269045326</v>
      </c>
      <c r="CC70" s="54" cm="1">
        <f t="array" ref="CC70">IFERROR(VLOOKUP($A70,TRANSPOSE('[1]Fur 1 PLC'!$AR$1:$BV$38),20,0),0)</f>
        <v>0</v>
      </c>
      <c r="CD70" s="54" cm="1">
        <f t="array" ref="CD70">IFERROR(VLOOKUP($A70,TRANSPOSE('[1]Fur 1 PLC'!$AR$1:$BV$38),28,0),0)</f>
        <v>122.61330761812923</v>
      </c>
      <c r="CE70" s="54" cm="1">
        <f t="array" ref="CE70">IFERROR(VLOOKUP($A70,TRANSPOSE('[1]Fur 1 PLC'!$AR$1:$BV$38),13,0),0)</f>
        <v>0</v>
      </c>
      <c r="CF70" s="54" cm="1">
        <f t="array" ref="CF70">IFERROR(VLOOKUP($A70,TRANSPOSE('[1]Fur 1 PLC'!$AR$1:$BV$38),37,0),0)</f>
        <v>653.18225650916122</v>
      </c>
      <c r="CG70" s="54" cm="1">
        <f t="array" ref="CG70">IFERROR(VLOOKUP($A70,TRANSPOSE('[1]Fur 1 PLC'!$AR$1:$BV$38),6,0),0)</f>
        <v>0</v>
      </c>
      <c r="CH70" s="54" cm="1">
        <f t="array" ref="CH70">IFERROR(VLOOKUP($A70,TRANSPOSE('[1]Fur 1 PLC'!$AR$1:$BV$38),21,0),0)</f>
        <v>0</v>
      </c>
      <c r="CI70" s="54" cm="1">
        <f t="array" ref="CI70">IFERROR(VLOOKUP($A70,TRANSPOSE('[1]Fur 1 PLC'!$AR$1:$BV$38),12,0),0)</f>
        <v>0</v>
      </c>
      <c r="CJ70" s="54" cm="1">
        <f t="array" ref="CJ70">IFERROR(VLOOKUP($A70,TRANSPOSE('[1]Fur 1 PLC'!$AR$1:$BV$38),25,0),0)</f>
        <v>0</v>
      </c>
      <c r="CK70" s="54" cm="1">
        <f t="array" ref="CK70">IFERROR(VLOOKUP($A70,TRANSPOSE('[1]Fur 1 PLC'!$AR$1:$BV$38),26,0),0)</f>
        <v>0</v>
      </c>
      <c r="CL70" s="54" cm="1">
        <f t="array" ref="CL70">IFERROR(VLOOKUP($A70,TRANSPOSE('[1]Fur 1 PLC'!$AR$1:$BV$38),27,0),0)</f>
        <v>472.17936354869818</v>
      </c>
      <c r="CM70" s="54" cm="1">
        <f t="array" ref="CM70">IFERROR(VLOOKUP($A70,TRANSPOSE('[1]Fur 1 PLC'!$AR$1:$BV$38),22,0),0)</f>
        <v>0</v>
      </c>
      <c r="CN70" s="54"/>
      <c r="CO70" s="54" cm="1">
        <f t="array" ref="CO70">IFERROR(VLOOKUP($A70,TRANSPOSE('[1]Fur 1 PLC'!$AR$1:$BV$38),29,0),0)</f>
        <v>0</v>
      </c>
      <c r="CP70" s="54" cm="1">
        <f t="array" ref="CP70">IFERROR(VLOOKUP($A70,TRANSPOSE('[1]Fur 1 PLC'!$AR$1:$BV$38),10,0),0)</f>
        <v>0</v>
      </c>
      <c r="CQ70" s="54" cm="1">
        <f t="array" ref="CQ70">IFERROR(VLOOKUP($A70,TRANSPOSE('[1]Fur 1 PLC'!$AR$1:$BV$38),7,0),0)</f>
        <v>157.32883317261332</v>
      </c>
      <c r="CR70" s="54" cm="1">
        <f t="array" ref="CR70">IFERROR(VLOOKUP($A70,TRANSPOSE('[1]Fur 1 PLC'!$AR$1:$BV$38),35,0),0)</f>
        <v>18.852459016393443</v>
      </c>
      <c r="CS70" s="54" cm="1">
        <f t="array" ref="CS70">IFERROR(VLOOKUP($A70,TRANSPOSE('[1]Fur 1 PLC'!$AR$1:$BV$38),11,0),0)</f>
        <v>751.1571841851495</v>
      </c>
      <c r="CT70" s="54" cm="1">
        <f t="array" ref="CT70">IFERROR(VLOOKUP($A70,TRANSPOSE('[1]Fur 1 PLC'!$AR$1:$BV$38),19,0),0)</f>
        <v>0</v>
      </c>
      <c r="CU70" s="54" cm="1">
        <f t="array" ref="CU70">IFERROR(VLOOKUP($A70,TRANSPOSE('[1]Fur 1 PLC'!$AR$1:$BV$38),18,0),0)</f>
        <v>0</v>
      </c>
      <c r="CV70" s="54" cm="1">
        <f t="array" ref="CV70">IFERROR(VLOOKUP($A70,TRANSPOSE('[1]Fur 1 PLC'!$AR$1:$BV$38),15,0),0)</f>
        <v>359.30568948891033</v>
      </c>
      <c r="CW70" s="54" cm="1">
        <f t="array" ref="CW70">IFERROR(VLOOKUP($A70,TRANSPOSE('[1]Fur 1 PLC'!$CL$1:$DP$38),8,0),0)</f>
        <v>0</v>
      </c>
      <c r="CX70" s="54" cm="1">
        <f t="array" ref="CX70">IFERROR(VLOOKUP($A70,TRANSPOSE('[1]Fur 1 PLC'!$CL$1:$DP$38),30,0),0)</f>
        <v>0</v>
      </c>
      <c r="CY70" s="54" cm="1">
        <f t="array" ref="CY70">IFERROR(VLOOKUP($A70,TRANSPOSE('[1]Fur 1 PLC'!$CL$1:$DP$38),14,0),0)</f>
        <v>0</v>
      </c>
      <c r="CZ70" s="54" cm="1">
        <f t="array" ref="CZ70">IFERROR(VLOOKUP($A70,TRANSPOSE('[1]Fur 1 PLC'!$CL$1:$DP$38),16,0),0)</f>
        <v>0</v>
      </c>
      <c r="DA70" s="54" cm="1">
        <f t="array" ref="DA70">IFERROR(VLOOKUP($A70,TRANSPOSE('[1]Fur 1 PLC'!$CL$1:$DP$38),9,0),0)</f>
        <v>220.36956521739131</v>
      </c>
      <c r="DB70" s="55" cm="1">
        <f t="array" ref="DB70">IFERROR(VLOOKUP($A70,TRANSPOSE('[1]Fur 1 PLC'!$CL$1:$DP$38),17,0),0)</f>
        <v>171.02173913043478</v>
      </c>
      <c r="DC70" s="55" cm="1">
        <f t="array" ref="DC70">IFERROR(VLOOKUP($A70,TRANSPOSE('[1]Fur 1 PLC'!$CL$1:$DP$38),20,0),0)</f>
        <v>0</v>
      </c>
      <c r="DD70" s="54" cm="1">
        <f t="array" ref="DD70">IFERROR(VLOOKUP($A70,TRANSPOSE('[1]Fur 1 PLC'!$CL$1:$DP$38),28,0),0)</f>
        <v>55.282608695652179</v>
      </c>
      <c r="DE70" s="54" cm="1">
        <f t="array" ref="DE70">IFERROR(VLOOKUP($A70,TRANSPOSE('[1]Fur 1 PLC'!$CL$1:$DP$38),13,0),0)</f>
        <v>0</v>
      </c>
      <c r="DF70" s="54" cm="1">
        <f t="array" ref="DF70">IFERROR(VLOOKUP($A70,TRANSPOSE('[1]Fur 1 PLC'!$CL$1:$DP$38),37,0),0)</f>
        <v>294.50000000000006</v>
      </c>
      <c r="DG70" s="54" cm="1">
        <f t="array" ref="DG70">IFERROR(VLOOKUP($A70,TRANSPOSE('[1]Fur 1 PLC'!$CL$1:$DP$38),6,0),0)</f>
        <v>0</v>
      </c>
      <c r="DH70" s="54" cm="1">
        <f t="array" ref="DH70">IFERROR(VLOOKUP($A70,TRANSPOSE('[1]Fur 1 PLC'!$CL$1:$DP$38),21,0),0)</f>
        <v>0</v>
      </c>
      <c r="DI70" s="54" cm="1">
        <f t="array" ref="DI70">IFERROR(VLOOKUP($A70,TRANSPOSE('[1]Fur 1 PLC'!$CL$1:$DP$38),12,0),0)</f>
        <v>0</v>
      </c>
      <c r="DJ70" s="54" cm="1">
        <f t="array" ref="DJ70">IFERROR(VLOOKUP($A70,TRANSPOSE('[1]Fur 1 PLC'!$CL$1:$DP$38),25,0),0)</f>
        <v>0</v>
      </c>
      <c r="DK70" s="54" cm="1">
        <f t="array" ref="DK70">IFERROR(VLOOKUP($A70,TRANSPOSE('[1]Fur 1 PLC'!$CL$1:$DP$38),26,0),0)</f>
        <v>0</v>
      </c>
      <c r="DL70" s="54" cm="1">
        <f t="array" ref="DL70">IFERROR(VLOOKUP($A70,TRANSPOSE('[1]Fur 1 PLC'!$CL$1:$DP$38),27,0),0)</f>
        <v>212.89130434782606</v>
      </c>
      <c r="DM70" s="54" cm="1">
        <f t="array" ref="DM70">IFERROR(VLOOKUP($A70,TRANSPOSE('[1]Fur 1 PLC'!$CL$1:$DP$38),22,0),0)</f>
        <v>0</v>
      </c>
      <c r="DN70" s="54" cm="1">
        <f t="array" ref="DN70">IFERROR(VLOOKUP($A70,TRANSPOSE('[1]Fur 1 PLC'!$CL$1:$DP$38),19,0),0)</f>
        <v>0</v>
      </c>
      <c r="DO70" s="54" cm="1">
        <f t="array" ref="DO70">IFERROR(VLOOKUP($A70,TRANSPOSE('[1]Fur 1 PLC'!$CL$1:$DP$38),29,0),0)</f>
        <v>0</v>
      </c>
      <c r="DP70" s="54" cm="1">
        <f t="array" ref="DP70">IFERROR(VLOOKUP($A70,TRANSPOSE('[1]Fur 1 PLC'!$CL$1:$DP$38),10,0),0)</f>
        <v>0</v>
      </c>
      <c r="DQ70" s="54" cm="1">
        <f t="array" ref="DQ70">IFERROR(VLOOKUP($A70,TRANSPOSE('[1]Fur 1 PLC'!$CL$1:$DP$38),7,0),0)</f>
        <v>70.934782608695656</v>
      </c>
      <c r="DR70" s="54" cm="1">
        <f t="array" ref="DR70">IFERROR(VLOOKUP($A70,TRANSPOSE('[1]Fur 1 PLC'!$CL$1:$DP$38),35,0),0)</f>
        <v>8.5</v>
      </c>
      <c r="DS70" s="54" cm="1">
        <f t="array" ref="DS70">IFERROR(VLOOKUP($A70,TRANSPOSE('[1]Fur 1 PLC'!$CL$1:$DP$38),11,0),0)</f>
        <v>338.67391304347825</v>
      </c>
      <c r="DT70" s="54" cm="1">
        <f t="array" ref="DT70">IFERROR(VLOOKUP($A70,TRANSPOSE('[1]Fur 1 PLC'!$CL$1:$DP$38),19,0),0)</f>
        <v>0</v>
      </c>
      <c r="DU70" s="54" cm="1">
        <f t="array" ref="DU70">IFERROR(VLOOKUP($A70,TRANSPOSE('[1]Fur 1 PLC'!$CL$1:$DP$38),18,0),0)</f>
        <v>0</v>
      </c>
      <c r="DV70" s="54" cm="1">
        <f t="array" ref="DV70">IFERROR(VLOOKUP($A70,TRANSPOSE('[1]Fur 1 PLC'!$CL$1:$DP$38),15,0),0)</f>
        <v>162</v>
      </c>
      <c r="DW70" t="str">
        <f>TEXT(C70,"Mmm-yy")</f>
        <v>Dec-25</v>
      </c>
    </row>
    <row r="71" spans="1:127" x14ac:dyDescent="0.3">
      <c r="A71" s="28" t="str">
        <f t="shared" si="59"/>
        <v>F246009</v>
      </c>
      <c r="B71" s="29" t="s">
        <v>27</v>
      </c>
      <c r="C71" s="30">
        <f>C70</f>
        <v>46009</v>
      </c>
      <c r="D71" s="29" t="str">
        <f>VLOOKUP($B71&amp;$C71,'[1]FC2 Prod'!$A$6:$BP$36,[2]Consolidated!D$1)</f>
        <v>Mr. Girish Malik</v>
      </c>
      <c r="E71" s="29">
        <f>VLOOKUP($B71&amp;$C71,'[1]FC2 Prod'!$A$6:$BP$36,[2]Consolidated!E$1)</f>
        <v>32.125</v>
      </c>
      <c r="F71" s="29">
        <f>VLOOKUP($B71&amp;$C71,'[1]FC2 Prod'!$A$6:$BP$36,[2]Consolidated!F$1)</f>
        <v>0</v>
      </c>
      <c r="G71" s="29">
        <f>VLOOKUP($B71&amp;$C71,'[1]FC2 Prod'!$A$6:$BP$36,[2]Consolidated!G$1)</f>
        <v>32.125</v>
      </c>
      <c r="H71" s="32">
        <f>VLOOKUP($B71&amp;$C71,'[1]FC2 Prod'!$A$6:$BP$36,[2]Consolidated!H$1)</f>
        <v>22.829999999999995</v>
      </c>
      <c r="I71" s="32">
        <f>VLOOKUP($B71&amp;$C71,'[1]FC2 Prod'!$A$6:$BP$36,[2]Consolidated!I$1)</f>
        <v>5.65</v>
      </c>
      <c r="J71" s="32">
        <f>VLOOKUP($B71&amp;$C71,'[1]FC2 Prod'!$A$6:$BP$36,[2]Consolidated!J$1)</f>
        <v>40.64</v>
      </c>
      <c r="K71" s="32">
        <f>VLOOKUP($B71&amp;$C71,'[1]FC2 Prod'!$A$6:$BP$36,[2]Consolidated!K$1)</f>
        <v>1.3025</v>
      </c>
      <c r="L71" s="32">
        <f>VLOOKUP($B71&amp;$C71,'[1]FC2 Prod'!$A$6:$BP$36,[2]Consolidated!L$1)</f>
        <v>28.5275</v>
      </c>
      <c r="M71" s="32">
        <f>VLOOKUP($B71&amp;$C71,'[1]FC2 Prod'!$A$6:$BP$36,[2]Consolidated!M$1)</f>
        <v>4.8100000000000005</v>
      </c>
      <c r="N71" s="32">
        <f>VLOOKUP($B71&amp;$C71,'[1]FC2 Prod'!$A$6:$BP$36,[2]Consolidated!N$1)</f>
        <v>15.785</v>
      </c>
      <c r="O71" s="32">
        <f>VLOOKUP($B71&amp;$C71,'[1]FC2 Prod'!$A$6:$BP$36,[2]Consolidated!O$1)</f>
        <v>0.82</v>
      </c>
      <c r="P71" s="34">
        <f>VLOOKUP($B71&amp;$C71,'[1]FC2 Prod'!$A$6:$BP$36,[2]Consolidated!P$1)</f>
        <v>9</v>
      </c>
      <c r="Q71" s="29">
        <f>VLOOKUP($B71&amp;$C71,'[1]FC2 Prod'!$A$6:$BP$36,[2]Consolidated!Q$1)</f>
        <v>64.121000000000009</v>
      </c>
      <c r="R71" s="29">
        <f>VLOOKUP($B71&amp;$C71,'[1]FC2 Prod'!$A$6:$BP$36,[2]Consolidated!R$1)</f>
        <v>19.599</v>
      </c>
      <c r="S71" s="34">
        <f>VLOOKUP($B71&amp;$C71,'[1]FC2 Prod'!$A$6:$BP$36,[2]Consolidated!S$1)</f>
        <v>28</v>
      </c>
      <c r="T71" s="34">
        <f>VLOOKUP($B71&amp;$C71,'[1]FC2 Prod'!$A$6:$BP$36,[2]Consolidated!T$1)</f>
        <v>20</v>
      </c>
      <c r="U71" s="34">
        <f>VLOOKUP($B71&amp;$C71,'[1]FC2 Prod'!$A$6:$BP$36,[2]Consolidated!U$1)</f>
        <v>24</v>
      </c>
      <c r="V71" s="34">
        <f>VLOOKUP($B71&amp;$C71,'[1]FC2 Prod'!$A$6:$BP$36,[2]Consolidated!V$1)</f>
        <v>72</v>
      </c>
      <c r="W71" s="29">
        <f>VLOOKUP($B71&amp;$C71,'[1]FC2 Prod'!$A$6:$BP$36,[2]Consolidated!W$1)</f>
        <v>1.9959844357976657</v>
      </c>
      <c r="X71" s="35">
        <f>VLOOKUP($B71&amp;$C71,'[1]FC2 Prod'!$A$6:$BP$36,[2]Consolidated!X$1)</f>
        <v>33.120000000000005</v>
      </c>
      <c r="Y71" s="36">
        <f>VLOOKUP($B71&amp;$C71,'[1]FC2 Prod'!$A$6:$BP$36,[2]Consolidated!Y$1)</f>
        <v>0.96995772946859893</v>
      </c>
      <c r="Z71" s="37" t="str">
        <f>VLOOKUP($B71&amp;$C71,'[1]FC2 Prod'!$A$6:$BP$36,[2]Consolidated!Z$1)</f>
        <v xml:space="preserve">55/22 </v>
      </c>
      <c r="AA71" s="31">
        <f>VLOOKUP($B71&amp;$C71,'[1]FC2 Prod'!$A$6:$BP$36,[2]Consolidated!AA$1)</f>
        <v>55.045555555555566</v>
      </c>
      <c r="AB71" s="31">
        <f>VLOOKUP($B71&amp;$C71,'[1]FC2 Prod'!$A$6:$BP$36,[2]Consolidated!AB$1)</f>
        <v>21.982222222222219</v>
      </c>
      <c r="AC71" s="31">
        <f>VLOOKUP($B71&amp;$C71,'[1]FC2 Prod'!$A$6:$BP$36,[2]Consolidated!AC$1)</f>
        <v>0.43222222222222217</v>
      </c>
      <c r="AD71" s="38">
        <f>VLOOKUP($B71&amp;$C71,'[1]FC2 Prod'!$A$6:$BP$36,[2]Consolidated!AD$1)</f>
        <v>493.95025042801558</v>
      </c>
      <c r="AE71" s="38">
        <f>VLOOKUP($B71&amp;$C71,'[1]FC2 Prod'!$A$6:$BP$36,[2]Consolidated!AE$1)</f>
        <v>637.70443437509732</v>
      </c>
      <c r="AF71" s="39">
        <f>VLOOKUP($B71&amp;$C71,'[1]FC2 Prod'!$A$6:$BP$36,[2]Consolidated!AF$1)</f>
        <v>1.1143947291829033</v>
      </c>
      <c r="AG71" s="39">
        <f>VLOOKUP($B71&amp;$C71,'[1]FC2 Prod'!$A$6:$BP$36,[2]Consolidated!AG$1)</f>
        <v>0.8631828883155892</v>
      </c>
      <c r="AH71" s="34">
        <f>VLOOKUP($B71&amp;$C71,'[1]FC2 Prod'!$A$6:$BP$36,[2]Consolidated!AH$1)</f>
        <v>485.04692607003892</v>
      </c>
      <c r="AI71" s="33">
        <f>VLOOKUP($B71&amp;$C71,'[1]FC2 Prod'!$A$6:$BP$36,[2]Consolidated!AI$1)</f>
        <v>435.91003891050588</v>
      </c>
      <c r="AJ71" s="39">
        <f>VLOOKUP($B71&amp;$C71,'[1]FC2 Prod'!$A$6:$BP$36,[2]Consolidated!AJ$1)</f>
        <v>0.56642132367762021</v>
      </c>
      <c r="AK71" s="39">
        <f>VLOOKUP($B71&amp;$C71,'[1]FC2 Prod'!$A$6:$BP$36,[2]Consolidated!AK$1)</f>
        <v>0.50274853128865193</v>
      </c>
      <c r="AL71" s="40" t="e">
        <f>VLOOKUP($B71&amp;$C71,'[1]FC2 Prod'!$A$6:$BP$36,[2]Consolidated!AL$1)</f>
        <v>#REF!</v>
      </c>
      <c r="AM71" s="41">
        <f>VLOOKUP($B71&amp;$C71,'[1]FC2 Prod'!$A$6:$BP$36,[2]Consolidated!AM$1)</f>
        <v>0</v>
      </c>
      <c r="AN71" s="42">
        <f>VLOOKUP($B71&amp;$C71,'[1]FC2 Prod'!$A$6:$BP$36,[2]Consolidated!AN$1)</f>
        <v>145.5</v>
      </c>
      <c r="AO71" s="43">
        <f>VLOOKUP($B71&amp;$C71,'[1]FC2 Prod'!$A$6:$BP$36,[2]Consolidated!AO$1)</f>
        <v>5.8490000000000002</v>
      </c>
      <c r="AP71" s="44">
        <f>VLOOKUP($B71&amp;$C71,'[1]FC2 Prod'!$A$6:$BP$36,[2]Consolidated!AP$1)</f>
        <v>4.7112529182879372</v>
      </c>
      <c r="AQ71" s="44">
        <f>VLOOKUP($B71&amp;$C71,'[1]FC2 Prod'!$A$6:$BP$36,[2]Consolidated!AQ$1)</f>
        <v>29.315496056638331</v>
      </c>
      <c r="AR71" s="45">
        <f>VLOOKUP($B71&amp;$C71,'[1]FC2 Prod'!$A$6:$BP$36,[2]Consolidated!AR$1)</f>
        <v>0.99385245901639363</v>
      </c>
      <c r="AS71" s="46">
        <f>VLOOKUP($B71&amp;$C71,'[1]FC2 Prod'!$A$6:$BP$36,[2]Consolidated!AS$1)</f>
        <v>2.2263333333333333</v>
      </c>
      <c r="AT71" s="29">
        <f>VLOOKUP($B71&amp;$C71,'[1]FC2 Prod'!$A$6:$BP$36,[2]Consolidated!AT$1)</f>
        <v>0</v>
      </c>
      <c r="AU71" s="34">
        <f>VLOOKUP($B71&amp;$C71,'[1]FC2 Prod'!$A$6:$BP$36,[2]Consolidated!AU$1)</f>
        <v>491.69212962962962</v>
      </c>
      <c r="AV71" s="34">
        <f>VLOOKUP($B71&amp;$C71,'[1]FC2 Prod'!$A$6:$BP$36,[2]Consolidated!AV$1)</f>
        <v>241.66666666666666</v>
      </c>
      <c r="AW71" s="47">
        <f>VLOOKUP($B71&amp;$C71,'[1]FC2 Prod'!$A$6:$BP$36,[2]Consolidated!AW$1)</f>
        <v>19349.472373540859</v>
      </c>
      <c r="AX71" s="47">
        <f>VLOOKUP($B71&amp;$C71,'[1]FC2 Prod'!$A$6:$BP$36,[2]Consolidated!AX$1)</f>
        <v>14257.220856031128</v>
      </c>
      <c r="AY71" s="48">
        <f>VLOOKUP($B71&amp;$C71,'[1]FC2 Prod'!$A$6:$BP$36,[2]Consolidated!AY$1)</f>
        <v>1551.5019455252918</v>
      </c>
      <c r="AZ71" s="47">
        <f>VLOOKUP($B71&amp;$C71,'[1]FC2 Prod'!$A$6:$BP$36,[2]Consolidated!AZ$1)</f>
        <v>2231.2389105058369</v>
      </c>
      <c r="BA71" s="47">
        <f>VLOOKUP($B71&amp;$C71,'[1]FC2 Prod'!$A$6:$BP$36,[2]Consolidated!BA$1)</f>
        <v>27560.829571984432</v>
      </c>
      <c r="BB71" s="47">
        <f>VLOOKUP($B71&amp;$C71,'[1]FC2 Prod'!$A$6:$BP$36,[2]Consolidated!BB$1)</f>
        <v>649.5026365758755</v>
      </c>
      <c r="BC71" s="47">
        <f>VLOOKUP($B71&amp;$C71,'[1]FC2 Prod'!$A$6:$BP$36,[2]Consolidated!BC$1)</f>
        <v>8951.3805447470804</v>
      </c>
      <c r="BD71" s="49">
        <f>VLOOKUP($B71&amp;$C71,'[1]FC2 Prod'!$A$6:$BP$36,[2]Consolidated!BD$1)</f>
        <v>74551.146838910514</v>
      </c>
      <c r="BE71" s="47">
        <f>VLOOKUP($B71&amp;$C71,'[1]FC2 Prod'!$A$6:$BP$36,[2]Consolidated!BE$1)</f>
        <v>25207.422194552531</v>
      </c>
      <c r="BF71" s="47">
        <f>VLOOKUP($B71&amp;$C71,'[1]FC2 Prod'!$A$6:$BP$36,[2]Consolidated!BF$1)</f>
        <v>12791.077354085603</v>
      </c>
      <c r="BG71" s="50">
        <f>VLOOKUP($B71&amp;$C71,'[1]FC2 Prod'!$A$6:$BP$36,[2]Consolidated!BG$1)</f>
        <v>1738.2536964980543</v>
      </c>
      <c r="BH71" s="50">
        <f>VLOOKUP($B71&amp;$C71,'[1]FC2 Prod'!$A$6:$BP$36,[2]Consolidated!BH$1)</f>
        <v>695.28821727626462</v>
      </c>
      <c r="BI71" s="50">
        <f>VLOOKUP($B71&amp;$C71,'[1]FC2 Prod'!$A$6:$BP$36,[2]Consolidated!BI$1)</f>
        <v>79175.490489649805</v>
      </c>
      <c r="BJ71" s="37" t="e">
        <f>VLOOKUP($B71&amp;$C71,'[1]FC2 Prod'!$A$6:$BP$36,[2]Consolidated!BJ$1)</f>
        <v>#REF!</v>
      </c>
      <c r="BK71" s="37" t="e">
        <f>VLOOKUP($B71&amp;$C71,'[1]FC2 Prod'!$A$6:$BP$36,[2]Consolidated!BK$1)</f>
        <v>#REF!</v>
      </c>
      <c r="BL71" s="37" t="e">
        <f>VLOOKUP($B71&amp;$C71,'[1]FC2 Prod'!$A$6:$BP$36,[2]Consolidated!BL$1)</f>
        <v>#REF!</v>
      </c>
      <c r="BM71" s="37" t="e">
        <f>VLOOKUP($B71&amp;$C71,'[1]FC2 Prod'!$A$6:$BP$36,[2]Consolidated!BM$1)</f>
        <v>#REF!</v>
      </c>
      <c r="BN71" s="37" t="e">
        <f>VLOOKUP($B71&amp;$C71,'[1]FC2 Prod'!$A$6:$BP$36,[2]Consolidated!BN$1)</f>
        <v>#REF!</v>
      </c>
      <c r="BO71" s="37" t="e">
        <f>VLOOKUP($B71&amp;$C71,'[1]FC2 Prod'!$A$6:$BP$36,[2]Consolidated!BO$1)</f>
        <v>#REF!</v>
      </c>
      <c r="BP71" s="37" t="str">
        <f>VLOOKUP($B71&amp;$C71,'[1]FC2 Prod'!$A$6:$BP$36,[2]Consolidated!BP$1)</f>
        <v>NIL</v>
      </c>
      <c r="BQ71" s="29" t="e">
        <f>VLOOKUP($B71&amp;$C71,'[1]FC2 Prod'!$A$6:$BP$36,[2]Consolidated!BQ$1)</f>
        <v>#REF!</v>
      </c>
      <c r="BR71" s="51">
        <f>VLOOKUP($B71&amp;$C71,'[1]FC2 Prod'!$A$6:$BQ$36,[2]Consolidated!BR$1)</f>
        <v>68163</v>
      </c>
      <c r="BS71" s="52">
        <f t="shared" si="85"/>
        <v>67297.582817120623</v>
      </c>
      <c r="BT71" s="32">
        <f>BR71-BS71</f>
        <v>865.41718287937692</v>
      </c>
      <c r="BU71" s="37">
        <f>E71*BT71</f>
        <v>27801.526999999984</v>
      </c>
      <c r="BV71" s="53" t="s">
        <v>132</v>
      </c>
      <c r="BW71" s="54" cm="1">
        <f t="array" ref="BW71">IFERROR(VLOOKUP($A71,TRANSPOSE('[1]Fur 2 PLC'!$AR$1:$BV$38),8,0),0)</f>
        <v>0</v>
      </c>
      <c r="BX71" s="54" cm="1">
        <f t="array" ref="BX71">IFERROR(VLOOKUP($A71,TRANSPOSE('[1]Fur 2 PLC'!$AR$1:$BV$38),30,0),0)</f>
        <v>0</v>
      </c>
      <c r="BY71" s="54" cm="1">
        <f t="array" ref="BY71">IFERROR(VLOOKUP($A71,TRANSPOSE('[1]Fur 2 PLC'!$AR$1:$BV$38),14,0),0)</f>
        <v>0</v>
      </c>
      <c r="BZ71" s="54" cm="1">
        <f t="array" ref="BZ71">IFERROR(VLOOKUP($A71,TRANSPOSE('[1]Fur 2 PLC'!$AR$1:$BV$38),16,0),0)</f>
        <v>0</v>
      </c>
      <c r="CA71" s="54" cm="1">
        <f t="array" ref="CA71">IFERROR(VLOOKUP($A71,TRANSPOSE('[1]Fur 2 PLC'!$AR$1:$BV$38),9,0),0)</f>
        <v>493.04280155642027</v>
      </c>
      <c r="CB71" s="54" cm="1">
        <f t="array" ref="CB71">IFERROR(VLOOKUP($A71,TRANSPOSE('[1]Fur 2 PLC'!$AR$1:$BV$38),17,0),0)</f>
        <v>383.1284046692607</v>
      </c>
      <c r="CC71" s="54" cm="1">
        <f t="array" ref="CC71">IFERROR(VLOOKUP($A71,TRANSPOSE('[1]Fur 2 PLC'!$AR$1:$BV$38),20,0),0)</f>
        <v>0</v>
      </c>
      <c r="CD71" s="54" cm="1">
        <f t="array" ref="CD71">IFERROR(VLOOKUP($A71,TRANSPOSE('[1]Fur 2 PLC'!$AR$1:$BV$38),28,0),0)</f>
        <v>0</v>
      </c>
      <c r="CE71" s="54" cm="1">
        <f t="array" ref="CE71">IFERROR(VLOOKUP($A71,TRANSPOSE('[1]Fur 2 PLC'!$AR$1:$BV$38),13,0),0)</f>
        <v>0</v>
      </c>
      <c r="CF71" s="54" cm="1">
        <f t="array" ref="CF71">IFERROR(VLOOKUP($A71,TRANSPOSE('[1]Fur 2 PLC'!$AR$1:$BV$38),37,0),0)</f>
        <v>643.79766536964974</v>
      </c>
      <c r="CG71" s="54" cm="1">
        <f t="array" ref="CG71">IFERROR(VLOOKUP($A71,TRANSPOSE('[1]Fur 2 PLC'!$AR$1:$BV$38),6,0),0)</f>
        <v>0</v>
      </c>
      <c r="CH71" s="54" cm="1">
        <f t="array" ref="CH71">IFERROR(VLOOKUP($A71,TRANSPOSE('[1]Fur 2 PLC'!$AR$1:$BV$38),21,0),0)</f>
        <v>0</v>
      </c>
      <c r="CI71" s="54" cm="1">
        <f t="array" ref="CI71">IFERROR(VLOOKUP($A71,TRANSPOSE('[1]Fur 2 PLC'!$AR$1:$BV$38),12,0),0)</f>
        <v>0</v>
      </c>
      <c r="CJ71" s="54" cm="1">
        <f t="array" ref="CJ71">IFERROR(VLOOKUP($A71,TRANSPOSE('[1]Fur 2 PLC'!$AR$1:$BV$38),25,0),0)</f>
        <v>0</v>
      </c>
      <c r="CK71" s="54" cm="1">
        <f t="array" ref="CK71">IFERROR(VLOOKUP($A71,TRANSPOSE('[1]Fur 2 PLC'!$AR$1:$BV$38),26,0),0)</f>
        <v>100.85603112840468</v>
      </c>
      <c r="CL71" s="54" cm="1">
        <f t="array" ref="CL71">IFERROR(VLOOKUP($A71,TRANSPOSE('[1]Fur 2 PLC'!$AR$1:$BV$38),27,0),0)</f>
        <v>453.19844357976655</v>
      </c>
      <c r="CM71" s="54" cm="1">
        <f t="array" ref="CM71">IFERROR(VLOOKUP($A71,TRANSPOSE('[1]Fur 2 PLC'!$AR$1:$BV$38),22,0),0)</f>
        <v>0</v>
      </c>
      <c r="CN71" s="54"/>
      <c r="CO71" s="54" cm="1">
        <f t="array" ref="CO71">IFERROR(VLOOKUP($A71,TRANSPOSE('[1]Fur 2 PLC'!$AR$1:$BV$38),29,0),0)</f>
        <v>56.031128404669261</v>
      </c>
      <c r="CP71" s="54" cm="1">
        <f t="array" ref="CP71">IFERROR(VLOOKUP($A71,TRANSPOSE('[1]Fur 2 PLC'!$AR$1:$BV$38),10,0),0)</f>
        <v>0</v>
      </c>
      <c r="CQ71" s="54" cm="1">
        <f t="array" ref="CQ71">IFERROR(VLOOKUP($A71,TRANSPOSE('[1]Fur 2 PLC'!$AR$1:$BV$38),7,0),0)</f>
        <v>179.33073929961091</v>
      </c>
      <c r="CR71" s="54" cm="1">
        <f t="array" ref="CR71">IFERROR(VLOOKUP($A71,TRANSPOSE('[1]Fur 2 PLC'!$AR$1:$BV$38),35,0),0)</f>
        <v>0</v>
      </c>
      <c r="CS71" s="54" cm="1">
        <f t="array" ref="CS71">IFERROR(VLOOKUP($A71,TRANSPOSE('[1]Fur 2 PLC'!$AR$1:$BV$38),11,0),0)</f>
        <v>757.47859922178986</v>
      </c>
      <c r="CT71" s="54" cm="1">
        <f t="array" ref="CT71">IFERROR(VLOOKUP($A71,TRANSPOSE('[1]Fur 2 PLC'!$AR$1:$BV$38),19,0),0)</f>
        <v>0</v>
      </c>
      <c r="CU71" s="54" cm="1">
        <f t="array" ref="CU71">IFERROR(VLOOKUP($A71,TRANSPOSE('[1]Fur 2 PLC'!$AR$1:$BV$38),18,0),0)</f>
        <v>0</v>
      </c>
      <c r="CV71" s="54" cm="1">
        <f t="array" ref="CV71">IFERROR(VLOOKUP($A71,TRANSPOSE('[1]Fur 2 PLC'!$AR$1:$BV$38),15,0),0)</f>
        <v>362.33463035019457</v>
      </c>
      <c r="CW71" s="54" cm="1">
        <f t="array" ref="CW71">IFERROR(VLOOKUP($A71,TRANSPOSE('[1]Fur 2 PLC'!$CI$1:$DM$38),8,0),0)</f>
        <v>0</v>
      </c>
      <c r="CX71" s="54" cm="1">
        <f t="array" ref="CX71">IFERROR(VLOOKUP($A71,TRANSPOSE('[1]Fur 2 PLC'!$CI$1:$DM$38),30,0),0)</f>
        <v>0</v>
      </c>
      <c r="CY71" s="54" cm="1">
        <f t="array" ref="CY71">IFERROR(VLOOKUP($A71,TRANSPOSE('[1]Fur 2 PLC'!$CI$1:$DM$38),14,0),0)</f>
        <v>0</v>
      </c>
      <c r="CZ71" s="54" cm="1">
        <f t="array" ref="CZ71">IFERROR(VLOOKUP($A71,TRANSPOSE('[1]Fur 2 PLC'!$CI$1:$DM$38),16,0),0)</f>
        <v>0</v>
      </c>
      <c r="DA71" s="54" cm="1">
        <f t="array" ref="DA71">IFERROR(VLOOKUP($A71,TRANSPOSE('[1]Fur 2 PLC'!$CI$1:$DM$38),9,0),0)</f>
        <v>219.98611111111111</v>
      </c>
      <c r="DB71" s="55" cm="1">
        <f t="array" ref="DB71">IFERROR(VLOOKUP($A71,TRANSPOSE('[1]Fur 2 PLC'!$CI$1:$DM$38),17,0),0)</f>
        <v>170.94444444444446</v>
      </c>
      <c r="DC71" s="55" cm="1">
        <f t="array" ref="DC71">IFERROR(VLOOKUP($A71,TRANSPOSE('[1]Fur 2 PLC'!$CI$1:$DM$38),20,0),0)</f>
        <v>0</v>
      </c>
      <c r="DD71" s="54" cm="1">
        <f t="array" ref="DD71">IFERROR(VLOOKUP($A71,TRANSPOSE('[1]Fur 2 PLC'!$CI$1:$DM$38),28,0),0)</f>
        <v>0</v>
      </c>
      <c r="DE71" s="54" cm="1">
        <f t="array" ref="DE71">IFERROR(VLOOKUP($A71,TRANSPOSE('[1]Fur 2 PLC'!$CI$1:$DM$38),13,0),0)</f>
        <v>0</v>
      </c>
      <c r="DF71" s="54" cm="1">
        <f t="array" ref="DF71">IFERROR(VLOOKUP($A71,TRANSPOSE('[1]Fur 2 PLC'!$CI$1:$DM$38),37,0),0)</f>
        <v>287.25</v>
      </c>
      <c r="DG71" s="54" cm="1">
        <f t="array" ref="DG71">IFERROR(VLOOKUP($A71,TRANSPOSE('[1]Fur 2 PLC'!$CI$1:$DM$38),6,0),0)</f>
        <v>0</v>
      </c>
      <c r="DH71" s="54" cm="1">
        <f t="array" ref="DH71">IFERROR(VLOOKUP($A71,TRANSPOSE('[1]Fur 2 PLC'!$CI$1:$DM$38),21,0),0)</f>
        <v>0</v>
      </c>
      <c r="DI71" s="54" cm="1">
        <f t="array" ref="DI71">IFERROR(VLOOKUP($A71,TRANSPOSE('[1]Fur 2 PLC'!$CI$1:$DM$38),12,0),0)</f>
        <v>0</v>
      </c>
      <c r="DJ71" s="54" cm="1">
        <f t="array" ref="DJ71">IFERROR(VLOOKUP($A71,TRANSPOSE('[1]Fur 2 PLC'!$CI$1:$DM$38),25,0),0)</f>
        <v>0</v>
      </c>
      <c r="DK71" s="54" cm="1">
        <f t="array" ref="DK71">IFERROR(VLOOKUP($A71,TRANSPOSE('[1]Fur 2 PLC'!$CI$1:$DM$38),26,0),0)</f>
        <v>45.000000000000007</v>
      </c>
      <c r="DL71" s="54" cm="1">
        <f t="array" ref="DL71">IFERROR(VLOOKUP($A71,TRANSPOSE('[1]Fur 2 PLC'!$CI$1:$DM$38),27,0),0)</f>
        <v>202.20833333333331</v>
      </c>
      <c r="DM71" s="54" cm="1">
        <f t="array" ref="DM71">IFERROR(VLOOKUP($A71,TRANSPOSE('[1]Fur 2 PLC'!$CI$1:$DM$38),22,0),0)</f>
        <v>0</v>
      </c>
      <c r="DN71" s="54" cm="1">
        <f t="array" ref="DN71">IFERROR(VLOOKUP($A71,TRANSPOSE('[1]Fur 2 PLC'!$CI$1:$DM$38),19,0),0)</f>
        <v>0</v>
      </c>
      <c r="DO71" s="54" cm="1">
        <f t="array" ref="DO71">IFERROR(VLOOKUP($A71,TRANSPOSE('[1]Fur 2 PLC'!$CI$1:$DM$38),29,0),0)</f>
        <v>25</v>
      </c>
      <c r="DP71" s="54" cm="1">
        <f t="array" ref="DP71">IFERROR(VLOOKUP($A71,TRANSPOSE('[1]Fur 2 PLC'!$CI$1:$DM$38),10,0),0)</f>
        <v>0</v>
      </c>
      <c r="DQ71" s="54" cm="1">
        <f t="array" ref="DQ71">IFERROR(VLOOKUP($A71,TRANSPOSE('[1]Fur 2 PLC'!$CI$1:$DM$38),7,0),0)</f>
        <v>80.013888888888886</v>
      </c>
      <c r="DR71" s="54" cm="1">
        <f t="array" ref="DR71">IFERROR(VLOOKUP($A71,TRANSPOSE('[1]Fur 2 PLC'!$CI$1:$DM$38),35,0),0)</f>
        <v>0</v>
      </c>
      <c r="DS71" s="54" cm="1">
        <f t="array" ref="DS71">IFERROR(VLOOKUP($A71,TRANSPOSE('[1]Fur 2 PLC'!$CI$1:$DM$38),11,0),0)</f>
        <v>337.97222222222223</v>
      </c>
      <c r="DT71" s="54" cm="1">
        <f t="array" ref="DT71">IFERROR(VLOOKUP($A71,TRANSPOSE('[1]Fur 2 PLC'!$CI$1:$DM$38),19,0),0)</f>
        <v>0</v>
      </c>
      <c r="DU71" s="54" cm="1">
        <f t="array" ref="DU71">IFERROR(VLOOKUP($A71,TRANSPOSE('[1]Fur 2 PLC'!$CI$1:$DM$38),18,0),0)</f>
        <v>0</v>
      </c>
      <c r="DV71" s="54" cm="1">
        <f t="array" ref="DV71">IFERROR(VLOOKUP($A71,TRANSPOSE('[1]Fur 2 PLC'!$CI$1:$DM$38),15,0),0)</f>
        <v>161.66666666666669</v>
      </c>
      <c r="DW71" t="str">
        <f t="shared" ref="DW71:DW73" si="86">TEXT(C71,"Mmm-yy")</f>
        <v>Dec-25</v>
      </c>
    </row>
    <row r="72" spans="1:127" x14ac:dyDescent="0.3">
      <c r="A72" s="28" t="str">
        <f t="shared" si="59"/>
        <v>F346009</v>
      </c>
      <c r="B72" s="29" t="s">
        <v>28</v>
      </c>
      <c r="C72" s="30">
        <f>C71</f>
        <v>46009</v>
      </c>
      <c r="D72" s="29" t="str">
        <f>VLOOKUP($B72&amp;$C72,'[1]FC3 Prod'!$A$6:$BP$36,[2]Consolidated!D$1)</f>
        <v>Mr. Ajay Singh</v>
      </c>
      <c r="E72" s="29">
        <f>VLOOKUP($B72&amp;$C72,'[1]FC3 Prod'!$A$6:$BP$36,[2]Consolidated!E$1)</f>
        <v>37.82</v>
      </c>
      <c r="F72" s="31">
        <f>VLOOKUP($B72&amp;$C72,'[1]FC3 Prod'!$A$6:$BP$36,[2]Consolidated!F$1)</f>
        <v>0</v>
      </c>
      <c r="G72" s="32">
        <f>VLOOKUP($B72&amp;$C72,'[1]FC3 Prod'!$A$6:$BP$36,[2]Consolidated!G$1)</f>
        <v>37.82</v>
      </c>
      <c r="H72" s="32">
        <f>VLOOKUP($B72&amp;$C72,'[1]FC3 Prod'!$A$6:$BP$36,[2]Consolidated!H$1)</f>
        <v>29.107999999999997</v>
      </c>
      <c r="I72" s="32">
        <f>VLOOKUP($B72&amp;$C72,'[1]FC3 Prod'!$A$6:$BP$36,[2]Consolidated!I$1)</f>
        <v>10.654999999999999</v>
      </c>
      <c r="J72" s="32">
        <f>VLOOKUP($B72&amp;$C72,'[1]FC3 Prod'!$A$6:$BP$36,[2]Consolidated!J$1)</f>
        <v>38.882500000000007</v>
      </c>
      <c r="K72" s="32">
        <f>VLOOKUP($B72&amp;$C72,'[1]FC3 Prod'!$A$6:$BP$36,[2]Consolidated!K$1)</f>
        <v>1.3450000000000002</v>
      </c>
      <c r="L72" s="32">
        <f>VLOOKUP($B72&amp;$C72,'[1]FC3 Prod'!$A$6:$BP$36,[2]Consolidated!L$1)</f>
        <v>26.41</v>
      </c>
      <c r="M72" s="32">
        <f>VLOOKUP($B72&amp;$C72,'[1]FC3 Prod'!$A$6:$BP$36,[2]Consolidated!M$1)</f>
        <v>5.2475000000000005</v>
      </c>
      <c r="N72" s="32">
        <f>VLOOKUP($B72&amp;$C72,'[1]FC3 Prod'!$A$6:$BP$36,[2]Consolidated!N$1)</f>
        <v>14.574999999999999</v>
      </c>
      <c r="O72" s="32">
        <f>VLOOKUP($B72&amp;$C72,'[1]FC3 Prod'!$A$6:$BP$36,[2]Consolidated!O$1)</f>
        <v>0.8175</v>
      </c>
      <c r="P72" s="33">
        <f>VLOOKUP($B72&amp;$C72,'[1]FC3 Prod'!$A$6:$BP$36,[2]Consolidated!P$1)</f>
        <v>8</v>
      </c>
      <c r="Q72" s="29">
        <f>VLOOKUP($B72&amp;$C72,'[1]FC3 Prod'!$A$6:$BP$36,[2]Consolidated!Q$1)</f>
        <v>76.103000000000009</v>
      </c>
      <c r="R72" s="29">
        <f>VLOOKUP($B72&amp;$C72,'[1]FC3 Prod'!$A$6:$BP$36,[2]Consolidated!R$1)</f>
        <v>23.844999999999999</v>
      </c>
      <c r="S72" s="34">
        <f>VLOOKUP($B72&amp;$C72,'[1]FC3 Prod'!$A$6:$BP$36,[2]Consolidated!S$1)</f>
        <v>30</v>
      </c>
      <c r="T72" s="34">
        <f>VLOOKUP($B72&amp;$C72,'[1]FC3 Prod'!$A$6:$BP$36,[2]Consolidated!T$1)</f>
        <v>18</v>
      </c>
      <c r="U72" s="34">
        <f>VLOOKUP($B72&amp;$C72,'[1]FC3 Prod'!$A$6:$BP$36,[2]Consolidated!U$1)</f>
        <v>20</v>
      </c>
      <c r="V72" s="34">
        <f>VLOOKUP($B72&amp;$C72,'[1]FC3 Prod'!$A$6:$BP$36,[2]Consolidated!V$1)</f>
        <v>68</v>
      </c>
      <c r="W72" s="35">
        <f>VLOOKUP($B72&amp;$C72,'[1]FC3 Prod'!$A$6:$BP$36,[2]Consolidated!W$1)</f>
        <v>2.0122421998942359</v>
      </c>
      <c r="X72" s="35">
        <f>VLOOKUP($B72&amp;$C72,'[1]FC3 Prod'!$A$6:$BP$36,[2]Consolidated!X$1)</f>
        <v>38.99</v>
      </c>
      <c r="Y72" s="36">
        <f>VLOOKUP($B72&amp;$C72,'[1]FC3 Prod'!$A$6:$BP$36,[2]Consolidated!Y$1)</f>
        <v>0.96999230571941519</v>
      </c>
      <c r="Z72" s="37" t="str">
        <f>VLOOKUP($B72&amp;$C72,'[1]FC3 Prod'!$A$6:$BP$36,[2]Consolidated!Z$1)</f>
        <v>60/15</v>
      </c>
      <c r="AA72" s="31">
        <f>VLOOKUP($B72&amp;$C72,'[1]FC3 Prod'!$A$6:$BP$36,[2]Consolidated!AA$1)</f>
        <v>59.669999999999995</v>
      </c>
      <c r="AB72" s="31">
        <f>VLOOKUP($B72&amp;$C72,'[1]FC3 Prod'!$A$6:$BP$36,[2]Consolidated!AB$1)</f>
        <v>15.10125</v>
      </c>
      <c r="AC72" s="31" t="e">
        <f>VLOOKUP($B72&amp;$C72,'[1]FC3 Prod'!$A$6:$BP$36,[2]Consolidated!AC$1)</f>
        <v>#REF!</v>
      </c>
      <c r="AD72" s="38">
        <f>VLOOKUP($B72&amp;$C72,'[1]FC3 Prod'!$A$6:$BP$36,[2]Consolidated!AD$1)</f>
        <v>648.42250745637227</v>
      </c>
      <c r="AE72" s="38">
        <f>VLOOKUP($B72&amp;$C72,'[1]FC3 Prod'!$A$6:$BP$36,[2]Consolidated!AE$1)</f>
        <v>648.20452827340034</v>
      </c>
      <c r="AF72" s="39">
        <f>VLOOKUP($B72&amp;$C72,'[1]FC3 Prod'!$A$6:$BP$36,[2]Consolidated!AF$1)</f>
        <v>0.92023332493612997</v>
      </c>
      <c r="AG72" s="39">
        <f>VLOOKUP($B72&amp;$C72,'[1]FC3 Prod'!$A$6:$BP$36,[2]Consolidated!AG$1)</f>
        <v>0.92054278236748632</v>
      </c>
      <c r="AH72" s="34">
        <f>VLOOKUP($B72&amp;$C72,'[1]FC3 Prod'!$A$6:$BP$36,[2]Consolidated!AH$1)</f>
        <v>269.85973030142787</v>
      </c>
      <c r="AI72" s="33">
        <f>VLOOKUP($B72&amp;$C72,'[1]FC3 Prod'!$A$6:$BP$36,[2]Consolidated!AI$1)</f>
        <v>366.2746959280804</v>
      </c>
      <c r="AJ72" s="39">
        <f>VLOOKUP($B72&amp;$C72,'[1]FC3 Prod'!$A$6:$BP$36,[2]Consolidated!AJ$1)</f>
        <v>0.47418208342927637</v>
      </c>
      <c r="AK72" s="39">
        <f>VLOOKUP($B72&amp;$C72,'[1]FC3 Prod'!$A$6:$BP$36,[2]Consolidated!AK$1)</f>
        <v>0.53131980632664522</v>
      </c>
      <c r="AL72" s="40" t="e">
        <f>VLOOKUP($B72&amp;$C72,'[1]FC3 Prod'!$A$6:$BP$36,[2]Consolidated!AL$1)</f>
        <v>#REF!</v>
      </c>
      <c r="AM72" s="41">
        <f>VLOOKUP($B72&amp;$C72,'[1]FC3 Prod'!$A$6:$BP$36,[2]Consolidated!AM$1)</f>
        <v>0</v>
      </c>
      <c r="AN72" s="42">
        <f>VLOOKUP($B72&amp;$C72,'[1]FC3 Prod'!$A$6:$BP$36,[2]Consolidated!AN$1)</f>
        <v>146.4</v>
      </c>
      <c r="AO72" s="43">
        <f>VLOOKUP($B72&amp;$C72,'[1]FC3 Prod'!$A$6:$BP$36,[2]Consolidated!AO$1)</f>
        <v>5.8490000000000002</v>
      </c>
      <c r="AP72" s="44">
        <f>VLOOKUP($B72&amp;$C72,'[1]FC3 Prod'!$A$6:$BP$36,[2]Consolidated!AP$1)</f>
        <v>4.025621364357483</v>
      </c>
      <c r="AQ72" s="44">
        <f>VLOOKUP($B72&amp;$C72,'[1]FC3 Prod'!$A$6:$BP$36,[2]Consolidated!AQ$1)</f>
        <v>29.087678285832936</v>
      </c>
      <c r="AR72" s="45">
        <f>VLOOKUP($B72&amp;$C72,'[1]FC3 Prod'!$A$6:$BP$36,[2]Consolidated!AR$1)</f>
        <v>1.0000000000000002</v>
      </c>
      <c r="AS72" s="46">
        <f>VLOOKUP($B72&amp;$C72,'[1]FC3 Prod'!$A$6:$BP$36,[2]Consolidated!AS$1)</f>
        <v>2.2189999999999999</v>
      </c>
      <c r="AT72" s="29">
        <f>VLOOKUP($B72&amp;$C72,'[1]FC3 Prod'!$A$6:$BP$36,[2]Consolidated!AT$1)</f>
        <v>0</v>
      </c>
      <c r="AU72" s="34">
        <f>VLOOKUP($B72&amp;$C72,'[1]FC3 Prod'!$A$6:$BP$36,[2]Consolidated!AU$1)</f>
        <v>578.55092592592598</v>
      </c>
      <c r="AV72" s="34">
        <f>VLOOKUP($B72&amp;$C72,'[1]FC3 Prod'!$A$6:$BP$36,[2]Consolidated!AV$1)</f>
        <v>258.33333333333331</v>
      </c>
      <c r="AW72" s="47">
        <f>VLOOKUP($B72&amp;$C72,'[1]FC3 Prod'!$A$6:$BP$36,[2]Consolidated!AW$1)</f>
        <v>24943.807509254362</v>
      </c>
      <c r="AX72" s="47">
        <f>VLOOKUP($B72&amp;$C72,'[1]FC3 Prod'!$A$6:$BP$36,[2]Consolidated!AX$1)</f>
        <v>6060.4822845055523</v>
      </c>
      <c r="AY72" s="48">
        <f>VLOOKUP($B72&amp;$C72,'[1]FC3 Prod'!$A$6:$BP$36,[2]Consolidated!AY$1)</f>
        <v>962.34796404019039</v>
      </c>
      <c r="AZ72" s="47">
        <f>VLOOKUP($B72&amp;$C72,'[1]FC3 Prod'!$A$6:$BP$36,[2]Consolidated!AZ$1)</f>
        <v>1679.5861977789527</v>
      </c>
      <c r="BA72" s="47">
        <f>VLOOKUP($B72&amp;$C72,'[1]FC3 Prod'!$A$6:$BP$36,[2]Consolidated!BA$1)</f>
        <v>23549.884981491276</v>
      </c>
      <c r="BB72" s="47">
        <f>VLOOKUP($B72&amp;$C72,'[1]FC3 Prod'!$A$6:$BP$36,[2]Consolidated!BB$1)</f>
        <v>571.96108937070335</v>
      </c>
      <c r="BC72" s="47">
        <f>VLOOKUP($B72&amp;$C72,'[1]FC3 Prod'!$A$6:$BP$36,[2]Consolidated!BC$1)</f>
        <v>7648.6805922792173</v>
      </c>
      <c r="BD72" s="49">
        <f>VLOOKUP($B72&amp;$C72,'[1]FC3 Prod'!$A$6:$BP$36,[2]Consolidated!BD$1)</f>
        <v>65416.75061872026</v>
      </c>
      <c r="BE72" s="47">
        <f>VLOOKUP($B72&amp;$C72,'[1]FC3 Prod'!$A$6:$BP$36,[2]Consolidated!BE$1)</f>
        <v>25167.221443680595</v>
      </c>
      <c r="BF72" s="47">
        <f>VLOOKUP($B72&amp;$C72,'[1]FC3 Prod'!$A$6:$BP$36,[2]Consolidated!BF$1)</f>
        <v>8279.303014278159</v>
      </c>
      <c r="BG72" s="50">
        <f>VLOOKUP($B72&amp;$C72,'[1]FC3 Prod'!$A$6:$BP$36,[2]Consolidated!BG$1)</f>
        <v>927.85034373347446</v>
      </c>
      <c r="BH72" s="50">
        <f>VLOOKUP($B72&amp;$C72,'[1]FC3 Prod'!$A$6:$BP$36,[2]Consolidated!BH$1)</f>
        <v>596.03845980962456</v>
      </c>
      <c r="BI72" s="50">
        <f>VLOOKUP($B72&amp;$C72,'[1]FC3 Prod'!$A$6:$BP$36,[2]Consolidated!BI$1)</f>
        <v>67848.565033051302</v>
      </c>
      <c r="BJ72" s="37" t="e">
        <f>VLOOKUP($B72&amp;$C72,'[1]FC3 Prod'!$A$6:$BP$36,[2]Consolidated!BJ$1)</f>
        <v>#REF!</v>
      </c>
      <c r="BK72" s="37" t="e">
        <f>VLOOKUP($B72&amp;$C72,'[1]FC3 Prod'!$A$6:$BP$36,[2]Consolidated!BK$1)</f>
        <v>#REF!</v>
      </c>
      <c r="BL72" s="37" t="e">
        <f>VLOOKUP($B72&amp;$C72,'[1]FC3 Prod'!$A$6:$BP$36,[2]Consolidated!BL$1)</f>
        <v>#REF!</v>
      </c>
      <c r="BM72" s="37" t="e">
        <f>VLOOKUP($B72&amp;$C72,'[1]FC3 Prod'!$A$6:$BP$36,[2]Consolidated!BM$1)</f>
        <v>#REF!</v>
      </c>
      <c r="BN72" s="37" t="e">
        <f>VLOOKUP($B72&amp;$C72,'[1]FC3 Prod'!$A$6:$BP$36,[2]Consolidated!BN$1)</f>
        <v>#REF!</v>
      </c>
      <c r="BO72" s="37" t="e">
        <f>VLOOKUP($B72&amp;$C72,'[1]FC3 Prod'!$A$6:$BP$36,[2]Consolidated!BO$1)</f>
        <v>#REF!</v>
      </c>
      <c r="BP72" s="37" t="str">
        <f>VLOOKUP($B72&amp;$C72,'[1]FC3 Prod'!$A$6:$BP$36,[2]Consolidated!BP$1)</f>
        <v>NIL</v>
      </c>
      <c r="BQ72" s="51" t="e">
        <f>VLOOKUP($B72&amp;$C72,'[1]FC3 Prod'!$A$6:$BP$36,[2]Consolidated!BQ$1)</f>
        <v>#REF!</v>
      </c>
      <c r="BR72" s="51">
        <f>VLOOKUP($B72&amp;$C72,'[1]FC3 Prod'!$A$6:$BQ$36,[2]Consolidated!BR$1)</f>
        <v>60369</v>
      </c>
      <c r="BS72" s="52">
        <f t="shared" si="85"/>
        <v>57924.259783183501</v>
      </c>
      <c r="BT72" s="32">
        <f t="shared" ref="BT72:BT73" si="87">BR72-BS72</f>
        <v>2444.740216816499</v>
      </c>
      <c r="BU72" s="37">
        <f t="shared" ref="BU72:BU73" si="88">E72*BT72</f>
        <v>92460.074999999997</v>
      </c>
      <c r="BV72" s="53" t="s">
        <v>132</v>
      </c>
      <c r="BW72" s="54" cm="1">
        <f t="array" ref="BW72">IFERROR(VLOOKUP($A72,TRANSPOSE('[1]Fur 3 PLC'!$AS$1:$BX$38),8,0),0)</f>
        <v>828.2919090428345</v>
      </c>
      <c r="BX72" s="54" cm="1">
        <f t="array" ref="BX72">IFERROR(VLOOKUP($A72,TRANSPOSE('[1]Fur 3 PLC'!$AS$1:$BX$38),30,0),0)</f>
        <v>0</v>
      </c>
      <c r="BY72" s="54" cm="1">
        <f t="array" ref="BY72">IFERROR(VLOOKUP($A72,TRANSPOSE('[1]Fur 3 PLC'!$AS$1:$BX$38),14,0),0)</f>
        <v>0</v>
      </c>
      <c r="BZ72" s="54" cm="1">
        <f t="array" ref="BZ72">IFERROR(VLOOKUP($A72,TRANSPOSE('[1]Fur 3 PLC'!$AS$1:$BX$38),16,0),0)</f>
        <v>0</v>
      </c>
      <c r="CA72" s="54" cm="1">
        <f t="array" ref="CA72">IFERROR(VLOOKUP($A72,TRANSPOSE('[1]Fur 3 PLC'!$AS$1:$BX$38),9,0),0)</f>
        <v>386.46218931782124</v>
      </c>
      <c r="CB72" s="54" cm="1">
        <f t="array" ref="CB72">IFERROR(VLOOKUP($A72,TRANSPOSE('[1]Fur 3 PLC'!$AS$1:$BX$38),17,0),0)</f>
        <v>0</v>
      </c>
      <c r="CC72" s="54" cm="1">
        <f t="array" ref="CC72">IFERROR(VLOOKUP($A72,TRANSPOSE('[1]Fur 3 PLC'!$AS$1:$BX$38),20,0),0)</f>
        <v>92.570068746694858</v>
      </c>
      <c r="CD72" s="54" cm="1">
        <f t="array" ref="CD72">IFERROR(VLOOKUP($A72,TRANSPOSE('[1]Fur 3 PLC'!$AS$1:$BX$38),28,0),0)</f>
        <v>0</v>
      </c>
      <c r="CE72" s="54" cm="1">
        <f t="array" ref="CE72">IFERROR(VLOOKUP($A72,TRANSPOSE('[1]Fur 3 PLC'!$AS$1:$BX$38),13,0),0)</f>
        <v>0</v>
      </c>
      <c r="CF72" s="54" cm="1">
        <f t="array" ref="CF72">IFERROR(VLOOKUP($A72,TRANSPOSE('[1]Fur 3 PLC'!$AS$1:$BX$38),37,0),0)</f>
        <v>306.58381808566895</v>
      </c>
      <c r="CG72" s="54" cm="1">
        <f t="array" ref="CG72">IFERROR(VLOOKUP($A72,TRANSPOSE('[1]Fur 3 PLC'!$AS$1:$BX$38),6,0),0)</f>
        <v>0</v>
      </c>
      <c r="CH72" s="54" cm="1">
        <f t="array" ref="CH72">IFERROR(VLOOKUP($A72,TRANSPOSE('[1]Fur 3 PLC'!$AS$1:$BX$38),21,0),0)</f>
        <v>0</v>
      </c>
      <c r="CI72" s="54" cm="1">
        <f t="array" ref="CI72">IFERROR(VLOOKUP($A72,TRANSPOSE('[1]Fur 3 PLC'!$AS$1:$BX$38),12,0),0)</f>
        <v>0</v>
      </c>
      <c r="CJ72" s="54" cm="1">
        <f t="array" ref="CJ72">IFERROR(VLOOKUP($A72,TRANSPOSE('[1]Fur 3 PLC'!$AS$1:$BX$38),25,0),0)</f>
        <v>0</v>
      </c>
      <c r="CK72" s="54" cm="1">
        <f t="array" ref="CK72">IFERROR(VLOOKUP($A72,TRANSPOSE('[1]Fur 3 PLC'!$AS$1:$BX$38),26,0),0)</f>
        <v>396.08672659968272</v>
      </c>
      <c r="CL72" s="54" cm="1">
        <f t="array" ref="CL72">IFERROR(VLOOKUP($A72,TRANSPOSE('[1]Fur 3 PLC'!$AS$1:$BX$38),27,0),0)</f>
        <v>126.4145954521417</v>
      </c>
      <c r="CM72" s="54" cm="1">
        <f t="array" ref="CM72">IFERROR(VLOOKUP($A72,TRANSPOSE('[1]Fur 3 PLC'!$AS$1:$BX$38),22,0),0)</f>
        <v>0</v>
      </c>
      <c r="CN72" s="54"/>
      <c r="CO72" s="54" cm="1">
        <f t="array" ref="CO72">IFERROR(VLOOKUP($A72,TRANSPOSE('[1]Fur 3 PLC'!$AS$1:$BX$38),29,0),0)</f>
        <v>107.98519301956635</v>
      </c>
      <c r="CP72" s="54" cm="1">
        <f t="array" ref="CP72">IFERROR(VLOOKUP($A72,TRANSPOSE('[1]Fur 3 PLC'!$AS$1:$BX$38),10,0),0)</f>
        <v>0</v>
      </c>
      <c r="CQ72" s="54" cm="1">
        <f t="array" ref="CQ72">IFERROR(VLOOKUP($A72,TRANSPOSE('[1]Fur 3 PLC'!$AS$1:$BX$38),7,0),0)</f>
        <v>216.20835536753037</v>
      </c>
      <c r="CR72" s="54" cm="1">
        <f t="array" ref="CR72">IFERROR(VLOOKUP($A72,TRANSPOSE('[1]Fur 3 PLC'!$AS$1:$BX$38),35,0),0)</f>
        <v>41.697514542570069</v>
      </c>
      <c r="CS72" s="54" cm="1">
        <f t="array" ref="CS72">IFERROR(VLOOKUP($A72,TRANSPOSE('[1]Fur 3 PLC'!$AS$1:$BX$38),11,0),0)</f>
        <v>0</v>
      </c>
      <c r="CT72" s="54" cm="1">
        <f t="array" ref="CT72">IFERROR(VLOOKUP($A72,TRANSPOSE('[1]Fur 3 PLC'!$AS$1:$BX$38),19,0),0)</f>
        <v>0</v>
      </c>
      <c r="CU72" s="54" cm="1">
        <f t="array" ref="CU72">IFERROR(VLOOKUP($A72,TRANSPOSE('[1]Fur 3 PLC'!$AS$1:$BX$38),18,0),0)</f>
        <v>362.95610787942888</v>
      </c>
      <c r="CV72" s="54" cm="1">
        <f t="array" ref="CV72">IFERROR(VLOOKUP($A72,TRANSPOSE('[1]Fur 3 PLC'!$AR$1:$BV$38),15,0),0)</f>
        <v>341.96192490745636</v>
      </c>
      <c r="CW72" s="54" cm="1">
        <f t="array" ref="CW72">IFERROR(VLOOKUP($A72,TRANSPOSE('[1]Fur 3 PLC'!$CK$1:$DO$38),8,0),0)</f>
        <v>460.6764705882353</v>
      </c>
      <c r="CX72" s="54" cm="1">
        <f t="array" ref="CX72">IFERROR(VLOOKUP($A72,TRANSPOSE('[1]Fur 3 PLC'!$CK$1:$DO$38),30,0),0)</f>
        <v>0</v>
      </c>
      <c r="CY72" s="54" cm="1">
        <f t="array" ref="CY72">IFERROR(VLOOKUP($A72,TRANSPOSE('[1]Fur 3 PLC'!$CK$1:$DO$38),14,0),0)</f>
        <v>0</v>
      </c>
      <c r="CZ72" s="54" cm="1">
        <f t="array" ref="CZ72">IFERROR(VLOOKUP($A72,TRANSPOSE('[1]Fur 3 PLC'!$CK$1:$DO$38),16,0),0)</f>
        <v>0</v>
      </c>
      <c r="DA72" s="54" cm="1">
        <f t="array" ref="DA72">IFERROR(VLOOKUP($A72,TRANSPOSE('[1]Fur 3 PLC'!$CK$1:$DO$38),9,0),0)</f>
        <v>214.94117647058823</v>
      </c>
      <c r="DB72" s="55" cm="1">
        <f t="array" ref="DB72">IFERROR(VLOOKUP($A72,TRANSPOSE('[1]Fur 3 PLC'!$CK$1:$DO$38),17,0),0)</f>
        <v>0</v>
      </c>
      <c r="DC72" s="55" cm="1">
        <f t="array" ref="DC72">IFERROR(VLOOKUP($A72,TRANSPOSE('[1]Fur 3 PLC'!$CK$1:$DO$38),20,0),0)</f>
        <v>51.485294117647058</v>
      </c>
      <c r="DD72" s="54" cm="1">
        <f t="array" ref="DD72">IFERROR(VLOOKUP($A72,TRANSPOSE('[1]Fur 3 PLC'!$CK$1:$DO$38),28,0),0)</f>
        <v>0</v>
      </c>
      <c r="DE72" s="54" cm="1">
        <f t="array" ref="DE72">IFERROR(VLOOKUP($A72,TRANSPOSE('[1]Fur 3 PLC'!$CK$1:$DO$38),13,0),0)</f>
        <v>0</v>
      </c>
      <c r="DF72" s="54" cm="1">
        <f t="array" ref="DF72">IFERROR(VLOOKUP($A72,TRANSPOSE('[1]Fur 3 PLC'!$CK$1:$DO$38),37,0),0)</f>
        <v>170.51470588235296</v>
      </c>
      <c r="DG72" s="54" cm="1">
        <f t="array" ref="DG72">IFERROR(VLOOKUP($A72,TRANSPOSE('[1]Fur 3 PLC'!$CK$1:$DO$38),6,0),0)</f>
        <v>0</v>
      </c>
      <c r="DH72" s="54" cm="1">
        <f t="array" ref="DH72">IFERROR(VLOOKUP($A72,TRANSPOSE('[1]Fur 3 PLC'!$CK$1:$DO$38),21,0),0)</f>
        <v>0</v>
      </c>
      <c r="DI72" s="54" cm="1">
        <f t="array" ref="DI72">IFERROR(VLOOKUP($A72,TRANSPOSE('[1]Fur 3 PLC'!$CK$1:$DO$38),12,0),0)</f>
        <v>0</v>
      </c>
      <c r="DJ72" s="54" cm="1">
        <f t="array" ref="DJ72">IFERROR(VLOOKUP($A72,TRANSPOSE('[1]Fur 3 PLC'!$CK$1:$DO$38),25,0),0)</f>
        <v>0</v>
      </c>
      <c r="DK72" s="54" cm="1">
        <f t="array" ref="DK72">IFERROR(VLOOKUP($A72,TRANSPOSE('[1]Fur 3 PLC'!$CK$1:$DO$38),26,0),0)</f>
        <v>220.29411764705884</v>
      </c>
      <c r="DL72" s="54" cm="1">
        <f t="array" ref="DL72">IFERROR(VLOOKUP($A72,TRANSPOSE('[1]Fur 3 PLC'!$CK$1:$DO$38),27,0),0)</f>
        <v>70.308823529411754</v>
      </c>
      <c r="DM72" s="54" cm="1">
        <f t="array" ref="DM72">IFERROR(VLOOKUP($A72,TRANSPOSE('[1]Fur 3 PLC'!$CK$1:$DO$38),22,0),0)</f>
        <v>0</v>
      </c>
      <c r="DN72" s="54" cm="1">
        <f t="array" ref="DN72">IFERROR(VLOOKUP($A72,TRANSPOSE('[1]Fur 3 PLC'!$CK$1:$DO$38),19,0),0)</f>
        <v>0</v>
      </c>
      <c r="DO72" s="54" cm="1">
        <f t="array" ref="DO72">IFERROR(VLOOKUP($A72,TRANSPOSE('[1]Fur 3 PLC'!$CK$1:$DO$38),29,0),0)</f>
        <v>60.058823529411761</v>
      </c>
      <c r="DP72" s="54" cm="1">
        <f t="array" ref="DP72">IFERROR(VLOOKUP($A72,TRANSPOSE('[1]Fur 3 PLC'!$CK$1:$DO$38),10,0),0)</f>
        <v>0</v>
      </c>
      <c r="DQ72" s="54" cm="1">
        <f t="array" ref="DQ72">IFERROR(VLOOKUP($A72,TRANSPOSE('[1]Fur 3 PLC'!$CK$1:$DO$38),7,0),0)</f>
        <v>120.25</v>
      </c>
      <c r="DR72" s="54" cm="1">
        <f t="array" ref="DR72">IFERROR(VLOOKUP($A72,TRANSPOSE('[1]Fur 3 PLC'!$CK$1:$DO$38),35,0),0)</f>
        <v>23.191176470588236</v>
      </c>
      <c r="DS72" s="54" cm="1">
        <f t="array" ref="DS72">IFERROR(VLOOKUP($A72,TRANSPOSE('[1]Fur 3 PLC'!$CK$1:$DO$38),11,0),0)</f>
        <v>0</v>
      </c>
      <c r="DT72" s="54" cm="1">
        <f t="array" ref="DT72">IFERROR(VLOOKUP($A72,TRANSPOSE('[1]Fur 3 PLC'!$CK$1:$DO$38),19,0),0)</f>
        <v>0</v>
      </c>
      <c r="DU72" s="54" cm="1">
        <f t="array" ref="DU72">IFERROR(VLOOKUP($A72,TRANSPOSE('[1]Fur 3 PLC'!$CK$1:$DO$38),18,0),0)</f>
        <v>201.86764705882354</v>
      </c>
      <c r="DV72" s="54" cm="1">
        <f t="array" ref="DV72">IFERROR(VLOOKUP($A72,TRANSPOSE('[1]Fur 3 PLC'!$CK$1:$DO$38),15,0),0)</f>
        <v>190.19117647058823</v>
      </c>
      <c r="DW72" t="str">
        <f t="shared" si="86"/>
        <v>Dec-25</v>
      </c>
    </row>
    <row r="73" spans="1:127" x14ac:dyDescent="0.3">
      <c r="A73" s="28" t="str">
        <f t="shared" si="59"/>
        <v>F446009</v>
      </c>
      <c r="B73" s="29" t="s">
        <v>29</v>
      </c>
      <c r="C73" s="30">
        <f>C72</f>
        <v>46009</v>
      </c>
      <c r="D73" s="29" t="str">
        <f>VLOOKUP($B73&amp;$C73,'[1]FC4 Prod'!$A$6:$BP$36,[2]Consolidated!D$1)</f>
        <v>Mr.Ganesh Ghosh Ji</v>
      </c>
      <c r="E73" s="29">
        <f>VLOOKUP($B73&amp;$C73,'[1]FC4 Prod'!$A$6:$BP$36,[2]Consolidated!E$1)</f>
        <v>52.695</v>
      </c>
      <c r="F73" s="31">
        <f>VLOOKUP($B73&amp;$C73,'[1]FC4 Prod'!$A$6:$BP$36,[2]Consolidated!F$1)</f>
        <v>0</v>
      </c>
      <c r="G73" s="32">
        <f>VLOOKUP($B73&amp;$C73,'[1]FC4 Prod'!$A$6:$BP$36,[2]Consolidated!G$1)</f>
        <v>52.695</v>
      </c>
      <c r="H73" s="32">
        <f>VLOOKUP($B73&amp;$C73,'[1]FC4 Prod'!$A$6:$BP$36,[2]Consolidated!H$1)</f>
        <v>21.72</v>
      </c>
      <c r="I73" s="32">
        <f>VLOOKUP($B73&amp;$C73,'[1]FC4 Prod'!$A$6:$BP$36,[2]Consolidated!I$1)</f>
        <v>10.4375</v>
      </c>
      <c r="J73" s="32">
        <f>VLOOKUP($B73&amp;$C73,'[1]FC4 Prod'!$A$6:$BP$36,[2]Consolidated!J$1)</f>
        <v>40.250000000000007</v>
      </c>
      <c r="K73" s="32">
        <f>VLOOKUP($B73&amp;$C73,'[1]FC4 Prod'!$A$6:$BP$36,[2]Consolidated!K$1)</f>
        <v>1.3975</v>
      </c>
      <c r="L73" s="32">
        <f>VLOOKUP($B73&amp;$C73,'[1]FC4 Prod'!$A$6:$BP$36,[2]Consolidated!L$1)</f>
        <v>22.199999999999996</v>
      </c>
      <c r="M73" s="32">
        <f>VLOOKUP($B73&amp;$C73,'[1]FC4 Prod'!$A$6:$BP$36,[2]Consolidated!M$1)</f>
        <v>4.6325000000000003</v>
      </c>
      <c r="N73" s="32">
        <f>VLOOKUP($B73&amp;$C73,'[1]FC4 Prod'!$A$6:$BP$36,[2]Consolidated!N$1)</f>
        <v>17.8825</v>
      </c>
      <c r="O73" s="32">
        <f>VLOOKUP($B73&amp;$C73,'[1]FC4 Prod'!$A$6:$BP$36,[2]Consolidated!O$1)</f>
        <v>0.66500000000000004</v>
      </c>
      <c r="P73" s="33">
        <f>VLOOKUP($B73&amp;$C73,'[1]FC4 Prod'!$A$6:$BP$36,[2]Consolidated!P$1)</f>
        <v>8</v>
      </c>
      <c r="Q73" s="29">
        <f>VLOOKUP($B73&amp;$C73,'[1]FC4 Prod'!$A$6:$BP$36,[2]Consolidated!Q$1)</f>
        <v>95.072999999999993</v>
      </c>
      <c r="R73" s="29">
        <f>VLOOKUP($B73&amp;$C73,'[1]FC4 Prod'!$A$6:$BP$36,[2]Consolidated!R$1)</f>
        <v>31.041999999999998</v>
      </c>
      <c r="S73" s="34">
        <f>VLOOKUP($B73&amp;$C73,'[1]FC4 Prod'!$A$6:$BP$36,[2]Consolidated!S$1)</f>
        <v>36</v>
      </c>
      <c r="T73" s="34">
        <f>VLOOKUP($B73&amp;$C73,'[1]FC4 Prod'!$A$6:$BP$36,[2]Consolidated!T$1)</f>
        <v>28</v>
      </c>
      <c r="U73" s="34">
        <f>VLOOKUP($B73&amp;$C73,'[1]FC4 Prod'!$A$6:$BP$36,[2]Consolidated!U$1)</f>
        <v>30</v>
      </c>
      <c r="V73" s="34">
        <f>VLOOKUP($B73&amp;$C73,'[1]FC4 Prod'!$A$6:$BP$36,[2]Consolidated!V$1)</f>
        <v>94</v>
      </c>
      <c r="W73" s="35">
        <f>VLOOKUP($B73&amp;$C73,'[1]FC4 Prod'!$A$6:$BP$36,[2]Consolidated!W$1)</f>
        <v>1.8042129234272699</v>
      </c>
      <c r="X73" s="35">
        <f>VLOOKUP($B73&amp;$C73,'[1]FC4 Prod'!$A$6:$BP$36,[2]Consolidated!X$1)</f>
        <v>54.324999999999996</v>
      </c>
      <c r="Y73" s="36">
        <f>VLOOKUP($B73&amp;$C73,'[1]FC4 Prod'!$A$6:$BP$36,[2]Consolidated!Y$1)</f>
        <v>0.96999539806718826</v>
      </c>
      <c r="Z73" s="37" t="str">
        <f>VLOOKUP($B73&amp;$C73,'[1]FC4 Prod'!$A$6:$BP$36,[2]Consolidated!Z$1)</f>
        <v>40/8</v>
      </c>
      <c r="AA73" s="31">
        <f>VLOOKUP($B73&amp;$C73,'[1]FC4 Prod'!$A$6:$BP$36,[2]Consolidated!AA$1)</f>
        <v>37.28</v>
      </c>
      <c r="AB73" s="31">
        <f>VLOOKUP($B73&amp;$C73,'[1]FC4 Prod'!$A$6:$BP$36,[2]Consolidated!AB$1)</f>
        <v>7.4599999999999991</v>
      </c>
      <c r="AC73" s="31">
        <f>VLOOKUP($B73&amp;$C73,'[1]FC4 Prod'!$A$6:$BP$36,[2]Consolidated!AC$1)</f>
        <v>0</v>
      </c>
      <c r="AD73" s="38">
        <f>VLOOKUP($B73&amp;$C73,'[1]FC4 Prod'!$A$6:$BP$36,[2]Consolidated!AD$1)</f>
        <v>466.66400760983015</v>
      </c>
      <c r="AE73" s="38">
        <f>VLOOKUP($B73&amp;$C73,'[1]FC4 Prod'!$A$6:$BP$36,[2]Consolidated!AE$1)</f>
        <v>401.32196917734126</v>
      </c>
      <c r="AF73" s="39">
        <f>VLOOKUP($B73&amp;$C73,'[1]FC4 Prod'!$A$6:$BP$36,[2]Consolidated!AF$1)</f>
        <v>0.79886169475425195</v>
      </c>
      <c r="AG73" s="39">
        <f>VLOOKUP($B73&amp;$C73,'[1]FC4 Prod'!$A$6:$BP$36,[2]Consolidated!AG$1)</f>
        <v>0.9289299580688104</v>
      </c>
      <c r="AH73" s="34">
        <f>VLOOKUP($B73&amp;$C73,'[1]FC4 Prod'!$A$6:$BP$36,[2]Consolidated!AH$1)</f>
        <v>198.63668545402788</v>
      </c>
      <c r="AI73" s="33">
        <f>VLOOKUP($B73&amp;$C73,'[1]FC4 Prod'!$A$6:$BP$36,[2]Consolidated!AI$1)</f>
        <v>323.80574418825319</v>
      </c>
      <c r="AJ73" s="39">
        <f>VLOOKUP($B73&amp;$C73,'[1]FC4 Prod'!$A$6:$BP$36,[2]Consolidated!AJ$1)</f>
        <v>0.80981556767348972</v>
      </c>
      <c r="AK73" s="39">
        <f>VLOOKUP($B73&amp;$C73,'[1]FC4 Prod'!$A$6:$BP$36,[2]Consolidated!AK$1)</f>
        <v>0.70539664565087867</v>
      </c>
      <c r="AL73" s="40" t="e">
        <f>VLOOKUP($B73&amp;$C73,'[1]FC4 Prod'!$A$6:$BP$36,[2]Consolidated!AL$1)</f>
        <v>#REF!</v>
      </c>
      <c r="AM73" s="41">
        <f>VLOOKUP($B73&amp;$C73,'[1]FC4 Prod'!$A$6:$BP$36,[2]Consolidated!AM$1)</f>
        <v>0</v>
      </c>
      <c r="AN73" s="42">
        <f>VLOOKUP($B73&amp;$C73,'[1]FC4 Prod'!$A$6:$BP$36,[2]Consolidated!AN$1)</f>
        <v>144.9</v>
      </c>
      <c r="AO73" s="43">
        <f>VLOOKUP($B73&amp;$C73,'[1]FC4 Prod'!$A$6:$BP$36,[2]Consolidated!AO$1)</f>
        <v>5.8490000000000002</v>
      </c>
      <c r="AP73" s="44">
        <f>VLOOKUP($B73&amp;$C73,'[1]FC4 Prod'!$A$6:$BP$36,[2]Consolidated!AP$1)</f>
        <v>2.8607837555745328</v>
      </c>
      <c r="AQ73" s="44">
        <f>VLOOKUP($B73&amp;$C73,'[1]FC4 Prod'!$A$6:$BP$36,[2]Consolidated!AQ$1)</f>
        <v>20.515178221239193</v>
      </c>
      <c r="AR73" s="45">
        <f>VLOOKUP($B73&amp;$C73,'[1]FC4 Prod'!$A$6:$BP$36,[2]Consolidated!AR$1)</f>
        <v>0.98975409836065598</v>
      </c>
      <c r="AS73" s="46">
        <f>VLOOKUP($B73&amp;$C73,'[1]FC4 Prod'!$A$6:$BP$36,[2]Consolidated!AS$1)</f>
        <v>2.0630000000000002</v>
      </c>
      <c r="AT73" s="29">
        <f>VLOOKUP($B73&amp;$C73,'[1]FC4 Prod'!$A$6:$BP$36,[2]Consolidated!AT$1)</f>
        <v>0</v>
      </c>
      <c r="AU73" s="34">
        <f>VLOOKUP($B73&amp;$C73,'[1]FC4 Prod'!$A$6:$BP$36,[2]Consolidated!AU$1)</f>
        <v>577.59837962962968</v>
      </c>
      <c r="AV73" s="34">
        <f>VLOOKUP($B73&amp;$C73,'[1]FC4 Prod'!$A$6:$BP$36,[2]Consolidated!AV$1)</f>
        <v>225</v>
      </c>
      <c r="AW73" s="47">
        <f>VLOOKUP($B73&amp;$C73,'[1]FC4 Prod'!$A$6:$BP$36,[2]Consolidated!AW$1)</f>
        <v>17581.629566372521</v>
      </c>
      <c r="AX73" s="47">
        <f>VLOOKUP($B73&amp;$C73,'[1]FC4 Prod'!$A$6:$BP$36,[2]Consolidated!AX$1)</f>
        <v>4012.3450042698551</v>
      </c>
      <c r="AY73" s="48">
        <f>VLOOKUP($B73&amp;$C73,'[1]FC4 Prod'!$A$6:$BP$36,[2]Consolidated!AY$1)</f>
        <v>394.42072302875033</v>
      </c>
      <c r="AZ73" s="47">
        <f>VLOOKUP($B73&amp;$C73,'[1]FC4 Prod'!$A$6:$BP$36,[2]Consolidated!AZ$1)</f>
        <v>1134.3951038998007</v>
      </c>
      <c r="BA73" s="47">
        <f>VLOOKUP($B73&amp;$C73,'[1]FC4 Prod'!$A$6:$BP$36,[2]Consolidated!BA$1)</f>
        <v>16735.584970111016</v>
      </c>
      <c r="BB73" s="47">
        <f>VLOOKUP($B73&amp;$C73,'[1]FC4 Prod'!$A$6:$BP$36,[2]Consolidated!BB$1)</f>
        <v>398.58375367681947</v>
      </c>
      <c r="BC73" s="47">
        <f>VLOOKUP($B73&amp;$C73,'[1]FC4 Prod'!$A$6:$BP$36,[2]Consolidated!BC$1)</f>
        <v>5435.4891355916125</v>
      </c>
      <c r="BD73" s="49">
        <f>VLOOKUP($B73&amp;$C73,'[1]FC4 Prod'!$A$6:$BP$36,[2]Consolidated!BD$1)</f>
        <v>45692.448256950382</v>
      </c>
      <c r="BE73" s="47">
        <f>VLOOKUP($B73&amp;$C73,'[1]FC4 Prod'!$A$6:$BP$36,[2]Consolidated!BE$1)</f>
        <v>15075.094373280197</v>
      </c>
      <c r="BF73" s="47">
        <f>VLOOKUP($B73&amp;$C73,'[1]FC4 Prod'!$A$6:$BP$36,[2]Consolidated!BF$1)</f>
        <v>6741.0724357149629</v>
      </c>
      <c r="BG73" s="50">
        <f>VLOOKUP($B73&amp;$C73,'[1]FC4 Prod'!$A$6:$BP$36,[2]Consolidated!BG$1)</f>
        <v>437.49217193282095</v>
      </c>
      <c r="BH73" s="50">
        <f>VLOOKUP($B73&amp;$C73,'[1]FC4 Prod'!$A$6:$BP$36,[2]Consolidated!BH$1)</f>
        <v>401.23639054938803</v>
      </c>
      <c r="BI73" s="50">
        <f>VLOOKUP($B73&amp;$C73,'[1]FC4 Prod'!$A$6:$BP$36,[2]Consolidated!BI$1)</f>
        <v>45960.364581079797</v>
      </c>
      <c r="BJ73" s="37" t="e">
        <f>VLOOKUP($B73&amp;$C73,'[1]FC4 Prod'!$A$6:$BP$36,[2]Consolidated!BJ$1)</f>
        <v>#REF!</v>
      </c>
      <c r="BK73" s="37" t="e">
        <f>VLOOKUP($B73&amp;$C73,'[1]FC4 Prod'!$A$6:$BP$36,[2]Consolidated!BK$1)</f>
        <v>#REF!</v>
      </c>
      <c r="BL73" s="37" t="e">
        <f>VLOOKUP($B73&amp;$C73,'[1]FC4 Prod'!$A$6:$BP$36,[2]Consolidated!BL$1)</f>
        <v>#REF!</v>
      </c>
      <c r="BM73" s="37" t="e">
        <f>VLOOKUP($B73&amp;$C73,'[1]FC4 Prod'!$A$6:$BP$36,[2]Consolidated!BM$1)</f>
        <v>#REF!</v>
      </c>
      <c r="BN73" s="37" t="e">
        <f>VLOOKUP($B73&amp;$C73,'[1]FC4 Prod'!$A$6:$BP$36,[2]Consolidated!BN$1)</f>
        <v>#REF!</v>
      </c>
      <c r="BO73" s="37" t="e">
        <f>VLOOKUP($B73&amp;$C73,'[1]FC4 Prod'!$A$6:$BP$36,[2]Consolidated!BO$1)</f>
        <v>#REF!</v>
      </c>
      <c r="BP73" s="37" t="str">
        <f>VLOOKUP($B73&amp;$C73,'[1]FC4 Prod'!$A$6:$BP$36,[2]Consolidated!BP$1)</f>
        <v>NIL</v>
      </c>
      <c r="BQ73" s="51" t="e">
        <f>VLOOKUP($B73&amp;$C73,'[1]FC4 Prod'!$A$6:$BP$36,[2]Consolidated!BQ$1)</f>
        <v>#REF!</v>
      </c>
      <c r="BR73" s="51">
        <f>VLOOKUP($B73&amp;$C73,'[1]FC4 Prod'!$A$6:$BQ$36,[2]Consolidated!BR$1)</f>
        <v>41644</v>
      </c>
      <c r="BS73" s="52">
        <f t="shared" ref="BS73" si="89">BE73+BF73*110%+BG73+BA73</f>
        <v>39663.351194610492</v>
      </c>
      <c r="BT73" s="32">
        <f t="shared" si="87"/>
        <v>1980.6488053895082</v>
      </c>
      <c r="BU73" s="37">
        <f t="shared" si="88"/>
        <v>104370.28880000014</v>
      </c>
      <c r="BV73" s="53" t="s">
        <v>132</v>
      </c>
      <c r="BW73" s="54" cm="1">
        <f t="array" ref="BW73">IFERROR(VLOOKUP($A73,TRANSPOSE('[1]Fur 4 PLC'!$AR$1:$BV$39),8,0),0)</f>
        <v>0</v>
      </c>
      <c r="BX73" s="54" cm="1">
        <f t="array" ref="BX73">IFERROR(VLOOKUP($A73,TRANSPOSE('[1]Fur 4 PLC'!$AR$1:$BV$39),30,0),0)</f>
        <v>0</v>
      </c>
      <c r="BY73" s="54" cm="1">
        <f t="array" ref="BY73">IFERROR(VLOOKUP($A73,TRANSPOSE('[1]Fur 4 PLC'!$AR$1:$BV$39),14,0),0)</f>
        <v>0</v>
      </c>
      <c r="BZ73" s="54" cm="1">
        <f t="array" ref="BZ73">IFERROR(VLOOKUP($A73,TRANSPOSE('[1]Fur 4 PLC'!$AR$1:$BV$39),16,0),0)</f>
        <v>0</v>
      </c>
      <c r="CA73" s="54" cm="1">
        <f t="array" ref="CA73">IFERROR(VLOOKUP($A73,TRANSPOSE('[1]Fur 4 PLC'!$AR$1:$BV$39),9,0),0)</f>
        <v>0</v>
      </c>
      <c r="CB73" s="54" cm="1">
        <f t="array" ref="CB73">IFERROR(VLOOKUP($A73,TRANSPOSE('[1]Fur 4 PLC'!$AR$1:$BV$39),17,0),0)</f>
        <v>0</v>
      </c>
      <c r="CC73" s="54" cm="1">
        <f t="array" ref="CC73">IFERROR(VLOOKUP($A73,TRANSPOSE('[1]Fur 4 PLC'!$AR$1:$BV$39),20,0),0)</f>
        <v>678.45146598348981</v>
      </c>
      <c r="CD73" s="54" cm="1">
        <f t="array" ref="CD73">IFERROR(VLOOKUP($A73,TRANSPOSE('[1]Fur 4 PLC'!$AR$1:$BV$39),28,0),0)</f>
        <v>0</v>
      </c>
      <c r="CE73" s="54" cm="1">
        <f t="array" ref="CE73">IFERROR(VLOOKUP($A73,TRANSPOSE('[1]Fur 4 PLC'!$AR$1:$BV$39),13,0),0)</f>
        <v>89.496157130657565</v>
      </c>
      <c r="CF73" s="54" cm="1">
        <f t="array" ref="CF73">IFERROR(VLOOKUP($A73,TRANSPOSE('[1]Fur 4 PLC'!$AR$1:$BV$39),37,0),0)</f>
        <v>8.255052661542841</v>
      </c>
      <c r="CG73" s="54" cm="1">
        <f t="array" ref="CG73">IFERROR(VLOOKUP($A73,TRANSPOSE('[1]Fur 4 PLC'!$AR$1:$BV$39),6,0),0)</f>
        <v>0</v>
      </c>
      <c r="CH73" s="54" cm="1">
        <f t="array" ref="CH73">IFERROR(VLOOKUP($A73,TRANSPOSE('[1]Fur 4 PLC'!$AR$1:$BV$39),21,0),0)</f>
        <v>660.08160166998766</v>
      </c>
      <c r="CI73" s="54" cm="1">
        <f t="array" ref="CI73">IFERROR(VLOOKUP($A73,TRANSPOSE('[1]Fur 4 PLC'!$AR$1:$BV$39),12,0),0)</f>
        <v>0</v>
      </c>
      <c r="CJ73" s="54" cm="1">
        <f t="array" ref="CJ73">IFERROR(VLOOKUP($A73,TRANSPOSE('[1]Fur 4 PLC'!$AR$1:$BV$39),25,0),0)</f>
        <v>107.12591327450421</v>
      </c>
      <c r="CK73" s="54" cm="1">
        <f t="array" ref="CK73">IFERROR(VLOOKUP($A73,TRANSPOSE('[1]Fur 4 PLC'!$AR$1:$BV$39),26,0),0)</f>
        <v>365.84116140051236</v>
      </c>
      <c r="CL73" s="54" cm="1">
        <f t="array" ref="CL73">IFERROR(VLOOKUP($A73,TRANSPOSE('[1]Fur 4 PLC'!$AR$1:$BV$39),27,0),0)</f>
        <v>0</v>
      </c>
      <c r="CM73" s="54" cm="1">
        <f t="array" ref="CM73">IFERROR(VLOOKUP($A73,TRANSPOSE('[1]Fur 4 PLC'!$AR$1:$BV$39),22,0),0)</f>
        <v>0</v>
      </c>
      <c r="CN73" s="54"/>
      <c r="CO73" s="54" cm="1">
        <f t="array" ref="CO73">IFERROR(VLOOKUP($A73,TRANSPOSE('[1]Fur 4 PLC'!$AR$1:$BV$39),29,0),0)</f>
        <v>116.12107410570262</v>
      </c>
      <c r="CP73" s="54" cm="1">
        <f t="array" ref="CP73">IFERROR(VLOOKUP($A73,TRANSPOSE('[1]Fur 4 PLC'!$AR$1:$BV$39),10,0),0)</f>
        <v>0</v>
      </c>
      <c r="CQ73" s="54" cm="1">
        <f t="array" ref="CQ73">IFERROR(VLOOKUP($A73,TRANSPOSE('[1]Fur 4 PLC'!$AR$1:$BV$39),7,0),0)</f>
        <v>152.00683176771989</v>
      </c>
      <c r="CR73" s="54" cm="1">
        <f t="array" ref="CR73">IFERROR(VLOOKUP($A73,TRANSPOSE('[1]Fur 4 PLC'!$AR$1:$BV$39),36,0),0)</f>
        <v>180.39662207040516</v>
      </c>
      <c r="CS73" s="54" cm="1">
        <f t="array" ref="CS73">IFERROR(VLOOKUP($A73,TRANSPOSE('[1]Fur 4 PLC'!$AR$1:$BV$39),11,0),0)</f>
        <v>0</v>
      </c>
      <c r="CT73" s="54" cm="1">
        <f t="array" ref="CT73">IFERROR(VLOOKUP($A73,TRANSPOSE('[1]Fur 4 PLC'!$AR$1:$BV$39),19,0),0)</f>
        <v>89.856722649207711</v>
      </c>
      <c r="CU73" s="54" cm="1">
        <f t="array" ref="CU73">IFERROR(VLOOKUP($A73,TRANSPOSE('[1]Fur 4 PLC'!$AR$1:$BV$39),18,0),0)</f>
        <v>286.32697599392731</v>
      </c>
      <c r="CV73" s="54" cm="1">
        <f t="array" ref="CV73">IFERROR(VLOOKUP($A73,TRANSPOSE('[1]Fur 4 PLC'!$AR$1:$BV$38),15,0),0)</f>
        <v>0</v>
      </c>
      <c r="CW73" s="54" cm="1">
        <f t="array" ref="CW73">IFERROR(VLOOKUP($A73,TRANSPOSE('[1]Fur 4 PLC'!$CK$1:$DO$39),8,0),0)</f>
        <v>0</v>
      </c>
      <c r="CX73" s="54" cm="1">
        <f t="array" ref="CX73">IFERROR(VLOOKUP($A73,TRANSPOSE('[1]Fur 4 PLC'!$CK$1:$DO$39),30,0),0)</f>
        <v>0</v>
      </c>
      <c r="CY73" s="54" cm="1">
        <f t="array" ref="CY73">IFERROR(VLOOKUP($A73,TRANSPOSE('[1]Fur 4 PLC'!$CK$1:$DO$39),14,0),0)</f>
        <v>0</v>
      </c>
      <c r="CZ73" s="54" cm="1">
        <f t="array" ref="CZ73">IFERROR(VLOOKUP($A73,TRANSPOSE('[1]Fur 4 PLC'!$CK$1:$DO$39),16,0),0)</f>
        <v>0</v>
      </c>
      <c r="DA73" s="54" cm="1">
        <f t="array" ref="DA73">IFERROR(VLOOKUP($A73,TRANSPOSE('[1]Fur 4 PLC'!$CK$1:$DO$39),9,0),0)</f>
        <v>0</v>
      </c>
      <c r="DB73" s="55" cm="1">
        <f t="array" ref="DB73">IFERROR(VLOOKUP($A73,TRANSPOSE('[1]Fur 4 PLC'!$CK$1:$DO$39),17,0),0)</f>
        <v>0</v>
      </c>
      <c r="DC73" s="55" cm="1">
        <f t="array" ref="DC73">IFERROR(VLOOKUP($A73,TRANSPOSE('[1]Fur 4 PLC'!$CK$1:$DO$39),20,0),0)</f>
        <v>380.32978723404256</v>
      </c>
      <c r="DD73" s="54" cm="1">
        <f t="array" ref="DD73">IFERROR(VLOOKUP($A73,TRANSPOSE('[1]Fur 4 PLC'!$CK$1:$DO$39),28,0),0)</f>
        <v>0</v>
      </c>
      <c r="DE73" s="54" cm="1">
        <f t="array" ref="DE73">IFERROR(VLOOKUP($A73,TRANSPOSE('[1]Fur 4 PLC'!$CK$1:$DO$39),13,0),0)</f>
        <v>50.170212765957451</v>
      </c>
      <c r="DF73" s="54" cm="1">
        <f t="array" ref="DF73">IFERROR(VLOOKUP($A73,TRANSPOSE('[1]Fur 4 PLC'!$CK$1:$DO$39),37,0),0)</f>
        <v>4.6276595744680851</v>
      </c>
      <c r="DG73" s="54" cm="1">
        <f t="array" ref="DG73">IFERROR(VLOOKUP($A73,TRANSPOSE('[1]Fur 4 PLC'!$CK$1:$DO$39),6,0),0)</f>
        <v>0</v>
      </c>
      <c r="DH73" s="54" cm="1">
        <f t="array" ref="DH73">IFERROR(VLOOKUP($A73,TRANSPOSE('[1]Fur 4 PLC'!$CK$1:$DO$39),21,0),0)</f>
        <v>370.03191489361706</v>
      </c>
      <c r="DI73" s="54" cm="1">
        <f t="array" ref="DI73">IFERROR(VLOOKUP($A73,TRANSPOSE('[1]Fur 4 PLC'!$CK$1:$DO$39),12,0),0)</f>
        <v>0</v>
      </c>
      <c r="DJ73" s="54" cm="1">
        <f t="array" ref="DJ73">IFERROR(VLOOKUP($A73,TRANSPOSE('[1]Fur 4 PLC'!$CK$1:$DO$39),25,0),0)</f>
        <v>60.053191489361694</v>
      </c>
      <c r="DK73" s="54" cm="1">
        <f t="array" ref="DK73">IFERROR(VLOOKUP($A73,TRANSPOSE('[1]Fur 4 PLC'!$CK$1:$DO$39),26,0),0)</f>
        <v>205.08510638297872</v>
      </c>
      <c r="DL73" s="54" cm="1">
        <f t="array" ref="DL73">IFERROR(VLOOKUP($A73,TRANSPOSE('[1]Fur 4 PLC'!$CK$1:$DO$39),27,0),0)</f>
        <v>0</v>
      </c>
      <c r="DM73" s="54" cm="1">
        <f t="array" ref="DM73">IFERROR(VLOOKUP($A73,TRANSPOSE('[1]Fur 4 PLC'!$CK$1:$DO$39),22,0),0)</f>
        <v>0</v>
      </c>
      <c r="DN73" s="54" cm="1">
        <f t="array" ref="DN73">IFERROR(VLOOKUP($A73,TRANSPOSE('[1]Fur 4 PLC'!$CK$1:$DO$39),19,0),0)</f>
        <v>50.372340425531917</v>
      </c>
      <c r="DO73" s="54" cm="1">
        <f t="array" ref="DO73">IFERROR(VLOOKUP($A73,TRANSPOSE('[1]Fur 4 PLC'!$CK$1:$DO$39),29,0),0)</f>
        <v>65.09574468085107</v>
      </c>
      <c r="DP73" s="54" cm="1">
        <f t="array" ref="DP73">IFERROR(VLOOKUP($A73,TRANSPOSE('[1]Fur 4 PLC'!$CK$1:$DO$39),10,0),0)</f>
        <v>0</v>
      </c>
      <c r="DQ73" s="54" cm="1">
        <f t="array" ref="DQ73">IFERROR(VLOOKUP($A73,TRANSPOSE('[1]Fur 4 PLC'!$CK$1:$DO$39),7,0),0)</f>
        <v>85.212765957446805</v>
      </c>
      <c r="DR73" s="54" cm="1">
        <f t="array" ref="DR73">IFERROR(VLOOKUP($A73,TRANSPOSE('[1]Fur 4 PLC'!$CK$1:$DO$39),36,0),0)</f>
        <v>101.1276595744681</v>
      </c>
      <c r="DS73" s="54" cm="1">
        <f t="array" ref="DS73">IFERROR(VLOOKUP($A73,TRANSPOSE('[1]Fur 4 PLC'!$CK$1:$DO$39),11,0),0)</f>
        <v>0</v>
      </c>
      <c r="DT73" s="54" cm="1">
        <f t="array" ref="DT73">IFERROR(VLOOKUP($A73,TRANSPOSE('[1]Fur 4 PLC'!$CK$1:$DO$39),19,0),0)</f>
        <v>50.372340425531917</v>
      </c>
      <c r="DU73" s="54" cm="1">
        <f t="array" ref="DU73">IFERROR(VLOOKUP($A73,TRANSPOSE('[1]Fur 4 PLC'!$CK$1:$DO$39),18,0),0)</f>
        <v>160.51063829787233</v>
      </c>
      <c r="DV73" s="54" cm="1">
        <f t="array" ref="DV73">IFERROR(VLOOKUP($A73,TRANSPOSE('[1]Fur 4 PLC'!$CK$1:$DO$39),15,0),0)</f>
        <v>0</v>
      </c>
      <c r="DW73" t="str">
        <f t="shared" si="86"/>
        <v>Dec-25</v>
      </c>
    </row>
    <row r="74" spans="1:127" x14ac:dyDescent="0.3">
      <c r="A74" s="28" t="str">
        <f t="shared" si="59"/>
        <v>F146010</v>
      </c>
      <c r="B74" s="29" t="s">
        <v>26</v>
      </c>
      <c r="C74" s="30">
        <f>C70+1</f>
        <v>46010</v>
      </c>
      <c r="D74" s="29" t="str">
        <f>VLOOKUP($B74&amp;$C74,'[1]FC1 Prod'!$A$6:$BP$36,[2]Consolidated!D$1)</f>
        <v>Raju Singh</v>
      </c>
      <c r="E74" s="29">
        <f>VLOOKUP($B74&amp;$C74,'[1]FC1 Prod'!$A$6:$BP$36,[2]Consolidated!E$1)</f>
        <v>0</v>
      </c>
      <c r="F74" s="31">
        <f>VLOOKUP($B74&amp;$C74,'[1]FC1 Prod'!$A$6:$BP$36,[2]Consolidated!F$1)</f>
        <v>0</v>
      </c>
      <c r="G74" s="32" t="e">
        <f>VLOOKUP($B74&amp;$C74,'[1]FC1 Prod'!$A$6:$BP$36,[2]Consolidated!G$1)</f>
        <v>#REF!</v>
      </c>
      <c r="H74" s="32">
        <f>VLOOKUP($B74&amp;$C74,'[1]FC1 Prod'!$A$6:$BP$36,[2]Consolidated!H$1)</f>
        <v>0</v>
      </c>
      <c r="I74" s="32">
        <f>VLOOKUP($B74&amp;$C74,'[1]FC1 Prod'!$A$6:$BP$36,[2]Consolidated!I$1)</f>
        <v>0</v>
      </c>
      <c r="J74" s="32">
        <f>VLOOKUP($B74&amp;$C74,'[1]FC1 Prod'!$A$6:$BP$36,[2]Consolidated!J$1)</f>
        <v>0</v>
      </c>
      <c r="K74" s="32">
        <f>VLOOKUP($B74&amp;$C74,'[1]FC1 Prod'!$A$6:$BP$36,[2]Consolidated!K$1)</f>
        <v>0</v>
      </c>
      <c r="L74" s="32">
        <f>VLOOKUP($B74&amp;$C74,'[1]FC1 Prod'!$A$6:$BP$36,[2]Consolidated!L$1)</f>
        <v>0</v>
      </c>
      <c r="M74" s="32">
        <f>VLOOKUP($B74&amp;$C74,'[1]FC1 Prod'!$A$6:$BP$36,[2]Consolidated!M$1)</f>
        <v>0</v>
      </c>
      <c r="N74" s="32">
        <f>VLOOKUP($B74&amp;$C74,'[1]FC1 Prod'!$A$6:$BP$36,[2]Consolidated!N$1)</f>
        <v>0</v>
      </c>
      <c r="O74" s="32">
        <f>VLOOKUP($B74&amp;$C74,'[1]FC1 Prod'!$A$6:$BP$36,[2]Consolidated!O$1)</f>
        <v>0</v>
      </c>
      <c r="P74" s="33">
        <f>VLOOKUP($B74&amp;$C74,'[1]FC1 Prod'!$A$6:$BP$36,[2]Consolidated!P$1)</f>
        <v>8</v>
      </c>
      <c r="Q74" s="29">
        <f>VLOOKUP($B74&amp;$C74,'[1]FC1 Prod'!$A$6:$BP$36,[2]Consolidated!Q$1)</f>
        <v>0</v>
      </c>
      <c r="R74" s="29">
        <f>VLOOKUP($B74&amp;$C74,'[1]FC1 Prod'!$A$6:$BP$36,[2]Consolidated!R$1)</f>
        <v>0</v>
      </c>
      <c r="S74" s="34" t="e">
        <f>VLOOKUP($B74&amp;$C74,'[1]FC1 Prod'!$A$6:$BP$36,[2]Consolidated!S$1)</f>
        <v>#REF!</v>
      </c>
      <c r="T74" s="34" t="e">
        <f>VLOOKUP($B74&amp;$C74,'[1]FC1 Prod'!$A$6:$BP$36,[2]Consolidated!T$1)</f>
        <v>#REF!</v>
      </c>
      <c r="U74" s="34" t="e">
        <f>VLOOKUP($B74&amp;$C74,'[1]FC1 Prod'!$A$6:$BP$36,[2]Consolidated!U$1)</f>
        <v>#REF!</v>
      </c>
      <c r="V74" s="34">
        <f>VLOOKUP($B74&amp;$C74,'[1]FC1 Prod'!$A$6:$BP$36,[2]Consolidated!V$1)</f>
        <v>0</v>
      </c>
      <c r="W74" s="35">
        <f>VLOOKUP($B74&amp;$C74,'[1]FC1 Prod'!$A$6:$BP$36,[2]Consolidated!W$1)</f>
        <v>0</v>
      </c>
      <c r="X74" s="35">
        <f>VLOOKUP($B74&amp;$C74,'[1]FC1 Prod'!$A$6:$BP$36,[2]Consolidated!X$1)</f>
        <v>0</v>
      </c>
      <c r="Y74" s="36">
        <f>VLOOKUP($B74&amp;$C74,'[1]FC1 Prod'!$A$6:$BP$36,[2]Consolidated!Y$1)</f>
        <v>0</v>
      </c>
      <c r="Z74" s="37" t="e">
        <f>VLOOKUP($B74&amp;$C74,'[1]FC1 Prod'!$A$6:$BP$36,[2]Consolidated!Z$1)</f>
        <v>#REF!</v>
      </c>
      <c r="AA74" s="31">
        <f>VLOOKUP($B74&amp;$C74,'[1]FC1 Prod'!$A$6:$BP$36,[2]Consolidated!AA$1)</f>
        <v>0</v>
      </c>
      <c r="AB74" s="31">
        <f>VLOOKUP($B74&amp;$C74,'[1]FC1 Prod'!$A$6:$BP$36,[2]Consolidated!AB$1)</f>
        <v>0</v>
      </c>
      <c r="AC74" s="31">
        <f>VLOOKUP($B74&amp;$C74,'[1]FC1 Prod'!$A$6:$BP$36,[2]Consolidated!AC$1)</f>
        <v>0</v>
      </c>
      <c r="AD74" s="38">
        <f>VLOOKUP($B74&amp;$C74,'[1]FC1 Prod'!$A$6:$BP$36,[2]Consolidated!AD$1)</f>
        <v>0</v>
      </c>
      <c r="AE74" s="38">
        <f>VLOOKUP($B74&amp;$C74,'[1]FC1 Prod'!$A$6:$BP$36,[2]Consolidated!AE$1)</f>
        <v>0</v>
      </c>
      <c r="AF74" s="39">
        <f>VLOOKUP($B74&amp;$C74,'[1]FC1 Prod'!$A$6:$BP$36,[2]Consolidated!AF$1)</f>
        <v>0</v>
      </c>
      <c r="AG74" s="39">
        <f>VLOOKUP($B74&amp;$C74,'[1]FC1 Prod'!$A$6:$BP$36,[2]Consolidated!AG$1)</f>
        <v>0</v>
      </c>
      <c r="AH74" s="34">
        <f>VLOOKUP($B74&amp;$C74,'[1]FC1 Prod'!$A$6:$BP$36,[2]Consolidated!AH$1)</f>
        <v>0</v>
      </c>
      <c r="AI74" s="33">
        <f>VLOOKUP($B74&amp;$C74,'[1]FC1 Prod'!$A$6:$BP$36,[2]Consolidated!AI$1)</f>
        <v>0</v>
      </c>
      <c r="AJ74" s="39">
        <f>VLOOKUP($B74&amp;$C74,'[1]FC1 Prod'!$A$6:$BP$36,[2]Consolidated!AJ$1)</f>
        <v>0</v>
      </c>
      <c r="AK74" s="39">
        <f>VLOOKUP($B74&amp;$C74,'[1]FC1 Prod'!$A$6:$BP$36,[2]Consolidated!AK$1)</f>
        <v>0</v>
      </c>
      <c r="AL74" s="40" t="e">
        <f>VLOOKUP($B74&amp;$C74,'[1]FC1 Prod'!$A$6:$BP$36,[2]Consolidated!AL$1)</f>
        <v>#REF!</v>
      </c>
      <c r="AM74" s="41">
        <f>VLOOKUP($B74&amp;$C74,'[1]FC1 Prod'!$A$6:$BP$36,[2]Consolidated!AM$1)</f>
        <v>0</v>
      </c>
      <c r="AN74" s="42" t="e">
        <f>VLOOKUP($B74&amp;$C74,'[1]FC1 Prod'!$A$6:$BP$36,[2]Consolidated!AN$1)</f>
        <v>#REF!</v>
      </c>
      <c r="AO74" s="43" t="e">
        <f>VLOOKUP($B74&amp;$C74,'[1]FC1 Prod'!$A$6:$BP$36,[2]Consolidated!AO$1)</f>
        <v>#REF!</v>
      </c>
      <c r="AP74" s="44">
        <f>VLOOKUP($B74&amp;$C74,'[1]FC1 Prod'!$A$6:$BP$36,[2]Consolidated!AP$1)</f>
        <v>0</v>
      </c>
      <c r="AQ74" s="44">
        <f>VLOOKUP($B74&amp;$C74,'[1]FC1 Prod'!$A$6:$BP$36,[2]Consolidated!AQ$1)</f>
        <v>0</v>
      </c>
      <c r="AR74" s="45">
        <f>VLOOKUP($B74&amp;$C74,'[1]FC1 Prod'!$A$6:$BP$36,[2]Consolidated!AR$1)</f>
        <v>0</v>
      </c>
      <c r="AS74" s="46">
        <f>VLOOKUP($B74&amp;$C74,'[1]FC1 Prod'!$A$6:$BP$36,[2]Consolidated!AS$1)</f>
        <v>0</v>
      </c>
      <c r="AT74" s="29">
        <f>VLOOKUP($B74&amp;$C74,'[1]FC1 Prod'!$A$6:$BP$36,[2]Consolidated!AT$1)</f>
        <v>0</v>
      </c>
      <c r="AU74" s="34">
        <f>VLOOKUP($B74&amp;$C74,'[1]FC1 Prod'!$A$6:$BP$36,[2]Consolidated!AU$1)</f>
        <v>0</v>
      </c>
      <c r="AV74" s="34">
        <f>VLOOKUP($B74&amp;$C74,'[1]FC1 Prod'!$A$6:$BP$36,[2]Consolidated!AV$1)</f>
        <v>0</v>
      </c>
      <c r="AW74" s="47">
        <f>VLOOKUP($B74&amp;$C74,'[1]FC1 Prod'!$A$6:$BP$36,[2]Consolidated!AW$1)</f>
        <v>0</v>
      </c>
      <c r="AX74" s="47">
        <f>VLOOKUP($B74&amp;$C74,'[1]FC1 Prod'!$A$6:$BP$36,[2]Consolidated!AX$1)</f>
        <v>0</v>
      </c>
      <c r="AY74" s="48">
        <f>VLOOKUP($B74&amp;$C74,'[1]FC1 Prod'!$A$6:$BP$36,[2]Consolidated!AY$1)</f>
        <v>0</v>
      </c>
      <c r="AZ74" s="47">
        <f>VLOOKUP($B74&amp;$C74,'[1]FC1 Prod'!$A$6:$BP$36,[2]Consolidated!AZ$1)</f>
        <v>0</v>
      </c>
      <c r="BA74" s="47">
        <f>VLOOKUP($B74&amp;$C74,'[1]FC1 Prod'!$A$6:$BP$36,[2]Consolidated!BA$1)</f>
        <v>0</v>
      </c>
      <c r="BB74" s="47">
        <f>VLOOKUP($B74&amp;$C74,'[1]FC1 Prod'!$A$6:$BP$36,[2]Consolidated!BB$1)</f>
        <v>0</v>
      </c>
      <c r="BC74" s="47">
        <f>VLOOKUP($B74&amp;$C74,'[1]FC1 Prod'!$A$6:$BP$36,[2]Consolidated!BC$1)</f>
        <v>0</v>
      </c>
      <c r="BD74" s="49">
        <f>VLOOKUP($B74&amp;$C74,'[1]FC1 Prod'!$A$6:$BP$36,[2]Consolidated!BD$1)</f>
        <v>0</v>
      </c>
      <c r="BE74" s="47">
        <f>VLOOKUP($B74&amp;$C74,'[1]FC1 Prod'!$A$6:$BP$36,[2]Consolidated!BE$1)</f>
        <v>0</v>
      </c>
      <c r="BF74" s="47">
        <f>VLOOKUP($B74&amp;$C74,'[1]FC1 Prod'!$A$6:$BP$36,[2]Consolidated!BF$1)</f>
        <v>0</v>
      </c>
      <c r="BG74" s="50">
        <f>VLOOKUP($B74&amp;$C74,'[1]FC1 Prod'!$A$6:$BP$36,[2]Consolidated!BG$1)</f>
        <v>0</v>
      </c>
      <c r="BH74" s="50">
        <f>VLOOKUP($B74&amp;$C74,'[1]FC1 Prod'!$A$6:$BP$36,[2]Consolidated!BH$1)</f>
        <v>0</v>
      </c>
      <c r="BI74" s="50">
        <f>VLOOKUP($B74&amp;$C74,'[1]FC1 Prod'!$A$6:$BP$36,[2]Consolidated!BI$1)</f>
        <v>0</v>
      </c>
      <c r="BJ74" s="37" t="e">
        <f>VLOOKUP($B74&amp;$C74,'[1]FC1 Prod'!$A$6:$BP$36,[2]Consolidated!BJ$1)</f>
        <v>#REF!</v>
      </c>
      <c r="BK74" s="37" t="e">
        <f>VLOOKUP($B74&amp;$C74,'[1]FC1 Prod'!$A$6:$BP$36,[2]Consolidated!BK$1)</f>
        <v>#REF!</v>
      </c>
      <c r="BL74" s="37" t="e">
        <f>VLOOKUP($B74&amp;$C74,'[1]FC1 Prod'!$A$6:$BP$36,[2]Consolidated!BL$1)</f>
        <v>#REF!</v>
      </c>
      <c r="BM74" s="37" t="e">
        <f>VLOOKUP($B74&amp;$C74,'[1]FC1 Prod'!$A$6:$BP$36,[2]Consolidated!BM$1)</f>
        <v>#REF!</v>
      </c>
      <c r="BN74" s="37" t="e">
        <f>VLOOKUP($B74&amp;$C74,'[1]FC1 Prod'!$A$6:$BP$36,[2]Consolidated!BN$1)</f>
        <v>#REF!</v>
      </c>
      <c r="BO74" s="37" t="e">
        <f>VLOOKUP($B74&amp;$C74,'[1]FC1 Prod'!$A$6:$BP$36,[2]Consolidated!BO$1)</f>
        <v>#REF!</v>
      </c>
      <c r="BP74" s="37" t="e">
        <f>VLOOKUP($B74&amp;$C74,'[1]FC1 Prod'!$A$6:$BP$36,[2]Consolidated!BP$1)</f>
        <v>#REF!</v>
      </c>
      <c r="BQ74" s="51" t="e">
        <f>VLOOKUP($B74&amp;$C74,'[1]FC1 Prod'!$A$6:$BP$36,[2]Consolidated!BQ$1)</f>
        <v>#REF!</v>
      </c>
      <c r="BR74" s="51">
        <f>VLOOKUP($B74&amp;$C74,'[1]FC1 Prod'!$A$6:$BQ$36,[2]Consolidated!BR$1)</f>
        <v>69902</v>
      </c>
      <c r="BS74" s="52">
        <f t="shared" ref="BS74:BS76" si="90">BE74+BF74+BG74+BA74</f>
        <v>0</v>
      </c>
      <c r="BT74" s="32">
        <f>BR74-BS74</f>
        <v>69902</v>
      </c>
      <c r="BU74" s="37">
        <f>E74*BT74</f>
        <v>0</v>
      </c>
      <c r="BV74" s="53" t="s">
        <v>132</v>
      </c>
      <c r="BW74" s="54" cm="1">
        <f t="array" ref="BW74">IFERROR(VLOOKUP($A74,TRANSPOSE('[1]Fur 1 PLC'!$AR$1:$BV$38),8,0),0)</f>
        <v>0</v>
      </c>
      <c r="BX74" s="54" cm="1">
        <f t="array" ref="BX74">IFERROR(VLOOKUP($A74,TRANSPOSE('[1]Fur 1 PLC'!$AR$1:$BV$38),30,0),0)</f>
        <v>0</v>
      </c>
      <c r="BY74" s="54" cm="1">
        <f t="array" ref="BY74">IFERROR(VLOOKUP($A74,TRANSPOSE('[1]Fur 1 PLC'!$AR$1:$BV$38),14,0),0)</f>
        <v>0</v>
      </c>
      <c r="BZ74" s="54" cm="1">
        <f t="array" ref="BZ74">IFERROR(VLOOKUP($A74,TRANSPOSE('[1]Fur 1 PLC'!$AR$1:$BV$38),16,0),0)</f>
        <v>0</v>
      </c>
      <c r="CA74" s="54" cm="1">
        <f t="array" ref="CA74">IFERROR(VLOOKUP($A74,TRANSPOSE('[1]Fur 1 PLC'!$AR$1:$BV$38),9,0),0)</f>
        <v>0</v>
      </c>
      <c r="CB74" s="54" cm="1">
        <f t="array" ref="CB74">IFERROR(VLOOKUP($A74,TRANSPOSE('[1]Fur 1 PLC'!$AR$1:$BV$38),17,0),0)</f>
        <v>0</v>
      </c>
      <c r="CC74" s="54" cm="1">
        <f t="array" ref="CC74">IFERROR(VLOOKUP($A74,TRANSPOSE('[1]Fur 1 PLC'!$AR$1:$BV$38),20,0),0)</f>
        <v>0</v>
      </c>
      <c r="CD74" s="54" cm="1">
        <f t="array" ref="CD74">IFERROR(VLOOKUP($A74,TRANSPOSE('[1]Fur 1 PLC'!$AR$1:$BV$38),28,0),0)</f>
        <v>0</v>
      </c>
      <c r="CE74" s="54" cm="1">
        <f t="array" ref="CE74">IFERROR(VLOOKUP($A74,TRANSPOSE('[1]Fur 1 PLC'!$AR$1:$BV$38),13,0),0)</f>
        <v>0</v>
      </c>
      <c r="CF74" s="54" cm="1">
        <f t="array" ref="CF74">IFERROR(VLOOKUP($A74,TRANSPOSE('[1]Fur 1 PLC'!$AR$1:$BV$38),37,0),0)</f>
        <v>0</v>
      </c>
      <c r="CG74" s="54" cm="1">
        <f t="array" ref="CG74">IFERROR(VLOOKUP($A74,TRANSPOSE('[1]Fur 1 PLC'!$AR$1:$BV$38),6,0),0)</f>
        <v>0</v>
      </c>
      <c r="CH74" s="54" cm="1">
        <f t="array" ref="CH74">IFERROR(VLOOKUP($A74,TRANSPOSE('[1]Fur 1 PLC'!$AR$1:$BV$38),21,0),0)</f>
        <v>0</v>
      </c>
      <c r="CI74" s="54" cm="1">
        <f t="array" ref="CI74">IFERROR(VLOOKUP($A74,TRANSPOSE('[1]Fur 1 PLC'!$AR$1:$BV$38),12,0),0)</f>
        <v>0</v>
      </c>
      <c r="CJ74" s="54" cm="1">
        <f t="array" ref="CJ74">IFERROR(VLOOKUP($A74,TRANSPOSE('[1]Fur 1 PLC'!$AR$1:$BV$38),25,0),0)</f>
        <v>0</v>
      </c>
      <c r="CK74" s="54" cm="1">
        <f t="array" ref="CK74">IFERROR(VLOOKUP($A74,TRANSPOSE('[1]Fur 1 PLC'!$AR$1:$BV$38),26,0),0)</f>
        <v>0</v>
      </c>
      <c r="CL74" s="54" cm="1">
        <f t="array" ref="CL74">IFERROR(VLOOKUP($A74,TRANSPOSE('[1]Fur 1 PLC'!$AR$1:$BV$38),27,0),0)</f>
        <v>0</v>
      </c>
      <c r="CM74" s="54" cm="1">
        <f t="array" ref="CM74">IFERROR(VLOOKUP($A74,TRANSPOSE('[1]Fur 1 PLC'!$AR$1:$BV$38),22,0),0)</f>
        <v>0</v>
      </c>
      <c r="CN74" s="54"/>
      <c r="CO74" s="54" cm="1">
        <f t="array" ref="CO74">IFERROR(VLOOKUP($A74,TRANSPOSE('[1]Fur 1 PLC'!$AR$1:$BV$38),29,0),0)</f>
        <v>0</v>
      </c>
      <c r="CP74" s="54" cm="1">
        <f t="array" ref="CP74">IFERROR(VLOOKUP($A74,TRANSPOSE('[1]Fur 1 PLC'!$AR$1:$BV$38),10,0),0)</f>
        <v>0</v>
      </c>
      <c r="CQ74" s="54" cm="1">
        <f t="array" ref="CQ74">IFERROR(VLOOKUP($A74,TRANSPOSE('[1]Fur 1 PLC'!$AR$1:$BV$38),7,0),0)</f>
        <v>0</v>
      </c>
      <c r="CR74" s="54" cm="1">
        <f t="array" ref="CR74">IFERROR(VLOOKUP($A74,TRANSPOSE('[1]Fur 1 PLC'!$AR$1:$BV$38),35,0),0)</f>
        <v>0</v>
      </c>
      <c r="CS74" s="54" cm="1">
        <f t="array" ref="CS74">IFERROR(VLOOKUP($A74,TRANSPOSE('[1]Fur 1 PLC'!$AR$1:$BV$38),11,0),0)</f>
        <v>0</v>
      </c>
      <c r="CT74" s="54" cm="1">
        <f t="array" ref="CT74">IFERROR(VLOOKUP($A74,TRANSPOSE('[1]Fur 1 PLC'!$AR$1:$BV$38),19,0),0)</f>
        <v>0</v>
      </c>
      <c r="CU74" s="54" cm="1">
        <f t="array" ref="CU74">IFERROR(VLOOKUP($A74,TRANSPOSE('[1]Fur 1 PLC'!$AR$1:$BV$38),18,0),0)</f>
        <v>0</v>
      </c>
      <c r="CV74" s="54" cm="1">
        <f t="array" ref="CV74">IFERROR(VLOOKUP($A74,TRANSPOSE('[1]Fur 1 PLC'!$AR$1:$BV$38),15,0),0)</f>
        <v>0</v>
      </c>
      <c r="CW74" s="54" cm="1">
        <f t="array" ref="CW74">IFERROR(VLOOKUP($A74,TRANSPOSE('[1]Fur 1 PLC'!$CL$1:$DP$38),8,0),0)</f>
        <v>0</v>
      </c>
      <c r="CX74" s="54" cm="1">
        <f t="array" ref="CX74">IFERROR(VLOOKUP($A74,TRANSPOSE('[1]Fur 1 PLC'!$CL$1:$DP$38),30,0),0)</f>
        <v>0</v>
      </c>
      <c r="CY74" s="54" cm="1">
        <f t="array" ref="CY74">IFERROR(VLOOKUP($A74,TRANSPOSE('[1]Fur 1 PLC'!$CL$1:$DP$38),14,0),0)</f>
        <v>0</v>
      </c>
      <c r="CZ74" s="54" cm="1">
        <f t="array" ref="CZ74">IFERROR(VLOOKUP($A74,TRANSPOSE('[1]Fur 1 PLC'!$CL$1:$DP$38),16,0),0)</f>
        <v>0</v>
      </c>
      <c r="DA74" s="54" cm="1">
        <f t="array" ref="DA74">IFERROR(VLOOKUP($A74,TRANSPOSE('[1]Fur 1 PLC'!$CL$1:$DP$38),9,0),0)</f>
        <v>0</v>
      </c>
      <c r="DB74" s="55" cm="1">
        <f t="array" ref="DB74">IFERROR(VLOOKUP($A74,TRANSPOSE('[1]Fur 1 PLC'!$CL$1:$DP$38),17,0),0)</f>
        <v>0</v>
      </c>
      <c r="DC74" s="55" cm="1">
        <f t="array" ref="DC74">IFERROR(VLOOKUP($A74,TRANSPOSE('[1]Fur 1 PLC'!$CL$1:$DP$38),20,0),0)</f>
        <v>0</v>
      </c>
      <c r="DD74" s="54" cm="1">
        <f t="array" ref="DD74">IFERROR(VLOOKUP($A74,TRANSPOSE('[1]Fur 1 PLC'!$CL$1:$DP$38),28,0),0)</f>
        <v>0</v>
      </c>
      <c r="DE74" s="54" cm="1">
        <f t="array" ref="DE74">IFERROR(VLOOKUP($A74,TRANSPOSE('[1]Fur 1 PLC'!$CL$1:$DP$38),13,0),0)</f>
        <v>0</v>
      </c>
      <c r="DF74" s="54" cm="1">
        <f t="array" ref="DF74">IFERROR(VLOOKUP($A74,TRANSPOSE('[1]Fur 1 PLC'!$CL$1:$DP$38),37,0),0)</f>
        <v>0</v>
      </c>
      <c r="DG74" s="54" cm="1">
        <f t="array" ref="DG74">IFERROR(VLOOKUP($A74,TRANSPOSE('[1]Fur 1 PLC'!$CL$1:$DP$38),6,0),0)</f>
        <v>0</v>
      </c>
      <c r="DH74" s="54" cm="1">
        <f t="array" ref="DH74">IFERROR(VLOOKUP($A74,TRANSPOSE('[1]Fur 1 PLC'!$CL$1:$DP$38),21,0),0)</f>
        <v>0</v>
      </c>
      <c r="DI74" s="54" cm="1">
        <f t="array" ref="DI74">IFERROR(VLOOKUP($A74,TRANSPOSE('[1]Fur 1 PLC'!$CL$1:$DP$38),12,0),0)</f>
        <v>0</v>
      </c>
      <c r="DJ74" s="54" cm="1">
        <f t="array" ref="DJ74">IFERROR(VLOOKUP($A74,TRANSPOSE('[1]Fur 1 PLC'!$CL$1:$DP$38),25,0),0)</f>
        <v>0</v>
      </c>
      <c r="DK74" s="54" cm="1">
        <f t="array" ref="DK74">IFERROR(VLOOKUP($A74,TRANSPOSE('[1]Fur 1 PLC'!$CL$1:$DP$38),26,0),0)</f>
        <v>0</v>
      </c>
      <c r="DL74" s="54" cm="1">
        <f t="array" ref="DL74">IFERROR(VLOOKUP($A74,TRANSPOSE('[1]Fur 1 PLC'!$CL$1:$DP$38),27,0),0)</f>
        <v>0</v>
      </c>
      <c r="DM74" s="54" cm="1">
        <f t="array" ref="DM74">IFERROR(VLOOKUP($A74,TRANSPOSE('[1]Fur 1 PLC'!$CL$1:$DP$38),22,0),0)</f>
        <v>0</v>
      </c>
      <c r="DN74" s="54" cm="1">
        <f t="array" ref="DN74">IFERROR(VLOOKUP($A74,TRANSPOSE('[1]Fur 1 PLC'!$CL$1:$DP$38),19,0),0)</f>
        <v>0</v>
      </c>
      <c r="DO74" s="54" cm="1">
        <f t="array" ref="DO74">IFERROR(VLOOKUP($A74,TRANSPOSE('[1]Fur 1 PLC'!$CL$1:$DP$38),29,0),0)</f>
        <v>0</v>
      </c>
      <c r="DP74" s="54" cm="1">
        <f t="array" ref="DP74">IFERROR(VLOOKUP($A74,TRANSPOSE('[1]Fur 1 PLC'!$CL$1:$DP$38),10,0),0)</f>
        <v>0</v>
      </c>
      <c r="DQ74" s="54" cm="1">
        <f t="array" ref="DQ74">IFERROR(VLOOKUP($A74,TRANSPOSE('[1]Fur 1 PLC'!$CL$1:$DP$38),7,0),0)</f>
        <v>0</v>
      </c>
      <c r="DR74" s="54" cm="1">
        <f t="array" ref="DR74">IFERROR(VLOOKUP($A74,TRANSPOSE('[1]Fur 1 PLC'!$CL$1:$DP$38),35,0),0)</f>
        <v>0</v>
      </c>
      <c r="DS74" s="54" cm="1">
        <f t="array" ref="DS74">IFERROR(VLOOKUP($A74,TRANSPOSE('[1]Fur 1 PLC'!$CL$1:$DP$38),11,0),0)</f>
        <v>0</v>
      </c>
      <c r="DT74" s="54" cm="1">
        <f t="array" ref="DT74">IFERROR(VLOOKUP($A74,TRANSPOSE('[1]Fur 1 PLC'!$CL$1:$DP$38),19,0),0)</f>
        <v>0</v>
      </c>
      <c r="DU74" s="54" cm="1">
        <f t="array" ref="DU74">IFERROR(VLOOKUP($A74,TRANSPOSE('[1]Fur 1 PLC'!$CL$1:$DP$38),18,0),0)</f>
        <v>0</v>
      </c>
      <c r="DV74" s="54" cm="1">
        <f t="array" ref="DV74">IFERROR(VLOOKUP($A74,TRANSPOSE('[1]Fur 1 PLC'!$CL$1:$DP$38),15,0),0)</f>
        <v>0</v>
      </c>
      <c r="DW74" t="str">
        <f>TEXT(C74,"Mmm-yy")</f>
        <v>Dec-25</v>
      </c>
    </row>
    <row r="75" spans="1:127" x14ac:dyDescent="0.3">
      <c r="A75" s="28" t="str">
        <f t="shared" si="59"/>
        <v>F246010</v>
      </c>
      <c r="B75" s="29" t="s">
        <v>27</v>
      </c>
      <c r="C75" s="30">
        <f>C74</f>
        <v>46010</v>
      </c>
      <c r="D75" s="29" t="str">
        <f>VLOOKUP($B75&amp;$C75,'[1]FC2 Prod'!$A$6:$BP$36,[2]Consolidated!D$1)</f>
        <v>Mr. Girish Malik</v>
      </c>
      <c r="E75" s="29">
        <f>VLOOKUP($B75&amp;$C75,'[1]FC2 Prod'!$A$6:$BP$36,[2]Consolidated!E$1)</f>
        <v>0</v>
      </c>
      <c r="F75" s="29">
        <f>VLOOKUP($B75&amp;$C75,'[1]FC2 Prod'!$A$6:$BP$36,[2]Consolidated!F$1)</f>
        <v>0</v>
      </c>
      <c r="G75" s="29" t="e">
        <f>VLOOKUP($B75&amp;$C75,'[1]FC2 Prod'!$A$6:$BP$36,[2]Consolidated!G$1)</f>
        <v>#REF!</v>
      </c>
      <c r="H75" s="32">
        <f>VLOOKUP($B75&amp;$C75,'[1]FC2 Prod'!$A$6:$BP$36,[2]Consolidated!H$1)</f>
        <v>0</v>
      </c>
      <c r="I75" s="32">
        <f>VLOOKUP($B75&amp;$C75,'[1]FC2 Prod'!$A$6:$BP$36,[2]Consolidated!I$1)</f>
        <v>0</v>
      </c>
      <c r="J75" s="32">
        <f>VLOOKUP($B75&amp;$C75,'[1]FC2 Prod'!$A$6:$BP$36,[2]Consolidated!J$1)</f>
        <v>0</v>
      </c>
      <c r="K75" s="32">
        <f>VLOOKUP($B75&amp;$C75,'[1]FC2 Prod'!$A$6:$BP$36,[2]Consolidated!K$1)</f>
        <v>0</v>
      </c>
      <c r="L75" s="32">
        <f>VLOOKUP($B75&amp;$C75,'[1]FC2 Prod'!$A$6:$BP$36,[2]Consolidated!L$1)</f>
        <v>0</v>
      </c>
      <c r="M75" s="32">
        <f>VLOOKUP($B75&amp;$C75,'[1]FC2 Prod'!$A$6:$BP$36,[2]Consolidated!M$1)</f>
        <v>0</v>
      </c>
      <c r="N75" s="32">
        <f>VLOOKUP($B75&amp;$C75,'[1]FC2 Prod'!$A$6:$BP$36,[2]Consolidated!N$1)</f>
        <v>0</v>
      </c>
      <c r="O75" s="32">
        <f>VLOOKUP($B75&amp;$C75,'[1]FC2 Prod'!$A$6:$BP$36,[2]Consolidated!O$1)</f>
        <v>0</v>
      </c>
      <c r="P75" s="34">
        <f>VLOOKUP($B75&amp;$C75,'[1]FC2 Prod'!$A$6:$BP$36,[2]Consolidated!P$1)</f>
        <v>9</v>
      </c>
      <c r="Q75" s="29">
        <f>VLOOKUP($B75&amp;$C75,'[1]FC2 Prod'!$A$6:$BP$36,[2]Consolidated!Q$1)</f>
        <v>0</v>
      </c>
      <c r="R75" s="29">
        <f>VLOOKUP($B75&amp;$C75,'[1]FC2 Prod'!$A$6:$BP$36,[2]Consolidated!R$1)</f>
        <v>0</v>
      </c>
      <c r="S75" s="34" t="e">
        <f>VLOOKUP($B75&amp;$C75,'[1]FC2 Prod'!$A$6:$BP$36,[2]Consolidated!S$1)</f>
        <v>#REF!</v>
      </c>
      <c r="T75" s="34" t="e">
        <f>VLOOKUP($B75&amp;$C75,'[1]FC2 Prod'!$A$6:$BP$36,[2]Consolidated!T$1)</f>
        <v>#REF!</v>
      </c>
      <c r="U75" s="34" t="e">
        <f>VLOOKUP($B75&amp;$C75,'[1]FC2 Prod'!$A$6:$BP$36,[2]Consolidated!U$1)</f>
        <v>#REF!</v>
      </c>
      <c r="V75" s="34">
        <f>VLOOKUP($B75&amp;$C75,'[1]FC2 Prod'!$A$6:$BP$36,[2]Consolidated!V$1)</f>
        <v>0</v>
      </c>
      <c r="W75" s="29">
        <f>VLOOKUP($B75&amp;$C75,'[1]FC2 Prod'!$A$6:$BP$36,[2]Consolidated!W$1)</f>
        <v>0</v>
      </c>
      <c r="X75" s="35">
        <f>VLOOKUP($B75&amp;$C75,'[1]FC2 Prod'!$A$6:$BP$36,[2]Consolidated!X$1)</f>
        <v>0</v>
      </c>
      <c r="Y75" s="36">
        <f>VLOOKUP($B75&amp;$C75,'[1]FC2 Prod'!$A$6:$BP$36,[2]Consolidated!Y$1)</f>
        <v>0</v>
      </c>
      <c r="Z75" s="37" t="e">
        <f>VLOOKUP($B75&amp;$C75,'[1]FC2 Prod'!$A$6:$BP$36,[2]Consolidated!Z$1)</f>
        <v>#REF!</v>
      </c>
      <c r="AA75" s="31">
        <f>VLOOKUP($B75&amp;$C75,'[1]FC2 Prod'!$A$6:$BP$36,[2]Consolidated!AA$1)</f>
        <v>0</v>
      </c>
      <c r="AB75" s="31">
        <f>VLOOKUP($B75&amp;$C75,'[1]FC2 Prod'!$A$6:$BP$36,[2]Consolidated!AB$1)</f>
        <v>0</v>
      </c>
      <c r="AC75" s="31">
        <f>VLOOKUP($B75&amp;$C75,'[1]FC2 Prod'!$A$6:$BP$36,[2]Consolidated!AC$1)</f>
        <v>0</v>
      </c>
      <c r="AD75" s="38">
        <f>VLOOKUP($B75&amp;$C75,'[1]FC2 Prod'!$A$6:$BP$36,[2]Consolidated!AD$1)</f>
        <v>0</v>
      </c>
      <c r="AE75" s="38">
        <f>VLOOKUP($B75&amp;$C75,'[1]FC2 Prod'!$A$6:$BP$36,[2]Consolidated!AE$1)</f>
        <v>0</v>
      </c>
      <c r="AF75" s="39">
        <f>VLOOKUP($B75&amp;$C75,'[1]FC2 Prod'!$A$6:$BP$36,[2]Consolidated!AF$1)</f>
        <v>0</v>
      </c>
      <c r="AG75" s="39">
        <f>VLOOKUP($B75&amp;$C75,'[1]FC2 Prod'!$A$6:$BP$36,[2]Consolidated!AG$1)</f>
        <v>0</v>
      </c>
      <c r="AH75" s="34">
        <f>VLOOKUP($B75&amp;$C75,'[1]FC2 Prod'!$A$6:$BP$36,[2]Consolidated!AH$1)</f>
        <v>0</v>
      </c>
      <c r="AI75" s="33">
        <f>VLOOKUP($B75&amp;$C75,'[1]FC2 Prod'!$A$6:$BP$36,[2]Consolidated!AI$1)</f>
        <v>0</v>
      </c>
      <c r="AJ75" s="39">
        <f>VLOOKUP($B75&amp;$C75,'[1]FC2 Prod'!$A$6:$BP$36,[2]Consolidated!AJ$1)</f>
        <v>0</v>
      </c>
      <c r="AK75" s="39">
        <f>VLOOKUP($B75&amp;$C75,'[1]FC2 Prod'!$A$6:$BP$36,[2]Consolidated!AK$1)</f>
        <v>0</v>
      </c>
      <c r="AL75" s="40" t="e">
        <f>VLOOKUP($B75&amp;$C75,'[1]FC2 Prod'!$A$6:$BP$36,[2]Consolidated!AL$1)</f>
        <v>#REF!</v>
      </c>
      <c r="AM75" s="41">
        <f>VLOOKUP($B75&amp;$C75,'[1]FC2 Prod'!$A$6:$BP$36,[2]Consolidated!AM$1)</f>
        <v>0</v>
      </c>
      <c r="AN75" s="42" t="e">
        <f>VLOOKUP($B75&amp;$C75,'[1]FC2 Prod'!$A$6:$BP$36,[2]Consolidated!AN$1)</f>
        <v>#REF!</v>
      </c>
      <c r="AO75" s="43" t="e">
        <f>VLOOKUP($B75&amp;$C75,'[1]FC2 Prod'!$A$6:$BP$36,[2]Consolidated!AO$1)</f>
        <v>#REF!</v>
      </c>
      <c r="AP75" s="44">
        <f>VLOOKUP($B75&amp;$C75,'[1]FC2 Prod'!$A$6:$BP$36,[2]Consolidated!AP$1)</f>
        <v>0</v>
      </c>
      <c r="AQ75" s="44">
        <f>VLOOKUP($B75&amp;$C75,'[1]FC2 Prod'!$A$6:$BP$36,[2]Consolidated!AQ$1)</f>
        <v>0</v>
      </c>
      <c r="AR75" s="45">
        <f>VLOOKUP($B75&amp;$C75,'[1]FC2 Prod'!$A$6:$BP$36,[2]Consolidated!AR$1)</f>
        <v>0</v>
      </c>
      <c r="AS75" s="46">
        <f>VLOOKUP($B75&amp;$C75,'[1]FC2 Prod'!$A$6:$BP$36,[2]Consolidated!AS$1)</f>
        <v>0</v>
      </c>
      <c r="AT75" s="29">
        <f>VLOOKUP($B75&amp;$C75,'[1]FC2 Prod'!$A$6:$BP$36,[2]Consolidated!AT$1)</f>
        <v>0</v>
      </c>
      <c r="AU75" s="34">
        <f>VLOOKUP($B75&amp;$C75,'[1]FC2 Prod'!$A$6:$BP$36,[2]Consolidated!AU$1)</f>
        <v>0</v>
      </c>
      <c r="AV75" s="34">
        <f>VLOOKUP($B75&amp;$C75,'[1]FC2 Prod'!$A$6:$BP$36,[2]Consolidated!AV$1)</f>
        <v>0</v>
      </c>
      <c r="AW75" s="47">
        <f>VLOOKUP($B75&amp;$C75,'[1]FC2 Prod'!$A$6:$BP$36,[2]Consolidated!AW$1)</f>
        <v>0</v>
      </c>
      <c r="AX75" s="47">
        <f>VLOOKUP($B75&amp;$C75,'[1]FC2 Prod'!$A$6:$BP$36,[2]Consolidated!AX$1)</f>
        <v>0</v>
      </c>
      <c r="AY75" s="48">
        <f>VLOOKUP($B75&amp;$C75,'[1]FC2 Prod'!$A$6:$BP$36,[2]Consolidated!AY$1)</f>
        <v>0</v>
      </c>
      <c r="AZ75" s="47">
        <f>VLOOKUP($B75&amp;$C75,'[1]FC2 Prod'!$A$6:$BP$36,[2]Consolidated!AZ$1)</f>
        <v>0</v>
      </c>
      <c r="BA75" s="47">
        <f>VLOOKUP($B75&amp;$C75,'[1]FC2 Prod'!$A$6:$BP$36,[2]Consolidated!BA$1)</f>
        <v>0</v>
      </c>
      <c r="BB75" s="47">
        <f>VLOOKUP($B75&amp;$C75,'[1]FC2 Prod'!$A$6:$BP$36,[2]Consolidated!BB$1)</f>
        <v>0</v>
      </c>
      <c r="BC75" s="47">
        <f>VLOOKUP($B75&amp;$C75,'[1]FC2 Prod'!$A$6:$BP$36,[2]Consolidated!BC$1)</f>
        <v>0</v>
      </c>
      <c r="BD75" s="49">
        <f>VLOOKUP($B75&amp;$C75,'[1]FC2 Prod'!$A$6:$BP$36,[2]Consolidated!BD$1)</f>
        <v>0</v>
      </c>
      <c r="BE75" s="47">
        <f>VLOOKUP($B75&amp;$C75,'[1]FC2 Prod'!$A$6:$BP$36,[2]Consolidated!BE$1)</f>
        <v>0</v>
      </c>
      <c r="BF75" s="47">
        <f>VLOOKUP($B75&amp;$C75,'[1]FC2 Prod'!$A$6:$BP$36,[2]Consolidated!BF$1)</f>
        <v>0</v>
      </c>
      <c r="BG75" s="50">
        <f>VLOOKUP($B75&amp;$C75,'[1]FC2 Prod'!$A$6:$BP$36,[2]Consolidated!BG$1)</f>
        <v>0</v>
      </c>
      <c r="BH75" s="50">
        <f>VLOOKUP($B75&amp;$C75,'[1]FC2 Prod'!$A$6:$BP$36,[2]Consolidated!BH$1)</f>
        <v>0</v>
      </c>
      <c r="BI75" s="50">
        <f>VLOOKUP($B75&amp;$C75,'[1]FC2 Prod'!$A$6:$BP$36,[2]Consolidated!BI$1)</f>
        <v>0</v>
      </c>
      <c r="BJ75" s="37" t="e">
        <f>VLOOKUP($B75&amp;$C75,'[1]FC2 Prod'!$A$6:$BP$36,[2]Consolidated!BJ$1)</f>
        <v>#REF!</v>
      </c>
      <c r="BK75" s="37" t="e">
        <f>VLOOKUP($B75&amp;$C75,'[1]FC2 Prod'!$A$6:$BP$36,[2]Consolidated!BK$1)</f>
        <v>#REF!</v>
      </c>
      <c r="BL75" s="37" t="e">
        <f>VLOOKUP($B75&amp;$C75,'[1]FC2 Prod'!$A$6:$BP$36,[2]Consolidated!BL$1)</f>
        <v>#REF!</v>
      </c>
      <c r="BM75" s="37" t="e">
        <f>VLOOKUP($B75&amp;$C75,'[1]FC2 Prod'!$A$6:$BP$36,[2]Consolidated!BM$1)</f>
        <v>#REF!</v>
      </c>
      <c r="BN75" s="37" t="e">
        <f>VLOOKUP($B75&amp;$C75,'[1]FC2 Prod'!$A$6:$BP$36,[2]Consolidated!BN$1)</f>
        <v>#REF!</v>
      </c>
      <c r="BO75" s="37" t="e">
        <f>VLOOKUP($B75&amp;$C75,'[1]FC2 Prod'!$A$6:$BP$36,[2]Consolidated!BO$1)</f>
        <v>#REF!</v>
      </c>
      <c r="BP75" s="37" t="e">
        <f>VLOOKUP($B75&amp;$C75,'[1]FC2 Prod'!$A$6:$BP$36,[2]Consolidated!BP$1)</f>
        <v>#REF!</v>
      </c>
      <c r="BQ75" s="29" t="e">
        <f>VLOOKUP($B75&amp;$C75,'[1]FC2 Prod'!$A$6:$BP$36,[2]Consolidated!BQ$1)</f>
        <v>#REF!</v>
      </c>
      <c r="BR75" s="51">
        <f>VLOOKUP($B75&amp;$C75,'[1]FC2 Prod'!$A$6:$BQ$36,[2]Consolidated!BR$1)</f>
        <v>68163</v>
      </c>
      <c r="BS75" s="52">
        <f t="shared" si="90"/>
        <v>0</v>
      </c>
      <c r="BT75" s="32">
        <f>BR75-BS75</f>
        <v>68163</v>
      </c>
      <c r="BU75" s="37">
        <f>E75*BT75</f>
        <v>0</v>
      </c>
      <c r="BV75" s="53" t="s">
        <v>132</v>
      </c>
      <c r="BW75" s="54" cm="1">
        <f t="array" ref="BW75">IFERROR(VLOOKUP($A75,TRANSPOSE('[1]Fur 2 PLC'!$AR$1:$BV$38),8,0),0)</f>
        <v>0</v>
      </c>
      <c r="BX75" s="54" cm="1">
        <f t="array" ref="BX75">IFERROR(VLOOKUP($A75,TRANSPOSE('[1]Fur 2 PLC'!$AR$1:$BV$38),30,0),0)</f>
        <v>0</v>
      </c>
      <c r="BY75" s="54" cm="1">
        <f t="array" ref="BY75">IFERROR(VLOOKUP($A75,TRANSPOSE('[1]Fur 2 PLC'!$AR$1:$BV$38),14,0),0)</f>
        <v>0</v>
      </c>
      <c r="BZ75" s="54" cm="1">
        <f t="array" ref="BZ75">IFERROR(VLOOKUP($A75,TRANSPOSE('[1]Fur 2 PLC'!$AR$1:$BV$38),16,0),0)</f>
        <v>0</v>
      </c>
      <c r="CA75" s="54" cm="1">
        <f t="array" ref="CA75">IFERROR(VLOOKUP($A75,TRANSPOSE('[1]Fur 2 PLC'!$AR$1:$BV$38),9,0),0)</f>
        <v>0</v>
      </c>
      <c r="CB75" s="54" cm="1">
        <f t="array" ref="CB75">IFERROR(VLOOKUP($A75,TRANSPOSE('[1]Fur 2 PLC'!$AR$1:$BV$38),17,0),0)</f>
        <v>0</v>
      </c>
      <c r="CC75" s="54" cm="1">
        <f t="array" ref="CC75">IFERROR(VLOOKUP($A75,TRANSPOSE('[1]Fur 2 PLC'!$AR$1:$BV$38),20,0),0)</f>
        <v>0</v>
      </c>
      <c r="CD75" s="54" cm="1">
        <f t="array" ref="CD75">IFERROR(VLOOKUP($A75,TRANSPOSE('[1]Fur 2 PLC'!$AR$1:$BV$38),28,0),0)</f>
        <v>0</v>
      </c>
      <c r="CE75" s="54" cm="1">
        <f t="array" ref="CE75">IFERROR(VLOOKUP($A75,TRANSPOSE('[1]Fur 2 PLC'!$AR$1:$BV$38),13,0),0)</f>
        <v>0</v>
      </c>
      <c r="CF75" s="54" cm="1">
        <f t="array" ref="CF75">IFERROR(VLOOKUP($A75,TRANSPOSE('[1]Fur 2 PLC'!$AR$1:$BV$38),37,0),0)</f>
        <v>0</v>
      </c>
      <c r="CG75" s="54" cm="1">
        <f t="array" ref="CG75">IFERROR(VLOOKUP($A75,TRANSPOSE('[1]Fur 2 PLC'!$AR$1:$BV$38),6,0),0)</f>
        <v>0</v>
      </c>
      <c r="CH75" s="54" cm="1">
        <f t="array" ref="CH75">IFERROR(VLOOKUP($A75,TRANSPOSE('[1]Fur 2 PLC'!$AR$1:$BV$38),21,0),0)</f>
        <v>0</v>
      </c>
      <c r="CI75" s="54" cm="1">
        <f t="array" ref="CI75">IFERROR(VLOOKUP($A75,TRANSPOSE('[1]Fur 2 PLC'!$AR$1:$BV$38),12,0),0)</f>
        <v>0</v>
      </c>
      <c r="CJ75" s="54" cm="1">
        <f t="array" ref="CJ75">IFERROR(VLOOKUP($A75,TRANSPOSE('[1]Fur 2 PLC'!$AR$1:$BV$38),25,0),0)</f>
        <v>0</v>
      </c>
      <c r="CK75" s="54" cm="1">
        <f t="array" ref="CK75">IFERROR(VLOOKUP($A75,TRANSPOSE('[1]Fur 2 PLC'!$AR$1:$BV$38),26,0),0)</f>
        <v>0</v>
      </c>
      <c r="CL75" s="54" cm="1">
        <f t="array" ref="CL75">IFERROR(VLOOKUP($A75,TRANSPOSE('[1]Fur 2 PLC'!$AR$1:$BV$38),27,0),0)</f>
        <v>0</v>
      </c>
      <c r="CM75" s="54" cm="1">
        <f t="array" ref="CM75">IFERROR(VLOOKUP($A75,TRANSPOSE('[1]Fur 2 PLC'!$AR$1:$BV$38),22,0),0)</f>
        <v>0</v>
      </c>
      <c r="CN75" s="54"/>
      <c r="CO75" s="54" cm="1">
        <f t="array" ref="CO75">IFERROR(VLOOKUP($A75,TRANSPOSE('[1]Fur 2 PLC'!$AR$1:$BV$38),29,0),0)</f>
        <v>0</v>
      </c>
      <c r="CP75" s="54" cm="1">
        <f t="array" ref="CP75">IFERROR(VLOOKUP($A75,TRANSPOSE('[1]Fur 2 PLC'!$AR$1:$BV$38),10,0),0)</f>
        <v>0</v>
      </c>
      <c r="CQ75" s="54" cm="1">
        <f t="array" ref="CQ75">IFERROR(VLOOKUP($A75,TRANSPOSE('[1]Fur 2 PLC'!$AR$1:$BV$38),7,0),0)</f>
        <v>0</v>
      </c>
      <c r="CR75" s="54" cm="1">
        <f t="array" ref="CR75">IFERROR(VLOOKUP($A75,TRANSPOSE('[1]Fur 2 PLC'!$AR$1:$BV$38),35,0),0)</f>
        <v>0</v>
      </c>
      <c r="CS75" s="54" cm="1">
        <f t="array" ref="CS75">IFERROR(VLOOKUP($A75,TRANSPOSE('[1]Fur 2 PLC'!$AR$1:$BV$38),11,0),0)</f>
        <v>0</v>
      </c>
      <c r="CT75" s="54" cm="1">
        <f t="array" ref="CT75">IFERROR(VLOOKUP($A75,TRANSPOSE('[1]Fur 2 PLC'!$AR$1:$BV$38),19,0),0)</f>
        <v>0</v>
      </c>
      <c r="CU75" s="54" cm="1">
        <f t="array" ref="CU75">IFERROR(VLOOKUP($A75,TRANSPOSE('[1]Fur 2 PLC'!$AR$1:$BV$38),18,0),0)</f>
        <v>0</v>
      </c>
      <c r="CV75" s="54" cm="1">
        <f t="array" ref="CV75">IFERROR(VLOOKUP($A75,TRANSPOSE('[1]Fur 2 PLC'!$AR$1:$BV$38),15,0),0)</f>
        <v>0</v>
      </c>
      <c r="CW75" s="54" cm="1">
        <f t="array" ref="CW75">IFERROR(VLOOKUP($A75,TRANSPOSE('[1]Fur 2 PLC'!$CI$1:$DM$38),8,0),0)</f>
        <v>0</v>
      </c>
      <c r="CX75" s="54" cm="1">
        <f t="array" ref="CX75">IFERROR(VLOOKUP($A75,TRANSPOSE('[1]Fur 2 PLC'!$CI$1:$DM$38),30,0),0)</f>
        <v>0</v>
      </c>
      <c r="CY75" s="54" cm="1">
        <f t="array" ref="CY75">IFERROR(VLOOKUP($A75,TRANSPOSE('[1]Fur 2 PLC'!$CI$1:$DM$38),14,0),0)</f>
        <v>0</v>
      </c>
      <c r="CZ75" s="54" cm="1">
        <f t="array" ref="CZ75">IFERROR(VLOOKUP($A75,TRANSPOSE('[1]Fur 2 PLC'!$CI$1:$DM$38),16,0),0)</f>
        <v>0</v>
      </c>
      <c r="DA75" s="54" cm="1">
        <f t="array" ref="DA75">IFERROR(VLOOKUP($A75,TRANSPOSE('[1]Fur 2 PLC'!$CI$1:$DM$38),9,0),0)</f>
        <v>0</v>
      </c>
      <c r="DB75" s="55" cm="1">
        <f t="array" ref="DB75">IFERROR(VLOOKUP($A75,TRANSPOSE('[1]Fur 2 PLC'!$CI$1:$DM$38),17,0),0)</f>
        <v>0</v>
      </c>
      <c r="DC75" s="55" cm="1">
        <f t="array" ref="DC75">IFERROR(VLOOKUP($A75,TRANSPOSE('[1]Fur 2 PLC'!$CI$1:$DM$38),20,0),0)</f>
        <v>0</v>
      </c>
      <c r="DD75" s="54" cm="1">
        <f t="array" ref="DD75">IFERROR(VLOOKUP($A75,TRANSPOSE('[1]Fur 2 PLC'!$CI$1:$DM$38),28,0),0)</f>
        <v>0</v>
      </c>
      <c r="DE75" s="54" cm="1">
        <f t="array" ref="DE75">IFERROR(VLOOKUP($A75,TRANSPOSE('[1]Fur 2 PLC'!$CI$1:$DM$38),13,0),0)</f>
        <v>0</v>
      </c>
      <c r="DF75" s="54" cm="1">
        <f t="array" ref="DF75">IFERROR(VLOOKUP($A75,TRANSPOSE('[1]Fur 2 PLC'!$CI$1:$DM$38),37,0),0)</f>
        <v>0</v>
      </c>
      <c r="DG75" s="54" cm="1">
        <f t="array" ref="DG75">IFERROR(VLOOKUP($A75,TRANSPOSE('[1]Fur 2 PLC'!$CI$1:$DM$38),6,0),0)</f>
        <v>0</v>
      </c>
      <c r="DH75" s="54" cm="1">
        <f t="array" ref="DH75">IFERROR(VLOOKUP($A75,TRANSPOSE('[1]Fur 2 PLC'!$CI$1:$DM$38),21,0),0)</f>
        <v>0</v>
      </c>
      <c r="DI75" s="54" cm="1">
        <f t="array" ref="DI75">IFERROR(VLOOKUP($A75,TRANSPOSE('[1]Fur 2 PLC'!$CI$1:$DM$38),12,0),0)</f>
        <v>0</v>
      </c>
      <c r="DJ75" s="54" cm="1">
        <f t="array" ref="DJ75">IFERROR(VLOOKUP($A75,TRANSPOSE('[1]Fur 2 PLC'!$CI$1:$DM$38),25,0),0)</f>
        <v>0</v>
      </c>
      <c r="DK75" s="54" cm="1">
        <f t="array" ref="DK75">IFERROR(VLOOKUP($A75,TRANSPOSE('[1]Fur 2 PLC'!$CI$1:$DM$38),26,0),0)</f>
        <v>0</v>
      </c>
      <c r="DL75" s="54" cm="1">
        <f t="array" ref="DL75">IFERROR(VLOOKUP($A75,TRANSPOSE('[1]Fur 2 PLC'!$CI$1:$DM$38),27,0),0)</f>
        <v>0</v>
      </c>
      <c r="DM75" s="54" cm="1">
        <f t="array" ref="DM75">IFERROR(VLOOKUP($A75,TRANSPOSE('[1]Fur 2 PLC'!$CI$1:$DM$38),22,0),0)</f>
        <v>0</v>
      </c>
      <c r="DN75" s="54" cm="1">
        <f t="array" ref="DN75">IFERROR(VLOOKUP($A75,TRANSPOSE('[1]Fur 2 PLC'!$CI$1:$DM$38),19,0),0)</f>
        <v>0</v>
      </c>
      <c r="DO75" s="54" cm="1">
        <f t="array" ref="DO75">IFERROR(VLOOKUP($A75,TRANSPOSE('[1]Fur 2 PLC'!$CI$1:$DM$38),29,0),0)</f>
        <v>0</v>
      </c>
      <c r="DP75" s="54" cm="1">
        <f t="array" ref="DP75">IFERROR(VLOOKUP($A75,TRANSPOSE('[1]Fur 2 PLC'!$CI$1:$DM$38),10,0),0)</f>
        <v>0</v>
      </c>
      <c r="DQ75" s="54" cm="1">
        <f t="array" ref="DQ75">IFERROR(VLOOKUP($A75,TRANSPOSE('[1]Fur 2 PLC'!$CI$1:$DM$38),7,0),0)</f>
        <v>0</v>
      </c>
      <c r="DR75" s="54" cm="1">
        <f t="array" ref="DR75">IFERROR(VLOOKUP($A75,TRANSPOSE('[1]Fur 2 PLC'!$CI$1:$DM$38),35,0),0)</f>
        <v>0</v>
      </c>
      <c r="DS75" s="54" cm="1">
        <f t="array" ref="DS75">IFERROR(VLOOKUP($A75,TRANSPOSE('[1]Fur 2 PLC'!$CI$1:$DM$38),11,0),0)</f>
        <v>0</v>
      </c>
      <c r="DT75" s="54" cm="1">
        <f t="array" ref="DT75">IFERROR(VLOOKUP($A75,TRANSPOSE('[1]Fur 2 PLC'!$CI$1:$DM$38),19,0),0)</f>
        <v>0</v>
      </c>
      <c r="DU75" s="54" cm="1">
        <f t="array" ref="DU75">IFERROR(VLOOKUP($A75,TRANSPOSE('[1]Fur 2 PLC'!$CI$1:$DM$38),18,0),0)</f>
        <v>0</v>
      </c>
      <c r="DV75" s="54" cm="1">
        <f t="array" ref="DV75">IFERROR(VLOOKUP($A75,TRANSPOSE('[1]Fur 2 PLC'!$CI$1:$DM$38),15,0),0)</f>
        <v>0</v>
      </c>
      <c r="DW75" t="str">
        <f t="shared" ref="DW75:DW77" si="91">TEXT(C75,"Mmm-yy")</f>
        <v>Dec-25</v>
      </c>
    </row>
    <row r="76" spans="1:127" x14ac:dyDescent="0.3">
      <c r="A76" s="28" t="str">
        <f t="shared" si="59"/>
        <v>F346010</v>
      </c>
      <c r="B76" s="29" t="s">
        <v>28</v>
      </c>
      <c r="C76" s="30">
        <f>C75</f>
        <v>46010</v>
      </c>
      <c r="D76" s="29" t="str">
        <f>VLOOKUP($B76&amp;$C76,'[1]FC3 Prod'!$A$6:$BP$36,[2]Consolidated!D$1)</f>
        <v>Mr. Ajay Singh</v>
      </c>
      <c r="E76" s="29">
        <f>VLOOKUP($B76&amp;$C76,'[1]FC3 Prod'!$A$6:$BP$36,[2]Consolidated!E$1)</f>
        <v>0</v>
      </c>
      <c r="F76" s="31">
        <f>VLOOKUP($B76&amp;$C76,'[1]FC3 Prod'!$A$6:$BP$36,[2]Consolidated!F$1)</f>
        <v>0</v>
      </c>
      <c r="G76" s="32" t="e">
        <f>VLOOKUP($B76&amp;$C76,'[1]FC3 Prod'!$A$6:$BP$36,[2]Consolidated!G$1)</f>
        <v>#REF!</v>
      </c>
      <c r="H76" s="32">
        <f>VLOOKUP($B76&amp;$C76,'[1]FC3 Prod'!$A$6:$BP$36,[2]Consolidated!H$1)</f>
        <v>0</v>
      </c>
      <c r="I76" s="32">
        <f>VLOOKUP($B76&amp;$C76,'[1]FC3 Prod'!$A$6:$BP$36,[2]Consolidated!I$1)</f>
        <v>0</v>
      </c>
      <c r="J76" s="32">
        <f>VLOOKUP($B76&amp;$C76,'[1]FC3 Prod'!$A$6:$BP$36,[2]Consolidated!J$1)</f>
        <v>0</v>
      </c>
      <c r="K76" s="32">
        <f>VLOOKUP($B76&amp;$C76,'[1]FC3 Prod'!$A$6:$BP$36,[2]Consolidated!K$1)</f>
        <v>0</v>
      </c>
      <c r="L76" s="32">
        <f>VLOOKUP($B76&amp;$C76,'[1]FC3 Prod'!$A$6:$BP$36,[2]Consolidated!L$1)</f>
        <v>0</v>
      </c>
      <c r="M76" s="32">
        <f>VLOOKUP($B76&amp;$C76,'[1]FC3 Prod'!$A$6:$BP$36,[2]Consolidated!M$1)</f>
        <v>0</v>
      </c>
      <c r="N76" s="32">
        <f>VLOOKUP($B76&amp;$C76,'[1]FC3 Prod'!$A$6:$BP$36,[2]Consolidated!N$1)</f>
        <v>0</v>
      </c>
      <c r="O76" s="32">
        <f>VLOOKUP($B76&amp;$C76,'[1]FC3 Prod'!$A$6:$BP$36,[2]Consolidated!O$1)</f>
        <v>0</v>
      </c>
      <c r="P76" s="33">
        <f>VLOOKUP($B76&amp;$C76,'[1]FC3 Prod'!$A$6:$BP$36,[2]Consolidated!P$1)</f>
        <v>8</v>
      </c>
      <c r="Q76" s="29">
        <f>VLOOKUP($B76&amp;$C76,'[1]FC3 Prod'!$A$6:$BP$36,[2]Consolidated!Q$1)</f>
        <v>0</v>
      </c>
      <c r="R76" s="29">
        <f>VLOOKUP($B76&amp;$C76,'[1]FC3 Prod'!$A$6:$BP$36,[2]Consolidated!R$1)</f>
        <v>0</v>
      </c>
      <c r="S76" s="34" t="e">
        <f>VLOOKUP($B76&amp;$C76,'[1]FC3 Prod'!$A$6:$BP$36,[2]Consolidated!S$1)</f>
        <v>#REF!</v>
      </c>
      <c r="T76" s="34" t="e">
        <f>VLOOKUP($B76&amp;$C76,'[1]FC3 Prod'!$A$6:$BP$36,[2]Consolidated!T$1)</f>
        <v>#REF!</v>
      </c>
      <c r="U76" s="34" t="e">
        <f>VLOOKUP($B76&amp;$C76,'[1]FC3 Prod'!$A$6:$BP$36,[2]Consolidated!U$1)</f>
        <v>#REF!</v>
      </c>
      <c r="V76" s="34">
        <f>VLOOKUP($B76&amp;$C76,'[1]FC3 Prod'!$A$6:$BP$36,[2]Consolidated!V$1)</f>
        <v>0</v>
      </c>
      <c r="W76" s="35">
        <f>VLOOKUP($B76&amp;$C76,'[1]FC3 Prod'!$A$6:$BP$36,[2]Consolidated!W$1)</f>
        <v>0</v>
      </c>
      <c r="X76" s="35">
        <f>VLOOKUP($B76&amp;$C76,'[1]FC3 Prod'!$A$6:$BP$36,[2]Consolidated!X$1)</f>
        <v>0</v>
      </c>
      <c r="Y76" s="36">
        <f>VLOOKUP($B76&amp;$C76,'[1]FC3 Prod'!$A$6:$BP$36,[2]Consolidated!Y$1)</f>
        <v>0</v>
      </c>
      <c r="Z76" s="37" t="e">
        <f>VLOOKUP($B76&amp;$C76,'[1]FC3 Prod'!$A$6:$BP$36,[2]Consolidated!Z$1)</f>
        <v>#REF!</v>
      </c>
      <c r="AA76" s="31">
        <f>VLOOKUP($B76&amp;$C76,'[1]FC3 Prod'!$A$6:$BP$36,[2]Consolidated!AA$1)</f>
        <v>0</v>
      </c>
      <c r="AB76" s="31">
        <f>VLOOKUP($B76&amp;$C76,'[1]FC3 Prod'!$A$6:$BP$36,[2]Consolidated!AB$1)</f>
        <v>0</v>
      </c>
      <c r="AC76" s="31" t="e">
        <f>VLOOKUP($B76&amp;$C76,'[1]FC3 Prod'!$A$6:$BP$36,[2]Consolidated!AC$1)</f>
        <v>#REF!</v>
      </c>
      <c r="AD76" s="38">
        <f>VLOOKUP($B76&amp;$C76,'[1]FC3 Prod'!$A$6:$BP$36,[2]Consolidated!AD$1)</f>
        <v>0</v>
      </c>
      <c r="AE76" s="38">
        <f>VLOOKUP($B76&amp;$C76,'[1]FC3 Prod'!$A$6:$BP$36,[2]Consolidated!AE$1)</f>
        <v>0</v>
      </c>
      <c r="AF76" s="39">
        <f>VLOOKUP($B76&amp;$C76,'[1]FC3 Prod'!$A$6:$BP$36,[2]Consolidated!AF$1)</f>
        <v>0</v>
      </c>
      <c r="AG76" s="39">
        <f>VLOOKUP($B76&amp;$C76,'[1]FC3 Prod'!$A$6:$BP$36,[2]Consolidated!AG$1)</f>
        <v>0</v>
      </c>
      <c r="AH76" s="34">
        <f>VLOOKUP($B76&amp;$C76,'[1]FC3 Prod'!$A$6:$BP$36,[2]Consolidated!AH$1)</f>
        <v>0</v>
      </c>
      <c r="AI76" s="33">
        <f>VLOOKUP($B76&amp;$C76,'[1]FC3 Prod'!$A$6:$BP$36,[2]Consolidated!AI$1)</f>
        <v>0</v>
      </c>
      <c r="AJ76" s="39">
        <f>VLOOKUP($B76&amp;$C76,'[1]FC3 Prod'!$A$6:$BP$36,[2]Consolidated!AJ$1)</f>
        <v>0</v>
      </c>
      <c r="AK76" s="39">
        <f>VLOOKUP($B76&amp;$C76,'[1]FC3 Prod'!$A$6:$BP$36,[2]Consolidated!AK$1)</f>
        <v>0</v>
      </c>
      <c r="AL76" s="40" t="e">
        <f>VLOOKUP($B76&amp;$C76,'[1]FC3 Prod'!$A$6:$BP$36,[2]Consolidated!AL$1)</f>
        <v>#REF!</v>
      </c>
      <c r="AM76" s="41">
        <f>VLOOKUP($B76&amp;$C76,'[1]FC3 Prod'!$A$6:$BP$36,[2]Consolidated!AM$1)</f>
        <v>0</v>
      </c>
      <c r="AN76" s="42" t="e">
        <f>VLOOKUP($B76&amp;$C76,'[1]FC3 Prod'!$A$6:$BP$36,[2]Consolidated!AN$1)</f>
        <v>#REF!</v>
      </c>
      <c r="AO76" s="43" t="e">
        <f>VLOOKUP($B76&amp;$C76,'[1]FC3 Prod'!$A$6:$BP$36,[2]Consolidated!AO$1)</f>
        <v>#REF!</v>
      </c>
      <c r="AP76" s="44">
        <f>VLOOKUP($B76&amp;$C76,'[1]FC3 Prod'!$A$6:$BP$36,[2]Consolidated!AP$1)</f>
        <v>0</v>
      </c>
      <c r="AQ76" s="44">
        <f>VLOOKUP($B76&amp;$C76,'[1]FC3 Prod'!$A$6:$BP$36,[2]Consolidated!AQ$1)</f>
        <v>0</v>
      </c>
      <c r="AR76" s="45">
        <f>VLOOKUP($B76&amp;$C76,'[1]FC3 Prod'!$A$6:$BP$36,[2]Consolidated!AR$1)</f>
        <v>0</v>
      </c>
      <c r="AS76" s="46">
        <f>VLOOKUP($B76&amp;$C76,'[1]FC3 Prod'!$A$6:$BP$36,[2]Consolidated!AS$1)</f>
        <v>0</v>
      </c>
      <c r="AT76" s="29">
        <f>VLOOKUP($B76&amp;$C76,'[1]FC3 Prod'!$A$6:$BP$36,[2]Consolidated!AT$1)</f>
        <v>0</v>
      </c>
      <c r="AU76" s="34">
        <f>VLOOKUP($B76&amp;$C76,'[1]FC3 Prod'!$A$6:$BP$36,[2]Consolidated!AU$1)</f>
        <v>0</v>
      </c>
      <c r="AV76" s="34">
        <f>VLOOKUP($B76&amp;$C76,'[1]FC3 Prod'!$A$6:$BP$36,[2]Consolidated!AV$1)</f>
        <v>0</v>
      </c>
      <c r="AW76" s="47">
        <f>VLOOKUP($B76&amp;$C76,'[1]FC3 Prod'!$A$6:$BP$36,[2]Consolidated!AW$1)</f>
        <v>0</v>
      </c>
      <c r="AX76" s="47">
        <f>VLOOKUP($B76&amp;$C76,'[1]FC3 Prod'!$A$6:$BP$36,[2]Consolidated!AX$1)</f>
        <v>0</v>
      </c>
      <c r="AY76" s="48">
        <f>VLOOKUP($B76&amp;$C76,'[1]FC3 Prod'!$A$6:$BP$36,[2]Consolidated!AY$1)</f>
        <v>0</v>
      </c>
      <c r="AZ76" s="47">
        <f>VLOOKUP($B76&amp;$C76,'[1]FC3 Prod'!$A$6:$BP$36,[2]Consolidated!AZ$1)</f>
        <v>0</v>
      </c>
      <c r="BA76" s="47">
        <f>VLOOKUP($B76&amp;$C76,'[1]FC3 Prod'!$A$6:$BP$36,[2]Consolidated!BA$1)</f>
        <v>0</v>
      </c>
      <c r="BB76" s="47">
        <f>VLOOKUP($B76&amp;$C76,'[1]FC3 Prod'!$A$6:$BP$36,[2]Consolidated!BB$1)</f>
        <v>0</v>
      </c>
      <c r="BC76" s="47">
        <f>VLOOKUP($B76&amp;$C76,'[1]FC3 Prod'!$A$6:$BP$36,[2]Consolidated!BC$1)</f>
        <v>0</v>
      </c>
      <c r="BD76" s="49">
        <f>VLOOKUP($B76&amp;$C76,'[1]FC3 Prod'!$A$6:$BP$36,[2]Consolidated!BD$1)</f>
        <v>0</v>
      </c>
      <c r="BE76" s="47">
        <f>VLOOKUP($B76&amp;$C76,'[1]FC3 Prod'!$A$6:$BP$36,[2]Consolidated!BE$1)</f>
        <v>0</v>
      </c>
      <c r="BF76" s="47">
        <f>VLOOKUP($B76&amp;$C76,'[1]FC3 Prod'!$A$6:$BP$36,[2]Consolidated!BF$1)</f>
        <v>0</v>
      </c>
      <c r="BG76" s="50">
        <f>VLOOKUP($B76&amp;$C76,'[1]FC3 Prod'!$A$6:$BP$36,[2]Consolidated!BG$1)</f>
        <v>0</v>
      </c>
      <c r="BH76" s="50">
        <f>VLOOKUP($B76&amp;$C76,'[1]FC3 Prod'!$A$6:$BP$36,[2]Consolidated!BH$1)</f>
        <v>0</v>
      </c>
      <c r="BI76" s="50">
        <f>VLOOKUP($B76&amp;$C76,'[1]FC3 Prod'!$A$6:$BP$36,[2]Consolidated!BI$1)</f>
        <v>0</v>
      </c>
      <c r="BJ76" s="37" t="e">
        <f>VLOOKUP($B76&amp;$C76,'[1]FC3 Prod'!$A$6:$BP$36,[2]Consolidated!BJ$1)</f>
        <v>#REF!</v>
      </c>
      <c r="BK76" s="37" t="e">
        <f>VLOOKUP($B76&amp;$C76,'[1]FC3 Prod'!$A$6:$BP$36,[2]Consolidated!BK$1)</f>
        <v>#REF!</v>
      </c>
      <c r="BL76" s="37" t="e">
        <f>VLOOKUP($B76&amp;$C76,'[1]FC3 Prod'!$A$6:$BP$36,[2]Consolidated!BL$1)</f>
        <v>#REF!</v>
      </c>
      <c r="BM76" s="37" t="e">
        <f>VLOOKUP($B76&amp;$C76,'[1]FC3 Prod'!$A$6:$BP$36,[2]Consolidated!BM$1)</f>
        <v>#REF!</v>
      </c>
      <c r="BN76" s="37" t="e">
        <f>VLOOKUP($B76&amp;$C76,'[1]FC3 Prod'!$A$6:$BP$36,[2]Consolidated!BN$1)</f>
        <v>#REF!</v>
      </c>
      <c r="BO76" s="37" t="e">
        <f>VLOOKUP($B76&amp;$C76,'[1]FC3 Prod'!$A$6:$BP$36,[2]Consolidated!BO$1)</f>
        <v>#REF!</v>
      </c>
      <c r="BP76" s="37" t="e">
        <f>VLOOKUP($B76&amp;$C76,'[1]FC3 Prod'!$A$6:$BP$36,[2]Consolidated!BP$1)</f>
        <v>#REF!</v>
      </c>
      <c r="BQ76" s="51" t="e">
        <f>VLOOKUP($B76&amp;$C76,'[1]FC3 Prod'!$A$6:$BP$36,[2]Consolidated!BQ$1)</f>
        <v>#REF!</v>
      </c>
      <c r="BR76" s="51">
        <f>VLOOKUP($B76&amp;$C76,'[1]FC3 Prod'!$A$6:$BQ$36,[2]Consolidated!BR$1)</f>
        <v>60369</v>
      </c>
      <c r="BS76" s="52">
        <f t="shared" si="90"/>
        <v>0</v>
      </c>
      <c r="BT76" s="32">
        <f t="shared" ref="BT76:BT77" si="92">BR76-BS76</f>
        <v>60369</v>
      </c>
      <c r="BU76" s="37">
        <f t="shared" ref="BU76:BU77" si="93">E76*BT76</f>
        <v>0</v>
      </c>
      <c r="BV76" s="53" t="s">
        <v>132</v>
      </c>
      <c r="BW76" s="54" cm="1">
        <f t="array" ref="BW76">IFERROR(VLOOKUP($A76,TRANSPOSE('[1]Fur 3 PLC'!$AS$1:$BX$38),8,0),0)</f>
        <v>0</v>
      </c>
      <c r="BX76" s="54" cm="1">
        <f t="array" ref="BX76">IFERROR(VLOOKUP($A76,TRANSPOSE('[1]Fur 3 PLC'!$AS$1:$BX$38),30,0),0)</f>
        <v>0</v>
      </c>
      <c r="BY76" s="54" cm="1">
        <f t="array" ref="BY76">IFERROR(VLOOKUP($A76,TRANSPOSE('[1]Fur 3 PLC'!$AS$1:$BX$38),14,0),0)</f>
        <v>0</v>
      </c>
      <c r="BZ76" s="54" cm="1">
        <f t="array" ref="BZ76">IFERROR(VLOOKUP($A76,TRANSPOSE('[1]Fur 3 PLC'!$AS$1:$BX$38),16,0),0)</f>
        <v>0</v>
      </c>
      <c r="CA76" s="54" cm="1">
        <f t="array" ref="CA76">IFERROR(VLOOKUP($A76,TRANSPOSE('[1]Fur 3 PLC'!$AS$1:$BX$38),9,0),0)</f>
        <v>0</v>
      </c>
      <c r="CB76" s="54" cm="1">
        <f t="array" ref="CB76">IFERROR(VLOOKUP($A76,TRANSPOSE('[1]Fur 3 PLC'!$AS$1:$BX$38),17,0),0)</f>
        <v>0</v>
      </c>
      <c r="CC76" s="54" cm="1">
        <f t="array" ref="CC76">IFERROR(VLOOKUP($A76,TRANSPOSE('[1]Fur 3 PLC'!$AS$1:$BX$38),20,0),0)</f>
        <v>0</v>
      </c>
      <c r="CD76" s="54" cm="1">
        <f t="array" ref="CD76">IFERROR(VLOOKUP($A76,TRANSPOSE('[1]Fur 3 PLC'!$AS$1:$BX$38),28,0),0)</f>
        <v>0</v>
      </c>
      <c r="CE76" s="54" cm="1">
        <f t="array" ref="CE76">IFERROR(VLOOKUP($A76,TRANSPOSE('[1]Fur 3 PLC'!$AS$1:$BX$38),13,0),0)</f>
        <v>0</v>
      </c>
      <c r="CF76" s="54" cm="1">
        <f t="array" ref="CF76">IFERROR(VLOOKUP($A76,TRANSPOSE('[1]Fur 3 PLC'!$AS$1:$BX$38),37,0),0)</f>
        <v>0</v>
      </c>
      <c r="CG76" s="54" cm="1">
        <f t="array" ref="CG76">IFERROR(VLOOKUP($A76,TRANSPOSE('[1]Fur 3 PLC'!$AS$1:$BX$38),6,0),0)</f>
        <v>0</v>
      </c>
      <c r="CH76" s="54" cm="1">
        <f t="array" ref="CH76">IFERROR(VLOOKUP($A76,TRANSPOSE('[1]Fur 3 PLC'!$AS$1:$BX$38),21,0),0)</f>
        <v>0</v>
      </c>
      <c r="CI76" s="54" cm="1">
        <f t="array" ref="CI76">IFERROR(VLOOKUP($A76,TRANSPOSE('[1]Fur 3 PLC'!$AS$1:$BX$38),12,0),0)</f>
        <v>0</v>
      </c>
      <c r="CJ76" s="54" cm="1">
        <f t="array" ref="CJ76">IFERROR(VLOOKUP($A76,TRANSPOSE('[1]Fur 3 PLC'!$AS$1:$BX$38),25,0),0)</f>
        <v>0</v>
      </c>
      <c r="CK76" s="54" cm="1">
        <f t="array" ref="CK76">IFERROR(VLOOKUP($A76,TRANSPOSE('[1]Fur 3 PLC'!$AS$1:$BX$38),26,0),0)</f>
        <v>0</v>
      </c>
      <c r="CL76" s="54" cm="1">
        <f t="array" ref="CL76">IFERROR(VLOOKUP($A76,TRANSPOSE('[1]Fur 3 PLC'!$AS$1:$BX$38),27,0),0)</f>
        <v>0</v>
      </c>
      <c r="CM76" s="54" cm="1">
        <f t="array" ref="CM76">IFERROR(VLOOKUP($A76,TRANSPOSE('[1]Fur 3 PLC'!$AS$1:$BX$38),22,0),0)</f>
        <v>0</v>
      </c>
      <c r="CN76" s="54"/>
      <c r="CO76" s="54" cm="1">
        <f t="array" ref="CO76">IFERROR(VLOOKUP($A76,TRANSPOSE('[1]Fur 3 PLC'!$AS$1:$BX$38),29,0),0)</f>
        <v>0</v>
      </c>
      <c r="CP76" s="54" cm="1">
        <f t="array" ref="CP76">IFERROR(VLOOKUP($A76,TRANSPOSE('[1]Fur 3 PLC'!$AS$1:$BX$38),10,0),0)</f>
        <v>0</v>
      </c>
      <c r="CQ76" s="54" cm="1">
        <f t="array" ref="CQ76">IFERROR(VLOOKUP($A76,TRANSPOSE('[1]Fur 3 PLC'!$AS$1:$BX$38),7,0),0)</f>
        <v>0</v>
      </c>
      <c r="CR76" s="54" cm="1">
        <f t="array" ref="CR76">IFERROR(VLOOKUP($A76,TRANSPOSE('[1]Fur 3 PLC'!$AS$1:$BX$38),35,0),0)</f>
        <v>0</v>
      </c>
      <c r="CS76" s="54" cm="1">
        <f t="array" ref="CS76">IFERROR(VLOOKUP($A76,TRANSPOSE('[1]Fur 3 PLC'!$AS$1:$BX$38),11,0),0)</f>
        <v>0</v>
      </c>
      <c r="CT76" s="54" cm="1">
        <f t="array" ref="CT76">IFERROR(VLOOKUP($A76,TRANSPOSE('[1]Fur 3 PLC'!$AS$1:$BX$38),19,0),0)</f>
        <v>0</v>
      </c>
      <c r="CU76" s="54" cm="1">
        <f t="array" ref="CU76">IFERROR(VLOOKUP($A76,TRANSPOSE('[1]Fur 3 PLC'!$AS$1:$BX$38),18,0),0)</f>
        <v>0</v>
      </c>
      <c r="CV76" s="54" cm="1">
        <f t="array" ref="CV76">IFERROR(VLOOKUP($A76,TRANSPOSE('[1]Fur 3 PLC'!$AR$1:$BV$38),15,0),0)</f>
        <v>0</v>
      </c>
      <c r="CW76" s="54" cm="1">
        <f t="array" ref="CW76">IFERROR(VLOOKUP($A76,TRANSPOSE('[1]Fur 3 PLC'!$CK$1:$DO$38),8,0),0)</f>
        <v>0</v>
      </c>
      <c r="CX76" s="54" cm="1">
        <f t="array" ref="CX76">IFERROR(VLOOKUP($A76,TRANSPOSE('[1]Fur 3 PLC'!$CK$1:$DO$38),30,0),0)</f>
        <v>0</v>
      </c>
      <c r="CY76" s="54" cm="1">
        <f t="array" ref="CY76">IFERROR(VLOOKUP($A76,TRANSPOSE('[1]Fur 3 PLC'!$CK$1:$DO$38),14,0),0)</f>
        <v>0</v>
      </c>
      <c r="CZ76" s="54" cm="1">
        <f t="array" ref="CZ76">IFERROR(VLOOKUP($A76,TRANSPOSE('[1]Fur 3 PLC'!$CK$1:$DO$38),16,0),0)</f>
        <v>0</v>
      </c>
      <c r="DA76" s="54" cm="1">
        <f t="array" ref="DA76">IFERROR(VLOOKUP($A76,TRANSPOSE('[1]Fur 3 PLC'!$CK$1:$DO$38),9,0),0)</f>
        <v>0</v>
      </c>
      <c r="DB76" s="55" cm="1">
        <f t="array" ref="DB76">IFERROR(VLOOKUP($A76,TRANSPOSE('[1]Fur 3 PLC'!$CK$1:$DO$38),17,0),0)</f>
        <v>0</v>
      </c>
      <c r="DC76" s="55" cm="1">
        <f t="array" ref="DC76">IFERROR(VLOOKUP($A76,TRANSPOSE('[1]Fur 3 PLC'!$CK$1:$DO$38),20,0),0)</f>
        <v>0</v>
      </c>
      <c r="DD76" s="54" cm="1">
        <f t="array" ref="DD76">IFERROR(VLOOKUP($A76,TRANSPOSE('[1]Fur 3 PLC'!$CK$1:$DO$38),28,0),0)</f>
        <v>0</v>
      </c>
      <c r="DE76" s="54" cm="1">
        <f t="array" ref="DE76">IFERROR(VLOOKUP($A76,TRANSPOSE('[1]Fur 3 PLC'!$CK$1:$DO$38),13,0),0)</f>
        <v>0</v>
      </c>
      <c r="DF76" s="54" cm="1">
        <f t="array" ref="DF76">IFERROR(VLOOKUP($A76,TRANSPOSE('[1]Fur 3 PLC'!$CK$1:$DO$38),37,0),0)</f>
        <v>0</v>
      </c>
      <c r="DG76" s="54" cm="1">
        <f t="array" ref="DG76">IFERROR(VLOOKUP($A76,TRANSPOSE('[1]Fur 3 PLC'!$CK$1:$DO$38),6,0),0)</f>
        <v>0</v>
      </c>
      <c r="DH76" s="54" cm="1">
        <f t="array" ref="DH76">IFERROR(VLOOKUP($A76,TRANSPOSE('[1]Fur 3 PLC'!$CK$1:$DO$38),21,0),0)</f>
        <v>0</v>
      </c>
      <c r="DI76" s="54" cm="1">
        <f t="array" ref="DI76">IFERROR(VLOOKUP($A76,TRANSPOSE('[1]Fur 3 PLC'!$CK$1:$DO$38),12,0),0)</f>
        <v>0</v>
      </c>
      <c r="DJ76" s="54" cm="1">
        <f t="array" ref="DJ76">IFERROR(VLOOKUP($A76,TRANSPOSE('[1]Fur 3 PLC'!$CK$1:$DO$38),25,0),0)</f>
        <v>0</v>
      </c>
      <c r="DK76" s="54" cm="1">
        <f t="array" ref="DK76">IFERROR(VLOOKUP($A76,TRANSPOSE('[1]Fur 3 PLC'!$CK$1:$DO$38),26,0),0)</f>
        <v>0</v>
      </c>
      <c r="DL76" s="54" cm="1">
        <f t="array" ref="DL76">IFERROR(VLOOKUP($A76,TRANSPOSE('[1]Fur 3 PLC'!$CK$1:$DO$38),27,0),0)</f>
        <v>0</v>
      </c>
      <c r="DM76" s="54" cm="1">
        <f t="array" ref="DM76">IFERROR(VLOOKUP($A76,TRANSPOSE('[1]Fur 3 PLC'!$CK$1:$DO$38),22,0),0)</f>
        <v>0</v>
      </c>
      <c r="DN76" s="54" cm="1">
        <f t="array" ref="DN76">IFERROR(VLOOKUP($A76,TRANSPOSE('[1]Fur 3 PLC'!$CK$1:$DO$38),19,0),0)</f>
        <v>0</v>
      </c>
      <c r="DO76" s="54" cm="1">
        <f t="array" ref="DO76">IFERROR(VLOOKUP($A76,TRANSPOSE('[1]Fur 3 PLC'!$CK$1:$DO$38),29,0),0)</f>
        <v>0</v>
      </c>
      <c r="DP76" s="54" cm="1">
        <f t="array" ref="DP76">IFERROR(VLOOKUP($A76,TRANSPOSE('[1]Fur 3 PLC'!$CK$1:$DO$38),10,0),0)</f>
        <v>0</v>
      </c>
      <c r="DQ76" s="54" cm="1">
        <f t="array" ref="DQ76">IFERROR(VLOOKUP($A76,TRANSPOSE('[1]Fur 3 PLC'!$CK$1:$DO$38),7,0),0)</f>
        <v>0</v>
      </c>
      <c r="DR76" s="54" cm="1">
        <f t="array" ref="DR76">IFERROR(VLOOKUP($A76,TRANSPOSE('[1]Fur 3 PLC'!$CK$1:$DO$38),35,0),0)</f>
        <v>0</v>
      </c>
      <c r="DS76" s="54" cm="1">
        <f t="array" ref="DS76">IFERROR(VLOOKUP($A76,TRANSPOSE('[1]Fur 3 PLC'!$CK$1:$DO$38),11,0),0)</f>
        <v>0</v>
      </c>
      <c r="DT76" s="54" cm="1">
        <f t="array" ref="DT76">IFERROR(VLOOKUP($A76,TRANSPOSE('[1]Fur 3 PLC'!$CK$1:$DO$38),19,0),0)</f>
        <v>0</v>
      </c>
      <c r="DU76" s="54" cm="1">
        <f t="array" ref="DU76">IFERROR(VLOOKUP($A76,TRANSPOSE('[1]Fur 3 PLC'!$CK$1:$DO$38),18,0),0)</f>
        <v>0</v>
      </c>
      <c r="DV76" s="54" cm="1">
        <f t="array" ref="DV76">IFERROR(VLOOKUP($A76,TRANSPOSE('[1]Fur 3 PLC'!$CK$1:$DO$38),15,0),0)</f>
        <v>0</v>
      </c>
      <c r="DW76" t="str">
        <f t="shared" si="91"/>
        <v>Dec-25</v>
      </c>
    </row>
    <row r="77" spans="1:127" x14ac:dyDescent="0.3">
      <c r="A77" s="28" t="str">
        <f t="shared" si="59"/>
        <v>F446010</v>
      </c>
      <c r="B77" s="29" t="s">
        <v>29</v>
      </c>
      <c r="C77" s="30">
        <f>C76</f>
        <v>46010</v>
      </c>
      <c r="D77" s="29" t="str">
        <f>VLOOKUP($B77&amp;$C77,'[1]FC4 Prod'!$A$6:$BP$36,[2]Consolidated!D$1)</f>
        <v>Mr.Ganesh Ghosh Ji</v>
      </c>
      <c r="E77" s="29">
        <f>VLOOKUP($B77&amp;$C77,'[1]FC4 Prod'!$A$6:$BP$36,[2]Consolidated!E$1)</f>
        <v>0</v>
      </c>
      <c r="F77" s="31">
        <f>VLOOKUP($B77&amp;$C77,'[1]FC4 Prod'!$A$6:$BP$36,[2]Consolidated!F$1)</f>
        <v>0</v>
      </c>
      <c r="G77" s="32" t="e">
        <f>VLOOKUP($B77&amp;$C77,'[1]FC4 Prod'!$A$6:$BP$36,[2]Consolidated!G$1)</f>
        <v>#REF!</v>
      </c>
      <c r="H77" s="32">
        <f>VLOOKUP($B77&amp;$C77,'[1]FC4 Prod'!$A$6:$BP$36,[2]Consolidated!H$1)</f>
        <v>0</v>
      </c>
      <c r="I77" s="32">
        <f>VLOOKUP($B77&amp;$C77,'[1]FC4 Prod'!$A$6:$BP$36,[2]Consolidated!I$1)</f>
        <v>0</v>
      </c>
      <c r="J77" s="32">
        <f>VLOOKUP($B77&amp;$C77,'[1]FC4 Prod'!$A$6:$BP$36,[2]Consolidated!J$1)</f>
        <v>0</v>
      </c>
      <c r="K77" s="32">
        <f>VLOOKUP($B77&amp;$C77,'[1]FC4 Prod'!$A$6:$BP$36,[2]Consolidated!K$1)</f>
        <v>0</v>
      </c>
      <c r="L77" s="32">
        <f>VLOOKUP($B77&amp;$C77,'[1]FC4 Prod'!$A$6:$BP$36,[2]Consolidated!L$1)</f>
        <v>0</v>
      </c>
      <c r="M77" s="32">
        <f>VLOOKUP($B77&amp;$C77,'[1]FC4 Prod'!$A$6:$BP$36,[2]Consolidated!M$1)</f>
        <v>0</v>
      </c>
      <c r="N77" s="32">
        <f>VLOOKUP($B77&amp;$C77,'[1]FC4 Prod'!$A$6:$BP$36,[2]Consolidated!N$1)</f>
        <v>0</v>
      </c>
      <c r="O77" s="32">
        <f>VLOOKUP($B77&amp;$C77,'[1]FC4 Prod'!$A$6:$BP$36,[2]Consolidated!O$1)</f>
        <v>0</v>
      </c>
      <c r="P77" s="33">
        <f>VLOOKUP($B77&amp;$C77,'[1]FC4 Prod'!$A$6:$BP$36,[2]Consolidated!P$1)</f>
        <v>8</v>
      </c>
      <c r="Q77" s="29">
        <f>VLOOKUP($B77&amp;$C77,'[1]FC4 Prod'!$A$6:$BP$36,[2]Consolidated!Q$1)</f>
        <v>0</v>
      </c>
      <c r="R77" s="29">
        <f>VLOOKUP($B77&amp;$C77,'[1]FC4 Prod'!$A$6:$BP$36,[2]Consolidated!R$1)</f>
        <v>0</v>
      </c>
      <c r="S77" s="34" t="e">
        <f>VLOOKUP($B77&amp;$C77,'[1]FC4 Prod'!$A$6:$BP$36,[2]Consolidated!S$1)</f>
        <v>#REF!</v>
      </c>
      <c r="T77" s="34" t="e">
        <f>VLOOKUP($B77&amp;$C77,'[1]FC4 Prod'!$A$6:$BP$36,[2]Consolidated!T$1)</f>
        <v>#REF!</v>
      </c>
      <c r="U77" s="34" t="e">
        <f>VLOOKUP($B77&amp;$C77,'[1]FC4 Prod'!$A$6:$BP$36,[2]Consolidated!U$1)</f>
        <v>#REF!</v>
      </c>
      <c r="V77" s="34">
        <f>VLOOKUP($B77&amp;$C77,'[1]FC4 Prod'!$A$6:$BP$36,[2]Consolidated!V$1)</f>
        <v>0</v>
      </c>
      <c r="W77" s="35">
        <f>VLOOKUP($B77&amp;$C77,'[1]FC4 Prod'!$A$6:$BP$36,[2]Consolidated!W$1)</f>
        <v>0</v>
      </c>
      <c r="X77" s="35">
        <f>VLOOKUP($B77&amp;$C77,'[1]FC4 Prod'!$A$6:$BP$36,[2]Consolidated!X$1)</f>
        <v>0</v>
      </c>
      <c r="Y77" s="36">
        <f>VLOOKUP($B77&amp;$C77,'[1]FC4 Prod'!$A$6:$BP$36,[2]Consolidated!Y$1)</f>
        <v>0</v>
      </c>
      <c r="Z77" s="37" t="e">
        <f>VLOOKUP($B77&amp;$C77,'[1]FC4 Prod'!$A$6:$BP$36,[2]Consolidated!Z$1)</f>
        <v>#REF!</v>
      </c>
      <c r="AA77" s="31">
        <f>VLOOKUP($B77&amp;$C77,'[1]FC4 Prod'!$A$6:$BP$36,[2]Consolidated!AA$1)</f>
        <v>0</v>
      </c>
      <c r="AB77" s="31">
        <f>VLOOKUP($B77&amp;$C77,'[1]FC4 Prod'!$A$6:$BP$36,[2]Consolidated!AB$1)</f>
        <v>0</v>
      </c>
      <c r="AC77" s="31">
        <f>VLOOKUP($B77&amp;$C77,'[1]FC4 Prod'!$A$6:$BP$36,[2]Consolidated!AC$1)</f>
        <v>0</v>
      </c>
      <c r="AD77" s="38">
        <f>VLOOKUP($B77&amp;$C77,'[1]FC4 Prod'!$A$6:$BP$36,[2]Consolidated!AD$1)</f>
        <v>0</v>
      </c>
      <c r="AE77" s="38">
        <f>VLOOKUP($B77&amp;$C77,'[1]FC4 Prod'!$A$6:$BP$36,[2]Consolidated!AE$1)</f>
        <v>0</v>
      </c>
      <c r="AF77" s="39">
        <f>VLOOKUP($B77&amp;$C77,'[1]FC4 Prod'!$A$6:$BP$36,[2]Consolidated!AF$1)</f>
        <v>0</v>
      </c>
      <c r="AG77" s="39">
        <f>VLOOKUP($B77&amp;$C77,'[1]FC4 Prod'!$A$6:$BP$36,[2]Consolidated!AG$1)</f>
        <v>0</v>
      </c>
      <c r="AH77" s="34">
        <f>VLOOKUP($B77&amp;$C77,'[1]FC4 Prod'!$A$6:$BP$36,[2]Consolidated!AH$1)</f>
        <v>0</v>
      </c>
      <c r="AI77" s="33">
        <f>VLOOKUP($B77&amp;$C77,'[1]FC4 Prod'!$A$6:$BP$36,[2]Consolidated!AI$1)</f>
        <v>0</v>
      </c>
      <c r="AJ77" s="39">
        <f>VLOOKUP($B77&amp;$C77,'[1]FC4 Prod'!$A$6:$BP$36,[2]Consolidated!AJ$1)</f>
        <v>0</v>
      </c>
      <c r="AK77" s="39">
        <f>VLOOKUP($B77&amp;$C77,'[1]FC4 Prod'!$A$6:$BP$36,[2]Consolidated!AK$1)</f>
        <v>0</v>
      </c>
      <c r="AL77" s="40" t="e">
        <f>VLOOKUP($B77&amp;$C77,'[1]FC4 Prod'!$A$6:$BP$36,[2]Consolidated!AL$1)</f>
        <v>#REF!</v>
      </c>
      <c r="AM77" s="41">
        <f>VLOOKUP($B77&amp;$C77,'[1]FC4 Prod'!$A$6:$BP$36,[2]Consolidated!AM$1)</f>
        <v>0</v>
      </c>
      <c r="AN77" s="42" t="e">
        <f>VLOOKUP($B77&amp;$C77,'[1]FC4 Prod'!$A$6:$BP$36,[2]Consolidated!AN$1)</f>
        <v>#REF!</v>
      </c>
      <c r="AO77" s="43" t="e">
        <f>VLOOKUP($B77&amp;$C77,'[1]FC4 Prod'!$A$6:$BP$36,[2]Consolidated!AO$1)</f>
        <v>#REF!</v>
      </c>
      <c r="AP77" s="44">
        <f>VLOOKUP($B77&amp;$C77,'[1]FC4 Prod'!$A$6:$BP$36,[2]Consolidated!AP$1)</f>
        <v>0</v>
      </c>
      <c r="AQ77" s="44">
        <f>VLOOKUP($B77&amp;$C77,'[1]FC4 Prod'!$A$6:$BP$36,[2]Consolidated!AQ$1)</f>
        <v>0</v>
      </c>
      <c r="AR77" s="45">
        <f>VLOOKUP($B77&amp;$C77,'[1]FC4 Prod'!$A$6:$BP$36,[2]Consolidated!AR$1)</f>
        <v>0</v>
      </c>
      <c r="AS77" s="46">
        <f>VLOOKUP($B77&amp;$C77,'[1]FC4 Prod'!$A$6:$BP$36,[2]Consolidated!AS$1)</f>
        <v>0</v>
      </c>
      <c r="AT77" s="29">
        <f>VLOOKUP($B77&amp;$C77,'[1]FC4 Prod'!$A$6:$BP$36,[2]Consolidated!AT$1)</f>
        <v>0</v>
      </c>
      <c r="AU77" s="34">
        <f>VLOOKUP($B77&amp;$C77,'[1]FC4 Prod'!$A$6:$BP$36,[2]Consolidated!AU$1)</f>
        <v>0</v>
      </c>
      <c r="AV77" s="34">
        <f>VLOOKUP($B77&amp;$C77,'[1]FC4 Prod'!$A$6:$BP$36,[2]Consolidated!AV$1)</f>
        <v>0</v>
      </c>
      <c r="AW77" s="47">
        <f>VLOOKUP($B77&amp;$C77,'[1]FC4 Prod'!$A$6:$BP$36,[2]Consolidated!AW$1)</f>
        <v>0</v>
      </c>
      <c r="AX77" s="47">
        <f>VLOOKUP($B77&amp;$C77,'[1]FC4 Prod'!$A$6:$BP$36,[2]Consolidated!AX$1)</f>
        <v>0</v>
      </c>
      <c r="AY77" s="48">
        <f>VLOOKUP($B77&amp;$C77,'[1]FC4 Prod'!$A$6:$BP$36,[2]Consolidated!AY$1)</f>
        <v>0</v>
      </c>
      <c r="AZ77" s="47">
        <f>VLOOKUP($B77&amp;$C77,'[1]FC4 Prod'!$A$6:$BP$36,[2]Consolidated!AZ$1)</f>
        <v>0</v>
      </c>
      <c r="BA77" s="47">
        <f>VLOOKUP($B77&amp;$C77,'[1]FC4 Prod'!$A$6:$BP$36,[2]Consolidated!BA$1)</f>
        <v>0</v>
      </c>
      <c r="BB77" s="47">
        <f>VLOOKUP($B77&amp;$C77,'[1]FC4 Prod'!$A$6:$BP$36,[2]Consolidated!BB$1)</f>
        <v>0</v>
      </c>
      <c r="BC77" s="47">
        <f>VLOOKUP($B77&amp;$C77,'[1]FC4 Prod'!$A$6:$BP$36,[2]Consolidated!BC$1)</f>
        <v>0</v>
      </c>
      <c r="BD77" s="49">
        <f>VLOOKUP($B77&amp;$C77,'[1]FC4 Prod'!$A$6:$BP$36,[2]Consolidated!BD$1)</f>
        <v>0</v>
      </c>
      <c r="BE77" s="47">
        <f>VLOOKUP($B77&amp;$C77,'[1]FC4 Prod'!$A$6:$BP$36,[2]Consolidated!BE$1)</f>
        <v>0</v>
      </c>
      <c r="BF77" s="47">
        <f>VLOOKUP($B77&amp;$C77,'[1]FC4 Prod'!$A$6:$BP$36,[2]Consolidated!BF$1)</f>
        <v>0</v>
      </c>
      <c r="BG77" s="50">
        <f>VLOOKUP($B77&amp;$C77,'[1]FC4 Prod'!$A$6:$BP$36,[2]Consolidated!BG$1)</f>
        <v>0</v>
      </c>
      <c r="BH77" s="50">
        <f>VLOOKUP($B77&amp;$C77,'[1]FC4 Prod'!$A$6:$BP$36,[2]Consolidated!BH$1)</f>
        <v>0</v>
      </c>
      <c r="BI77" s="50">
        <f>VLOOKUP($B77&amp;$C77,'[1]FC4 Prod'!$A$6:$BP$36,[2]Consolidated!BI$1)</f>
        <v>0</v>
      </c>
      <c r="BJ77" s="37" t="e">
        <f>VLOOKUP($B77&amp;$C77,'[1]FC4 Prod'!$A$6:$BP$36,[2]Consolidated!BJ$1)</f>
        <v>#REF!</v>
      </c>
      <c r="BK77" s="37" t="e">
        <f>VLOOKUP($B77&amp;$C77,'[1]FC4 Prod'!$A$6:$BP$36,[2]Consolidated!BK$1)</f>
        <v>#REF!</v>
      </c>
      <c r="BL77" s="37" t="e">
        <f>VLOOKUP($B77&amp;$C77,'[1]FC4 Prod'!$A$6:$BP$36,[2]Consolidated!BL$1)</f>
        <v>#REF!</v>
      </c>
      <c r="BM77" s="37" t="e">
        <f>VLOOKUP($B77&amp;$C77,'[1]FC4 Prod'!$A$6:$BP$36,[2]Consolidated!BM$1)</f>
        <v>#REF!</v>
      </c>
      <c r="BN77" s="37" t="e">
        <f>VLOOKUP($B77&amp;$C77,'[1]FC4 Prod'!$A$6:$BP$36,[2]Consolidated!BN$1)</f>
        <v>#REF!</v>
      </c>
      <c r="BO77" s="37" t="e">
        <f>VLOOKUP($B77&amp;$C77,'[1]FC4 Prod'!$A$6:$BP$36,[2]Consolidated!BO$1)</f>
        <v>#REF!</v>
      </c>
      <c r="BP77" s="37" t="e">
        <f>VLOOKUP($B77&amp;$C77,'[1]FC4 Prod'!$A$6:$BP$36,[2]Consolidated!BP$1)</f>
        <v>#REF!</v>
      </c>
      <c r="BQ77" s="51" t="e">
        <f>VLOOKUP($B77&amp;$C77,'[1]FC4 Prod'!$A$6:$BP$36,[2]Consolidated!BQ$1)</f>
        <v>#REF!</v>
      </c>
      <c r="BR77" s="51">
        <f>VLOOKUP($B77&amp;$C77,'[1]FC4 Prod'!$A$6:$BQ$36,[2]Consolidated!BR$1)</f>
        <v>41644</v>
      </c>
      <c r="BS77" s="52">
        <f t="shared" ref="BS77" si="94">BE77+BF77*110%+BG77+BA77</f>
        <v>0</v>
      </c>
      <c r="BT77" s="32">
        <f t="shared" si="92"/>
        <v>41644</v>
      </c>
      <c r="BU77" s="37">
        <f t="shared" si="93"/>
        <v>0</v>
      </c>
      <c r="BV77" s="53" t="s">
        <v>132</v>
      </c>
      <c r="BW77" s="54" cm="1">
        <f t="array" ref="BW77">IFERROR(VLOOKUP($A77,TRANSPOSE('[1]Fur 4 PLC'!$AR$1:$BV$39),8,0),0)</f>
        <v>0</v>
      </c>
      <c r="BX77" s="54" cm="1">
        <f t="array" ref="BX77">IFERROR(VLOOKUP($A77,TRANSPOSE('[1]Fur 4 PLC'!$AR$1:$BV$39),30,0),0)</f>
        <v>0</v>
      </c>
      <c r="BY77" s="54" cm="1">
        <f t="array" ref="BY77">IFERROR(VLOOKUP($A77,TRANSPOSE('[1]Fur 4 PLC'!$AR$1:$BV$39),14,0),0)</f>
        <v>0</v>
      </c>
      <c r="BZ77" s="54" cm="1">
        <f t="array" ref="BZ77">IFERROR(VLOOKUP($A77,TRANSPOSE('[1]Fur 4 PLC'!$AR$1:$BV$39),16,0),0)</f>
        <v>0</v>
      </c>
      <c r="CA77" s="54" cm="1">
        <f t="array" ref="CA77">IFERROR(VLOOKUP($A77,TRANSPOSE('[1]Fur 4 PLC'!$AR$1:$BV$39),9,0),0)</f>
        <v>0</v>
      </c>
      <c r="CB77" s="54" cm="1">
        <f t="array" ref="CB77">IFERROR(VLOOKUP($A77,TRANSPOSE('[1]Fur 4 PLC'!$AR$1:$BV$39),17,0),0)</f>
        <v>0</v>
      </c>
      <c r="CC77" s="54" cm="1">
        <f t="array" ref="CC77">IFERROR(VLOOKUP($A77,TRANSPOSE('[1]Fur 4 PLC'!$AR$1:$BV$39),20,0),0)</f>
        <v>0</v>
      </c>
      <c r="CD77" s="54" cm="1">
        <f t="array" ref="CD77">IFERROR(VLOOKUP($A77,TRANSPOSE('[1]Fur 4 PLC'!$AR$1:$BV$39),28,0),0)</f>
        <v>0</v>
      </c>
      <c r="CE77" s="54" cm="1">
        <f t="array" ref="CE77">IFERROR(VLOOKUP($A77,TRANSPOSE('[1]Fur 4 PLC'!$AR$1:$BV$39),13,0),0)</f>
        <v>0</v>
      </c>
      <c r="CF77" s="54" cm="1">
        <f t="array" ref="CF77">IFERROR(VLOOKUP($A77,TRANSPOSE('[1]Fur 4 PLC'!$AR$1:$BV$39),37,0),0)</f>
        <v>0</v>
      </c>
      <c r="CG77" s="54" cm="1">
        <f t="array" ref="CG77">IFERROR(VLOOKUP($A77,TRANSPOSE('[1]Fur 4 PLC'!$AR$1:$BV$39),6,0),0)</f>
        <v>0</v>
      </c>
      <c r="CH77" s="54" cm="1">
        <f t="array" ref="CH77">IFERROR(VLOOKUP($A77,TRANSPOSE('[1]Fur 4 PLC'!$AR$1:$BV$39),21,0),0)</f>
        <v>0</v>
      </c>
      <c r="CI77" s="54" cm="1">
        <f t="array" ref="CI77">IFERROR(VLOOKUP($A77,TRANSPOSE('[1]Fur 4 PLC'!$AR$1:$BV$39),12,0),0)</f>
        <v>0</v>
      </c>
      <c r="CJ77" s="54" cm="1">
        <f t="array" ref="CJ77">IFERROR(VLOOKUP($A77,TRANSPOSE('[1]Fur 4 PLC'!$AR$1:$BV$39),25,0),0)</f>
        <v>0</v>
      </c>
      <c r="CK77" s="54" cm="1">
        <f t="array" ref="CK77">IFERROR(VLOOKUP($A77,TRANSPOSE('[1]Fur 4 PLC'!$AR$1:$BV$39),26,0),0)</f>
        <v>0</v>
      </c>
      <c r="CL77" s="54" cm="1">
        <f t="array" ref="CL77">IFERROR(VLOOKUP($A77,TRANSPOSE('[1]Fur 4 PLC'!$AR$1:$BV$39),27,0),0)</f>
        <v>0</v>
      </c>
      <c r="CM77" s="54" cm="1">
        <f t="array" ref="CM77">IFERROR(VLOOKUP($A77,TRANSPOSE('[1]Fur 4 PLC'!$AR$1:$BV$39),22,0),0)</f>
        <v>0</v>
      </c>
      <c r="CN77" s="54"/>
      <c r="CO77" s="54" cm="1">
        <f t="array" ref="CO77">IFERROR(VLOOKUP($A77,TRANSPOSE('[1]Fur 4 PLC'!$AR$1:$BV$39),29,0),0)</f>
        <v>0</v>
      </c>
      <c r="CP77" s="54" cm="1">
        <f t="array" ref="CP77">IFERROR(VLOOKUP($A77,TRANSPOSE('[1]Fur 4 PLC'!$AR$1:$BV$39),10,0),0)</f>
        <v>0</v>
      </c>
      <c r="CQ77" s="54" cm="1">
        <f t="array" ref="CQ77">IFERROR(VLOOKUP($A77,TRANSPOSE('[1]Fur 4 PLC'!$AR$1:$BV$39),7,0),0)</f>
        <v>0</v>
      </c>
      <c r="CR77" s="54" cm="1">
        <f t="array" ref="CR77">IFERROR(VLOOKUP($A77,TRANSPOSE('[1]Fur 4 PLC'!$AR$1:$BV$39),36,0),0)</f>
        <v>0</v>
      </c>
      <c r="CS77" s="54" cm="1">
        <f t="array" ref="CS77">IFERROR(VLOOKUP($A77,TRANSPOSE('[1]Fur 4 PLC'!$AR$1:$BV$39),11,0),0)</f>
        <v>0</v>
      </c>
      <c r="CT77" s="54" cm="1">
        <f t="array" ref="CT77">IFERROR(VLOOKUP($A77,TRANSPOSE('[1]Fur 4 PLC'!$AR$1:$BV$39),19,0),0)</f>
        <v>0</v>
      </c>
      <c r="CU77" s="54" cm="1">
        <f t="array" ref="CU77">IFERROR(VLOOKUP($A77,TRANSPOSE('[1]Fur 4 PLC'!$AR$1:$BV$39),18,0),0)</f>
        <v>0</v>
      </c>
      <c r="CV77" s="54" cm="1">
        <f t="array" ref="CV77">IFERROR(VLOOKUP($A77,TRANSPOSE('[1]Fur 4 PLC'!$AR$1:$BV$38),15,0),0)</f>
        <v>0</v>
      </c>
      <c r="CW77" s="54" cm="1">
        <f t="array" ref="CW77">IFERROR(VLOOKUP($A77,TRANSPOSE('[1]Fur 4 PLC'!$CK$1:$DO$39),8,0),0)</f>
        <v>0</v>
      </c>
      <c r="CX77" s="54" cm="1">
        <f t="array" ref="CX77">IFERROR(VLOOKUP($A77,TRANSPOSE('[1]Fur 4 PLC'!$CK$1:$DO$39),30,0),0)</f>
        <v>0</v>
      </c>
      <c r="CY77" s="54" cm="1">
        <f t="array" ref="CY77">IFERROR(VLOOKUP($A77,TRANSPOSE('[1]Fur 4 PLC'!$CK$1:$DO$39),14,0),0)</f>
        <v>0</v>
      </c>
      <c r="CZ77" s="54" cm="1">
        <f t="array" ref="CZ77">IFERROR(VLOOKUP($A77,TRANSPOSE('[1]Fur 4 PLC'!$CK$1:$DO$39),16,0),0)</f>
        <v>0</v>
      </c>
      <c r="DA77" s="54" cm="1">
        <f t="array" ref="DA77">IFERROR(VLOOKUP($A77,TRANSPOSE('[1]Fur 4 PLC'!$CK$1:$DO$39),9,0),0)</f>
        <v>0</v>
      </c>
      <c r="DB77" s="55" cm="1">
        <f t="array" ref="DB77">IFERROR(VLOOKUP($A77,TRANSPOSE('[1]Fur 4 PLC'!$CK$1:$DO$39),17,0),0)</f>
        <v>0</v>
      </c>
      <c r="DC77" s="55" cm="1">
        <f t="array" ref="DC77">IFERROR(VLOOKUP($A77,TRANSPOSE('[1]Fur 4 PLC'!$CK$1:$DO$39),20,0),0)</f>
        <v>0</v>
      </c>
      <c r="DD77" s="54" cm="1">
        <f t="array" ref="DD77">IFERROR(VLOOKUP($A77,TRANSPOSE('[1]Fur 4 PLC'!$CK$1:$DO$39),28,0),0)</f>
        <v>0</v>
      </c>
      <c r="DE77" s="54" cm="1">
        <f t="array" ref="DE77">IFERROR(VLOOKUP($A77,TRANSPOSE('[1]Fur 4 PLC'!$CK$1:$DO$39),13,0),0)</f>
        <v>0</v>
      </c>
      <c r="DF77" s="54" cm="1">
        <f t="array" ref="DF77">IFERROR(VLOOKUP($A77,TRANSPOSE('[1]Fur 4 PLC'!$CK$1:$DO$39),37,0),0)</f>
        <v>0</v>
      </c>
      <c r="DG77" s="54" cm="1">
        <f t="array" ref="DG77">IFERROR(VLOOKUP($A77,TRANSPOSE('[1]Fur 4 PLC'!$CK$1:$DO$39),6,0),0)</f>
        <v>0</v>
      </c>
      <c r="DH77" s="54" cm="1">
        <f t="array" ref="DH77">IFERROR(VLOOKUP($A77,TRANSPOSE('[1]Fur 4 PLC'!$CK$1:$DO$39),21,0),0)</f>
        <v>0</v>
      </c>
      <c r="DI77" s="54" cm="1">
        <f t="array" ref="DI77">IFERROR(VLOOKUP($A77,TRANSPOSE('[1]Fur 4 PLC'!$CK$1:$DO$39),12,0),0)</f>
        <v>0</v>
      </c>
      <c r="DJ77" s="54" cm="1">
        <f t="array" ref="DJ77">IFERROR(VLOOKUP($A77,TRANSPOSE('[1]Fur 4 PLC'!$CK$1:$DO$39),25,0),0)</f>
        <v>0</v>
      </c>
      <c r="DK77" s="54" cm="1">
        <f t="array" ref="DK77">IFERROR(VLOOKUP($A77,TRANSPOSE('[1]Fur 4 PLC'!$CK$1:$DO$39),26,0),0)</f>
        <v>0</v>
      </c>
      <c r="DL77" s="54" cm="1">
        <f t="array" ref="DL77">IFERROR(VLOOKUP($A77,TRANSPOSE('[1]Fur 4 PLC'!$CK$1:$DO$39),27,0),0)</f>
        <v>0</v>
      </c>
      <c r="DM77" s="54" cm="1">
        <f t="array" ref="DM77">IFERROR(VLOOKUP($A77,TRANSPOSE('[1]Fur 4 PLC'!$CK$1:$DO$39),22,0),0)</f>
        <v>0</v>
      </c>
      <c r="DN77" s="54" cm="1">
        <f t="array" ref="DN77">IFERROR(VLOOKUP($A77,TRANSPOSE('[1]Fur 4 PLC'!$CK$1:$DO$39),19,0),0)</f>
        <v>0</v>
      </c>
      <c r="DO77" s="54" cm="1">
        <f t="array" ref="DO77">IFERROR(VLOOKUP($A77,TRANSPOSE('[1]Fur 4 PLC'!$CK$1:$DO$39),29,0),0)</f>
        <v>0</v>
      </c>
      <c r="DP77" s="54" cm="1">
        <f t="array" ref="DP77">IFERROR(VLOOKUP($A77,TRANSPOSE('[1]Fur 4 PLC'!$CK$1:$DO$39),10,0),0)</f>
        <v>0</v>
      </c>
      <c r="DQ77" s="54" cm="1">
        <f t="array" ref="DQ77">IFERROR(VLOOKUP($A77,TRANSPOSE('[1]Fur 4 PLC'!$CK$1:$DO$39),7,0),0)</f>
        <v>0</v>
      </c>
      <c r="DR77" s="54" cm="1">
        <f t="array" ref="DR77">IFERROR(VLOOKUP($A77,TRANSPOSE('[1]Fur 4 PLC'!$CK$1:$DO$39),36,0),0)</f>
        <v>0</v>
      </c>
      <c r="DS77" s="54" cm="1">
        <f t="array" ref="DS77">IFERROR(VLOOKUP($A77,TRANSPOSE('[1]Fur 4 PLC'!$CK$1:$DO$39),11,0),0)</f>
        <v>0</v>
      </c>
      <c r="DT77" s="54" cm="1">
        <f t="array" ref="DT77">IFERROR(VLOOKUP($A77,TRANSPOSE('[1]Fur 4 PLC'!$CK$1:$DO$39),19,0),0)</f>
        <v>0</v>
      </c>
      <c r="DU77" s="54" cm="1">
        <f t="array" ref="DU77">IFERROR(VLOOKUP($A77,TRANSPOSE('[1]Fur 4 PLC'!$CK$1:$DO$39),18,0),0)</f>
        <v>0</v>
      </c>
      <c r="DV77" s="54" cm="1">
        <f t="array" ref="DV77">IFERROR(VLOOKUP($A77,TRANSPOSE('[1]Fur 4 PLC'!$CK$1:$DO$39),15,0),0)</f>
        <v>0</v>
      </c>
      <c r="DW77" t="str">
        <f t="shared" si="91"/>
        <v>Dec-25</v>
      </c>
    </row>
    <row r="78" spans="1:127" x14ac:dyDescent="0.3">
      <c r="A78" s="28" t="str">
        <f t="shared" si="59"/>
        <v>F146011</v>
      </c>
      <c r="B78" s="29" t="s">
        <v>26</v>
      </c>
      <c r="C78" s="30">
        <f>C74+1</f>
        <v>46011</v>
      </c>
      <c r="D78" s="29" t="str">
        <f>VLOOKUP($B78&amp;$C78,'[1]FC1 Prod'!$A$6:$BP$36,[2]Consolidated!D$1)</f>
        <v>Raju Singh</v>
      </c>
      <c r="E78" s="29">
        <f>VLOOKUP($B78&amp;$C78,'[1]FC1 Prod'!$A$6:$BP$36,[2]Consolidated!E$1)</f>
        <v>0</v>
      </c>
      <c r="F78" s="31">
        <f>VLOOKUP($B78&amp;$C78,'[1]FC1 Prod'!$A$6:$BP$36,[2]Consolidated!F$1)</f>
        <v>0</v>
      </c>
      <c r="G78" s="32" t="e">
        <f>VLOOKUP($B78&amp;$C78,'[1]FC1 Prod'!$A$6:$BP$36,[2]Consolidated!G$1)</f>
        <v>#REF!</v>
      </c>
      <c r="H78" s="32">
        <f>VLOOKUP($B78&amp;$C78,'[1]FC1 Prod'!$A$6:$BP$36,[2]Consolidated!H$1)</f>
        <v>0</v>
      </c>
      <c r="I78" s="32">
        <f>VLOOKUP($B78&amp;$C78,'[1]FC1 Prod'!$A$6:$BP$36,[2]Consolidated!I$1)</f>
        <v>0</v>
      </c>
      <c r="J78" s="32">
        <f>VLOOKUP($B78&amp;$C78,'[1]FC1 Prod'!$A$6:$BP$36,[2]Consolidated!J$1)</f>
        <v>0</v>
      </c>
      <c r="K78" s="32">
        <f>VLOOKUP($B78&amp;$C78,'[1]FC1 Prod'!$A$6:$BP$36,[2]Consolidated!K$1)</f>
        <v>0</v>
      </c>
      <c r="L78" s="32">
        <f>VLOOKUP($B78&amp;$C78,'[1]FC1 Prod'!$A$6:$BP$36,[2]Consolidated!L$1)</f>
        <v>0</v>
      </c>
      <c r="M78" s="32">
        <f>VLOOKUP($B78&amp;$C78,'[1]FC1 Prod'!$A$6:$BP$36,[2]Consolidated!M$1)</f>
        <v>0</v>
      </c>
      <c r="N78" s="32">
        <f>VLOOKUP($B78&amp;$C78,'[1]FC1 Prod'!$A$6:$BP$36,[2]Consolidated!N$1)</f>
        <v>0</v>
      </c>
      <c r="O78" s="32">
        <f>VLOOKUP($B78&amp;$C78,'[1]FC1 Prod'!$A$6:$BP$36,[2]Consolidated!O$1)</f>
        <v>0</v>
      </c>
      <c r="P78" s="33">
        <f>VLOOKUP($B78&amp;$C78,'[1]FC1 Prod'!$A$6:$BP$36,[2]Consolidated!P$1)</f>
        <v>8</v>
      </c>
      <c r="Q78" s="29">
        <f>VLOOKUP($B78&amp;$C78,'[1]FC1 Prod'!$A$6:$BP$36,[2]Consolidated!Q$1)</f>
        <v>0</v>
      </c>
      <c r="R78" s="29">
        <f>VLOOKUP($B78&amp;$C78,'[1]FC1 Prod'!$A$6:$BP$36,[2]Consolidated!R$1)</f>
        <v>0</v>
      </c>
      <c r="S78" s="34" t="e">
        <f>VLOOKUP($B78&amp;$C78,'[1]FC1 Prod'!$A$6:$BP$36,[2]Consolidated!S$1)</f>
        <v>#REF!</v>
      </c>
      <c r="T78" s="34" t="e">
        <f>VLOOKUP($B78&amp;$C78,'[1]FC1 Prod'!$A$6:$BP$36,[2]Consolidated!T$1)</f>
        <v>#REF!</v>
      </c>
      <c r="U78" s="34" t="e">
        <f>VLOOKUP($B78&amp;$C78,'[1]FC1 Prod'!$A$6:$BP$36,[2]Consolidated!U$1)</f>
        <v>#REF!</v>
      </c>
      <c r="V78" s="34">
        <f>VLOOKUP($B78&amp;$C78,'[1]FC1 Prod'!$A$6:$BP$36,[2]Consolidated!V$1)</f>
        <v>0</v>
      </c>
      <c r="W78" s="35">
        <f>VLOOKUP($B78&amp;$C78,'[1]FC1 Prod'!$A$6:$BP$36,[2]Consolidated!W$1)</f>
        <v>0</v>
      </c>
      <c r="X78" s="35">
        <f>VLOOKUP($B78&amp;$C78,'[1]FC1 Prod'!$A$6:$BP$36,[2]Consolidated!X$1)</f>
        <v>0</v>
      </c>
      <c r="Y78" s="36">
        <f>VLOOKUP($B78&amp;$C78,'[1]FC1 Prod'!$A$6:$BP$36,[2]Consolidated!Y$1)</f>
        <v>0</v>
      </c>
      <c r="Z78" s="37" t="e">
        <f>VLOOKUP($B78&amp;$C78,'[1]FC1 Prod'!$A$6:$BP$36,[2]Consolidated!Z$1)</f>
        <v>#REF!</v>
      </c>
      <c r="AA78" s="31">
        <f>VLOOKUP($B78&amp;$C78,'[1]FC1 Prod'!$A$6:$BP$36,[2]Consolidated!AA$1)</f>
        <v>0</v>
      </c>
      <c r="AB78" s="31">
        <f>VLOOKUP($B78&amp;$C78,'[1]FC1 Prod'!$A$6:$BP$36,[2]Consolidated!AB$1)</f>
        <v>0</v>
      </c>
      <c r="AC78" s="31">
        <f>VLOOKUP($B78&amp;$C78,'[1]FC1 Prod'!$A$6:$BP$36,[2]Consolidated!AC$1)</f>
        <v>0</v>
      </c>
      <c r="AD78" s="38">
        <f>VLOOKUP($B78&amp;$C78,'[1]FC1 Prod'!$A$6:$BP$36,[2]Consolidated!AD$1)</f>
        <v>0</v>
      </c>
      <c r="AE78" s="38">
        <f>VLOOKUP($B78&amp;$C78,'[1]FC1 Prod'!$A$6:$BP$36,[2]Consolidated!AE$1)</f>
        <v>0</v>
      </c>
      <c r="AF78" s="39">
        <f>VLOOKUP($B78&amp;$C78,'[1]FC1 Prod'!$A$6:$BP$36,[2]Consolidated!AF$1)</f>
        <v>0</v>
      </c>
      <c r="AG78" s="39">
        <f>VLOOKUP($B78&amp;$C78,'[1]FC1 Prod'!$A$6:$BP$36,[2]Consolidated!AG$1)</f>
        <v>0</v>
      </c>
      <c r="AH78" s="34">
        <f>VLOOKUP($B78&amp;$C78,'[1]FC1 Prod'!$A$6:$BP$36,[2]Consolidated!AH$1)</f>
        <v>0</v>
      </c>
      <c r="AI78" s="33">
        <f>VLOOKUP($B78&amp;$C78,'[1]FC1 Prod'!$A$6:$BP$36,[2]Consolidated!AI$1)</f>
        <v>0</v>
      </c>
      <c r="AJ78" s="39">
        <f>VLOOKUP($B78&amp;$C78,'[1]FC1 Prod'!$A$6:$BP$36,[2]Consolidated!AJ$1)</f>
        <v>0</v>
      </c>
      <c r="AK78" s="39">
        <f>VLOOKUP($B78&amp;$C78,'[1]FC1 Prod'!$A$6:$BP$36,[2]Consolidated!AK$1)</f>
        <v>0</v>
      </c>
      <c r="AL78" s="40" t="e">
        <f>VLOOKUP($B78&amp;$C78,'[1]FC1 Prod'!$A$6:$BP$36,[2]Consolidated!AL$1)</f>
        <v>#REF!</v>
      </c>
      <c r="AM78" s="41">
        <f>VLOOKUP($B78&amp;$C78,'[1]FC1 Prod'!$A$6:$BP$36,[2]Consolidated!AM$1)</f>
        <v>0</v>
      </c>
      <c r="AN78" s="42" t="e">
        <f>VLOOKUP($B78&amp;$C78,'[1]FC1 Prod'!$A$6:$BP$36,[2]Consolidated!AN$1)</f>
        <v>#REF!</v>
      </c>
      <c r="AO78" s="43" t="e">
        <f>VLOOKUP($B78&amp;$C78,'[1]FC1 Prod'!$A$6:$BP$36,[2]Consolidated!AO$1)</f>
        <v>#REF!</v>
      </c>
      <c r="AP78" s="44">
        <f>VLOOKUP($B78&amp;$C78,'[1]FC1 Prod'!$A$6:$BP$36,[2]Consolidated!AP$1)</f>
        <v>0</v>
      </c>
      <c r="AQ78" s="44">
        <f>VLOOKUP($B78&amp;$C78,'[1]FC1 Prod'!$A$6:$BP$36,[2]Consolidated!AQ$1)</f>
        <v>0</v>
      </c>
      <c r="AR78" s="45">
        <f>VLOOKUP($B78&amp;$C78,'[1]FC1 Prod'!$A$6:$BP$36,[2]Consolidated!AR$1)</f>
        <v>0</v>
      </c>
      <c r="AS78" s="46">
        <f>VLOOKUP($B78&amp;$C78,'[1]FC1 Prod'!$A$6:$BP$36,[2]Consolidated!AS$1)</f>
        <v>0</v>
      </c>
      <c r="AT78" s="29">
        <f>VLOOKUP($B78&amp;$C78,'[1]FC1 Prod'!$A$6:$BP$36,[2]Consolidated!AT$1)</f>
        <v>0</v>
      </c>
      <c r="AU78" s="34">
        <f>VLOOKUP($B78&amp;$C78,'[1]FC1 Prod'!$A$6:$BP$36,[2]Consolidated!AU$1)</f>
        <v>0</v>
      </c>
      <c r="AV78" s="34">
        <f>VLOOKUP($B78&amp;$C78,'[1]FC1 Prod'!$A$6:$BP$36,[2]Consolidated!AV$1)</f>
        <v>0</v>
      </c>
      <c r="AW78" s="47">
        <f>VLOOKUP($B78&amp;$C78,'[1]FC1 Prod'!$A$6:$BP$36,[2]Consolidated!AW$1)</f>
        <v>0</v>
      </c>
      <c r="AX78" s="47">
        <f>VLOOKUP($B78&amp;$C78,'[1]FC1 Prod'!$A$6:$BP$36,[2]Consolidated!AX$1)</f>
        <v>0</v>
      </c>
      <c r="AY78" s="48">
        <f>VLOOKUP($B78&amp;$C78,'[1]FC1 Prod'!$A$6:$BP$36,[2]Consolidated!AY$1)</f>
        <v>0</v>
      </c>
      <c r="AZ78" s="47">
        <f>VLOOKUP($B78&amp;$C78,'[1]FC1 Prod'!$A$6:$BP$36,[2]Consolidated!AZ$1)</f>
        <v>0</v>
      </c>
      <c r="BA78" s="47">
        <f>VLOOKUP($B78&amp;$C78,'[1]FC1 Prod'!$A$6:$BP$36,[2]Consolidated!BA$1)</f>
        <v>0</v>
      </c>
      <c r="BB78" s="47">
        <f>VLOOKUP($B78&amp;$C78,'[1]FC1 Prod'!$A$6:$BP$36,[2]Consolidated!BB$1)</f>
        <v>0</v>
      </c>
      <c r="BC78" s="47">
        <f>VLOOKUP($B78&amp;$C78,'[1]FC1 Prod'!$A$6:$BP$36,[2]Consolidated!BC$1)</f>
        <v>0</v>
      </c>
      <c r="BD78" s="49">
        <f>VLOOKUP($B78&amp;$C78,'[1]FC1 Prod'!$A$6:$BP$36,[2]Consolidated!BD$1)</f>
        <v>0</v>
      </c>
      <c r="BE78" s="47">
        <f>VLOOKUP($B78&amp;$C78,'[1]FC1 Prod'!$A$6:$BP$36,[2]Consolidated!BE$1)</f>
        <v>0</v>
      </c>
      <c r="BF78" s="47">
        <f>VLOOKUP($B78&amp;$C78,'[1]FC1 Prod'!$A$6:$BP$36,[2]Consolidated!BF$1)</f>
        <v>0</v>
      </c>
      <c r="BG78" s="50">
        <f>VLOOKUP($B78&amp;$C78,'[1]FC1 Prod'!$A$6:$BP$36,[2]Consolidated!BG$1)</f>
        <v>0</v>
      </c>
      <c r="BH78" s="50">
        <f>VLOOKUP($B78&amp;$C78,'[1]FC1 Prod'!$A$6:$BP$36,[2]Consolidated!BH$1)</f>
        <v>0</v>
      </c>
      <c r="BI78" s="50">
        <f>VLOOKUP($B78&amp;$C78,'[1]FC1 Prod'!$A$6:$BP$36,[2]Consolidated!BI$1)</f>
        <v>0</v>
      </c>
      <c r="BJ78" s="37" t="e">
        <f>VLOOKUP($B78&amp;$C78,'[1]FC1 Prod'!$A$6:$BP$36,[2]Consolidated!BJ$1)</f>
        <v>#REF!</v>
      </c>
      <c r="BK78" s="37" t="e">
        <f>VLOOKUP($B78&amp;$C78,'[1]FC1 Prod'!$A$6:$BP$36,[2]Consolidated!BK$1)</f>
        <v>#REF!</v>
      </c>
      <c r="BL78" s="37" t="e">
        <f>VLOOKUP($B78&amp;$C78,'[1]FC1 Prod'!$A$6:$BP$36,[2]Consolidated!BL$1)</f>
        <v>#REF!</v>
      </c>
      <c r="BM78" s="37" t="e">
        <f>VLOOKUP($B78&amp;$C78,'[1]FC1 Prod'!$A$6:$BP$36,[2]Consolidated!BM$1)</f>
        <v>#REF!</v>
      </c>
      <c r="BN78" s="37" t="e">
        <f>VLOOKUP($B78&amp;$C78,'[1]FC1 Prod'!$A$6:$BP$36,[2]Consolidated!BN$1)</f>
        <v>#REF!</v>
      </c>
      <c r="BO78" s="37" t="e">
        <f>VLOOKUP($B78&amp;$C78,'[1]FC1 Prod'!$A$6:$BP$36,[2]Consolidated!BO$1)</f>
        <v>#REF!</v>
      </c>
      <c r="BP78" s="37" t="e">
        <f>VLOOKUP($B78&amp;$C78,'[1]FC1 Prod'!$A$6:$BP$36,[2]Consolidated!BP$1)</f>
        <v>#REF!</v>
      </c>
      <c r="BQ78" s="51" t="e">
        <f>VLOOKUP($B78&amp;$C78,'[1]FC1 Prod'!$A$6:$BP$36,[2]Consolidated!BQ$1)</f>
        <v>#REF!</v>
      </c>
      <c r="BR78" s="51">
        <f>VLOOKUP($B78&amp;$C78,'[1]FC1 Prod'!$A$6:$BQ$36,[2]Consolidated!BR$1)</f>
        <v>69902</v>
      </c>
      <c r="BS78" s="52">
        <f t="shared" ref="BS78:BS80" si="95">BE78+BF78+BG78+BA78</f>
        <v>0</v>
      </c>
      <c r="BT78" s="32">
        <f>BR78-BS78</f>
        <v>69902</v>
      </c>
      <c r="BU78" s="37">
        <f>E78*BT78</f>
        <v>0</v>
      </c>
      <c r="BV78" s="53" t="s">
        <v>132</v>
      </c>
      <c r="BW78" s="54" cm="1">
        <f t="array" ref="BW78">IFERROR(VLOOKUP($A78,TRANSPOSE('[1]Fur 1 PLC'!$AR$1:$BV$38),8,0),0)</f>
        <v>0</v>
      </c>
      <c r="BX78" s="54" cm="1">
        <f t="array" ref="BX78">IFERROR(VLOOKUP($A78,TRANSPOSE('[1]Fur 1 PLC'!$AR$1:$BV$38),30,0),0)</f>
        <v>0</v>
      </c>
      <c r="BY78" s="54" cm="1">
        <f t="array" ref="BY78">IFERROR(VLOOKUP($A78,TRANSPOSE('[1]Fur 1 PLC'!$AR$1:$BV$38),14,0),0)</f>
        <v>0</v>
      </c>
      <c r="BZ78" s="54" cm="1">
        <f t="array" ref="BZ78">IFERROR(VLOOKUP($A78,TRANSPOSE('[1]Fur 1 PLC'!$AR$1:$BV$38),16,0),0)</f>
        <v>0</v>
      </c>
      <c r="CA78" s="54" cm="1">
        <f t="array" ref="CA78">IFERROR(VLOOKUP($A78,TRANSPOSE('[1]Fur 1 PLC'!$AR$1:$BV$38),9,0),0)</f>
        <v>0</v>
      </c>
      <c r="CB78" s="54" cm="1">
        <f t="array" ref="CB78">IFERROR(VLOOKUP($A78,TRANSPOSE('[1]Fur 1 PLC'!$AR$1:$BV$38),17,0),0)</f>
        <v>0</v>
      </c>
      <c r="CC78" s="54" cm="1">
        <f t="array" ref="CC78">IFERROR(VLOOKUP($A78,TRANSPOSE('[1]Fur 1 PLC'!$AR$1:$BV$38),20,0),0)</f>
        <v>0</v>
      </c>
      <c r="CD78" s="54" cm="1">
        <f t="array" ref="CD78">IFERROR(VLOOKUP($A78,TRANSPOSE('[1]Fur 1 PLC'!$AR$1:$BV$38),28,0),0)</f>
        <v>0</v>
      </c>
      <c r="CE78" s="54" cm="1">
        <f t="array" ref="CE78">IFERROR(VLOOKUP($A78,TRANSPOSE('[1]Fur 1 PLC'!$AR$1:$BV$38),13,0),0)</f>
        <v>0</v>
      </c>
      <c r="CF78" s="54" cm="1">
        <f t="array" ref="CF78">IFERROR(VLOOKUP($A78,TRANSPOSE('[1]Fur 1 PLC'!$AR$1:$BV$38),37,0),0)</f>
        <v>0</v>
      </c>
      <c r="CG78" s="54" cm="1">
        <f t="array" ref="CG78">IFERROR(VLOOKUP($A78,TRANSPOSE('[1]Fur 1 PLC'!$AR$1:$BV$38),6,0),0)</f>
        <v>0</v>
      </c>
      <c r="CH78" s="54" cm="1">
        <f t="array" ref="CH78">IFERROR(VLOOKUP($A78,TRANSPOSE('[1]Fur 1 PLC'!$AR$1:$BV$38),21,0),0)</f>
        <v>0</v>
      </c>
      <c r="CI78" s="54" cm="1">
        <f t="array" ref="CI78">IFERROR(VLOOKUP($A78,TRANSPOSE('[1]Fur 1 PLC'!$AR$1:$BV$38),12,0),0)</f>
        <v>0</v>
      </c>
      <c r="CJ78" s="54" cm="1">
        <f t="array" ref="CJ78">IFERROR(VLOOKUP($A78,TRANSPOSE('[1]Fur 1 PLC'!$AR$1:$BV$38),25,0),0)</f>
        <v>0</v>
      </c>
      <c r="CK78" s="54" cm="1">
        <f t="array" ref="CK78">IFERROR(VLOOKUP($A78,TRANSPOSE('[1]Fur 1 PLC'!$AR$1:$BV$38),26,0),0)</f>
        <v>0</v>
      </c>
      <c r="CL78" s="54" cm="1">
        <f t="array" ref="CL78">IFERROR(VLOOKUP($A78,TRANSPOSE('[1]Fur 1 PLC'!$AR$1:$BV$38),27,0),0)</f>
        <v>0</v>
      </c>
      <c r="CM78" s="54" cm="1">
        <f t="array" ref="CM78">IFERROR(VLOOKUP($A78,TRANSPOSE('[1]Fur 1 PLC'!$AR$1:$BV$38),22,0),0)</f>
        <v>0</v>
      </c>
      <c r="CN78" s="54"/>
      <c r="CO78" s="54" cm="1">
        <f t="array" ref="CO78">IFERROR(VLOOKUP($A78,TRANSPOSE('[1]Fur 1 PLC'!$AR$1:$BV$38),29,0),0)</f>
        <v>0</v>
      </c>
      <c r="CP78" s="54" cm="1">
        <f t="array" ref="CP78">IFERROR(VLOOKUP($A78,TRANSPOSE('[1]Fur 1 PLC'!$AR$1:$BV$38),10,0),0)</f>
        <v>0</v>
      </c>
      <c r="CQ78" s="54" cm="1">
        <f t="array" ref="CQ78">IFERROR(VLOOKUP($A78,TRANSPOSE('[1]Fur 1 PLC'!$AR$1:$BV$38),7,0),0)</f>
        <v>0</v>
      </c>
      <c r="CR78" s="54" cm="1">
        <f t="array" ref="CR78">IFERROR(VLOOKUP($A78,TRANSPOSE('[1]Fur 1 PLC'!$AR$1:$BV$38),35,0),0)</f>
        <v>0</v>
      </c>
      <c r="CS78" s="54" cm="1">
        <f t="array" ref="CS78">IFERROR(VLOOKUP($A78,TRANSPOSE('[1]Fur 1 PLC'!$AR$1:$BV$38),11,0),0)</f>
        <v>0</v>
      </c>
      <c r="CT78" s="54" cm="1">
        <f t="array" ref="CT78">IFERROR(VLOOKUP($A78,TRANSPOSE('[1]Fur 1 PLC'!$AR$1:$BV$38),19,0),0)</f>
        <v>0</v>
      </c>
      <c r="CU78" s="54" cm="1">
        <f t="array" ref="CU78">IFERROR(VLOOKUP($A78,TRANSPOSE('[1]Fur 1 PLC'!$AR$1:$BV$38),18,0),0)</f>
        <v>0</v>
      </c>
      <c r="CV78" s="54" cm="1">
        <f t="array" ref="CV78">IFERROR(VLOOKUP($A78,TRANSPOSE('[1]Fur 1 PLC'!$AR$1:$BV$38),15,0),0)</f>
        <v>0</v>
      </c>
      <c r="CW78" s="54" cm="1">
        <f t="array" ref="CW78">IFERROR(VLOOKUP($A78,TRANSPOSE('[1]Fur 1 PLC'!$CL$1:$DP$38),8,0),0)</f>
        <v>0</v>
      </c>
      <c r="CX78" s="54" cm="1">
        <f t="array" ref="CX78">IFERROR(VLOOKUP($A78,TRANSPOSE('[1]Fur 1 PLC'!$CL$1:$DP$38),30,0),0)</f>
        <v>0</v>
      </c>
      <c r="CY78" s="54" cm="1">
        <f t="array" ref="CY78">IFERROR(VLOOKUP($A78,TRANSPOSE('[1]Fur 1 PLC'!$CL$1:$DP$38),14,0),0)</f>
        <v>0</v>
      </c>
      <c r="CZ78" s="54" cm="1">
        <f t="array" ref="CZ78">IFERROR(VLOOKUP($A78,TRANSPOSE('[1]Fur 1 PLC'!$CL$1:$DP$38),16,0),0)</f>
        <v>0</v>
      </c>
      <c r="DA78" s="54" cm="1">
        <f t="array" ref="DA78">IFERROR(VLOOKUP($A78,TRANSPOSE('[1]Fur 1 PLC'!$CL$1:$DP$38),9,0),0)</f>
        <v>0</v>
      </c>
      <c r="DB78" s="55" cm="1">
        <f t="array" ref="DB78">IFERROR(VLOOKUP($A78,TRANSPOSE('[1]Fur 1 PLC'!$CL$1:$DP$38),17,0),0)</f>
        <v>0</v>
      </c>
      <c r="DC78" s="55" cm="1">
        <f t="array" ref="DC78">IFERROR(VLOOKUP($A78,TRANSPOSE('[1]Fur 1 PLC'!$CL$1:$DP$38),20,0),0)</f>
        <v>0</v>
      </c>
      <c r="DD78" s="54" cm="1">
        <f t="array" ref="DD78">IFERROR(VLOOKUP($A78,TRANSPOSE('[1]Fur 1 PLC'!$CL$1:$DP$38),28,0),0)</f>
        <v>0</v>
      </c>
      <c r="DE78" s="54" cm="1">
        <f t="array" ref="DE78">IFERROR(VLOOKUP($A78,TRANSPOSE('[1]Fur 1 PLC'!$CL$1:$DP$38),13,0),0)</f>
        <v>0</v>
      </c>
      <c r="DF78" s="54" cm="1">
        <f t="array" ref="DF78">IFERROR(VLOOKUP($A78,TRANSPOSE('[1]Fur 1 PLC'!$CL$1:$DP$38),37,0),0)</f>
        <v>0</v>
      </c>
      <c r="DG78" s="54" cm="1">
        <f t="array" ref="DG78">IFERROR(VLOOKUP($A78,TRANSPOSE('[1]Fur 1 PLC'!$CL$1:$DP$38),6,0),0)</f>
        <v>0</v>
      </c>
      <c r="DH78" s="54" cm="1">
        <f t="array" ref="DH78">IFERROR(VLOOKUP($A78,TRANSPOSE('[1]Fur 1 PLC'!$CL$1:$DP$38),21,0),0)</f>
        <v>0</v>
      </c>
      <c r="DI78" s="54" cm="1">
        <f t="array" ref="DI78">IFERROR(VLOOKUP($A78,TRANSPOSE('[1]Fur 1 PLC'!$CL$1:$DP$38),12,0),0)</f>
        <v>0</v>
      </c>
      <c r="DJ78" s="54" cm="1">
        <f t="array" ref="DJ78">IFERROR(VLOOKUP($A78,TRANSPOSE('[1]Fur 1 PLC'!$CL$1:$DP$38),25,0),0)</f>
        <v>0</v>
      </c>
      <c r="DK78" s="54" cm="1">
        <f t="array" ref="DK78">IFERROR(VLOOKUP($A78,TRANSPOSE('[1]Fur 1 PLC'!$CL$1:$DP$38),26,0),0)</f>
        <v>0</v>
      </c>
      <c r="DL78" s="54" cm="1">
        <f t="array" ref="DL78">IFERROR(VLOOKUP($A78,TRANSPOSE('[1]Fur 1 PLC'!$CL$1:$DP$38),27,0),0)</f>
        <v>0</v>
      </c>
      <c r="DM78" s="54" cm="1">
        <f t="array" ref="DM78">IFERROR(VLOOKUP($A78,TRANSPOSE('[1]Fur 1 PLC'!$CL$1:$DP$38),22,0),0)</f>
        <v>0</v>
      </c>
      <c r="DN78" s="54" cm="1">
        <f t="array" ref="DN78">IFERROR(VLOOKUP($A78,TRANSPOSE('[1]Fur 1 PLC'!$CL$1:$DP$38),19,0),0)</f>
        <v>0</v>
      </c>
      <c r="DO78" s="54" cm="1">
        <f t="array" ref="DO78">IFERROR(VLOOKUP($A78,TRANSPOSE('[1]Fur 1 PLC'!$CL$1:$DP$38),29,0),0)</f>
        <v>0</v>
      </c>
      <c r="DP78" s="54" cm="1">
        <f t="array" ref="DP78">IFERROR(VLOOKUP($A78,TRANSPOSE('[1]Fur 1 PLC'!$CL$1:$DP$38),10,0),0)</f>
        <v>0</v>
      </c>
      <c r="DQ78" s="54" cm="1">
        <f t="array" ref="DQ78">IFERROR(VLOOKUP($A78,TRANSPOSE('[1]Fur 1 PLC'!$CL$1:$DP$38),7,0),0)</f>
        <v>0</v>
      </c>
      <c r="DR78" s="54" cm="1">
        <f t="array" ref="DR78">IFERROR(VLOOKUP($A78,TRANSPOSE('[1]Fur 1 PLC'!$CL$1:$DP$38),35,0),0)</f>
        <v>0</v>
      </c>
      <c r="DS78" s="54" cm="1">
        <f t="array" ref="DS78">IFERROR(VLOOKUP($A78,TRANSPOSE('[1]Fur 1 PLC'!$CL$1:$DP$38),11,0),0)</f>
        <v>0</v>
      </c>
      <c r="DT78" s="54" cm="1">
        <f t="array" ref="DT78">IFERROR(VLOOKUP($A78,TRANSPOSE('[1]Fur 1 PLC'!$CL$1:$DP$38),19,0),0)</f>
        <v>0</v>
      </c>
      <c r="DU78" s="54" cm="1">
        <f t="array" ref="DU78">IFERROR(VLOOKUP($A78,TRANSPOSE('[1]Fur 1 PLC'!$CL$1:$DP$38),18,0),0)</f>
        <v>0</v>
      </c>
      <c r="DV78" s="54" cm="1">
        <f t="array" ref="DV78">IFERROR(VLOOKUP($A78,TRANSPOSE('[1]Fur 1 PLC'!$CL$1:$DP$38),15,0),0)</f>
        <v>0</v>
      </c>
      <c r="DW78" t="str">
        <f>TEXT(C78,"Mmm-yy")</f>
        <v>Dec-25</v>
      </c>
    </row>
    <row r="79" spans="1:127" x14ac:dyDescent="0.3">
      <c r="A79" s="28" t="str">
        <f t="shared" si="59"/>
        <v>F246011</v>
      </c>
      <c r="B79" s="29" t="s">
        <v>27</v>
      </c>
      <c r="C79" s="30">
        <f>C78</f>
        <v>46011</v>
      </c>
      <c r="D79" s="29" t="str">
        <f>VLOOKUP($B79&amp;$C79,'[1]FC2 Prod'!$A$6:$BP$36,[2]Consolidated!D$1)</f>
        <v>Mr. Girish Malik</v>
      </c>
      <c r="E79" s="29">
        <f>VLOOKUP($B79&amp;$C79,'[1]FC2 Prod'!$A$6:$BP$36,[2]Consolidated!E$1)</f>
        <v>0</v>
      </c>
      <c r="F79" s="29">
        <f>VLOOKUP($B79&amp;$C79,'[1]FC2 Prod'!$A$6:$BP$36,[2]Consolidated!F$1)</f>
        <v>0</v>
      </c>
      <c r="G79" s="29" t="e">
        <f>VLOOKUP($B79&amp;$C79,'[1]FC2 Prod'!$A$6:$BP$36,[2]Consolidated!G$1)</f>
        <v>#REF!</v>
      </c>
      <c r="H79" s="32">
        <f>VLOOKUP($B79&amp;$C79,'[1]FC2 Prod'!$A$6:$BP$36,[2]Consolidated!H$1)</f>
        <v>0</v>
      </c>
      <c r="I79" s="32">
        <f>VLOOKUP($B79&amp;$C79,'[1]FC2 Prod'!$A$6:$BP$36,[2]Consolidated!I$1)</f>
        <v>0</v>
      </c>
      <c r="J79" s="32">
        <f>VLOOKUP($B79&amp;$C79,'[1]FC2 Prod'!$A$6:$BP$36,[2]Consolidated!J$1)</f>
        <v>0</v>
      </c>
      <c r="K79" s="32">
        <f>VLOOKUP($B79&amp;$C79,'[1]FC2 Prod'!$A$6:$BP$36,[2]Consolidated!K$1)</f>
        <v>0</v>
      </c>
      <c r="L79" s="32">
        <f>VLOOKUP($B79&amp;$C79,'[1]FC2 Prod'!$A$6:$BP$36,[2]Consolidated!L$1)</f>
        <v>0</v>
      </c>
      <c r="M79" s="32">
        <f>VLOOKUP($B79&amp;$C79,'[1]FC2 Prod'!$A$6:$BP$36,[2]Consolidated!M$1)</f>
        <v>0</v>
      </c>
      <c r="N79" s="32">
        <f>VLOOKUP($B79&amp;$C79,'[1]FC2 Prod'!$A$6:$BP$36,[2]Consolidated!N$1)</f>
        <v>0</v>
      </c>
      <c r="O79" s="32">
        <f>VLOOKUP($B79&amp;$C79,'[1]FC2 Prod'!$A$6:$BP$36,[2]Consolidated!O$1)</f>
        <v>0</v>
      </c>
      <c r="P79" s="34">
        <f>VLOOKUP($B79&amp;$C79,'[1]FC2 Prod'!$A$6:$BP$36,[2]Consolidated!P$1)</f>
        <v>9</v>
      </c>
      <c r="Q79" s="29">
        <f>VLOOKUP($B79&amp;$C79,'[1]FC2 Prod'!$A$6:$BP$36,[2]Consolidated!Q$1)</f>
        <v>0</v>
      </c>
      <c r="R79" s="29">
        <f>VLOOKUP($B79&amp;$C79,'[1]FC2 Prod'!$A$6:$BP$36,[2]Consolidated!R$1)</f>
        <v>0</v>
      </c>
      <c r="S79" s="34" t="e">
        <f>VLOOKUP($B79&amp;$C79,'[1]FC2 Prod'!$A$6:$BP$36,[2]Consolidated!S$1)</f>
        <v>#REF!</v>
      </c>
      <c r="T79" s="34" t="e">
        <f>VLOOKUP($B79&amp;$C79,'[1]FC2 Prod'!$A$6:$BP$36,[2]Consolidated!T$1)</f>
        <v>#REF!</v>
      </c>
      <c r="U79" s="34" t="e">
        <f>VLOOKUP($B79&amp;$C79,'[1]FC2 Prod'!$A$6:$BP$36,[2]Consolidated!U$1)</f>
        <v>#REF!</v>
      </c>
      <c r="V79" s="34">
        <f>VLOOKUP($B79&amp;$C79,'[1]FC2 Prod'!$A$6:$BP$36,[2]Consolidated!V$1)</f>
        <v>0</v>
      </c>
      <c r="W79" s="29">
        <f>VLOOKUP($B79&amp;$C79,'[1]FC2 Prod'!$A$6:$BP$36,[2]Consolidated!W$1)</f>
        <v>0</v>
      </c>
      <c r="X79" s="35">
        <f>VLOOKUP($B79&amp;$C79,'[1]FC2 Prod'!$A$6:$BP$36,[2]Consolidated!X$1)</f>
        <v>0</v>
      </c>
      <c r="Y79" s="36">
        <f>VLOOKUP($B79&amp;$C79,'[1]FC2 Prod'!$A$6:$BP$36,[2]Consolidated!Y$1)</f>
        <v>0</v>
      </c>
      <c r="Z79" s="37" t="e">
        <f>VLOOKUP($B79&amp;$C79,'[1]FC2 Prod'!$A$6:$BP$36,[2]Consolidated!Z$1)</f>
        <v>#REF!</v>
      </c>
      <c r="AA79" s="31">
        <f>VLOOKUP($B79&amp;$C79,'[1]FC2 Prod'!$A$6:$BP$36,[2]Consolidated!AA$1)</f>
        <v>0</v>
      </c>
      <c r="AB79" s="31">
        <f>VLOOKUP($B79&amp;$C79,'[1]FC2 Prod'!$A$6:$BP$36,[2]Consolidated!AB$1)</f>
        <v>0</v>
      </c>
      <c r="AC79" s="31">
        <f>VLOOKUP($B79&amp;$C79,'[1]FC2 Prod'!$A$6:$BP$36,[2]Consolidated!AC$1)</f>
        <v>0</v>
      </c>
      <c r="AD79" s="38">
        <f>VLOOKUP($B79&amp;$C79,'[1]FC2 Prod'!$A$6:$BP$36,[2]Consolidated!AD$1)</f>
        <v>0</v>
      </c>
      <c r="AE79" s="38">
        <f>VLOOKUP($B79&amp;$C79,'[1]FC2 Prod'!$A$6:$BP$36,[2]Consolidated!AE$1)</f>
        <v>0</v>
      </c>
      <c r="AF79" s="39">
        <f>VLOOKUP($B79&amp;$C79,'[1]FC2 Prod'!$A$6:$BP$36,[2]Consolidated!AF$1)</f>
        <v>0</v>
      </c>
      <c r="AG79" s="39">
        <f>VLOOKUP($B79&amp;$C79,'[1]FC2 Prod'!$A$6:$BP$36,[2]Consolidated!AG$1)</f>
        <v>0</v>
      </c>
      <c r="AH79" s="34">
        <f>VLOOKUP($B79&amp;$C79,'[1]FC2 Prod'!$A$6:$BP$36,[2]Consolidated!AH$1)</f>
        <v>0</v>
      </c>
      <c r="AI79" s="33">
        <f>VLOOKUP($B79&amp;$C79,'[1]FC2 Prod'!$A$6:$BP$36,[2]Consolidated!AI$1)</f>
        <v>0</v>
      </c>
      <c r="AJ79" s="39">
        <f>VLOOKUP($B79&amp;$C79,'[1]FC2 Prod'!$A$6:$BP$36,[2]Consolidated!AJ$1)</f>
        <v>0</v>
      </c>
      <c r="AK79" s="39">
        <f>VLOOKUP($B79&amp;$C79,'[1]FC2 Prod'!$A$6:$BP$36,[2]Consolidated!AK$1)</f>
        <v>0</v>
      </c>
      <c r="AL79" s="40" t="e">
        <f>VLOOKUP($B79&amp;$C79,'[1]FC2 Prod'!$A$6:$BP$36,[2]Consolidated!AL$1)</f>
        <v>#REF!</v>
      </c>
      <c r="AM79" s="41">
        <f>VLOOKUP($B79&amp;$C79,'[1]FC2 Prod'!$A$6:$BP$36,[2]Consolidated!AM$1)</f>
        <v>0</v>
      </c>
      <c r="AN79" s="42" t="e">
        <f>VLOOKUP($B79&amp;$C79,'[1]FC2 Prod'!$A$6:$BP$36,[2]Consolidated!AN$1)</f>
        <v>#REF!</v>
      </c>
      <c r="AO79" s="43" t="e">
        <f>VLOOKUP($B79&amp;$C79,'[1]FC2 Prod'!$A$6:$BP$36,[2]Consolidated!AO$1)</f>
        <v>#REF!</v>
      </c>
      <c r="AP79" s="44">
        <f>VLOOKUP($B79&amp;$C79,'[1]FC2 Prod'!$A$6:$BP$36,[2]Consolidated!AP$1)</f>
        <v>0</v>
      </c>
      <c r="AQ79" s="44">
        <f>VLOOKUP($B79&amp;$C79,'[1]FC2 Prod'!$A$6:$BP$36,[2]Consolidated!AQ$1)</f>
        <v>0</v>
      </c>
      <c r="AR79" s="45">
        <f>VLOOKUP($B79&amp;$C79,'[1]FC2 Prod'!$A$6:$BP$36,[2]Consolidated!AR$1)</f>
        <v>0</v>
      </c>
      <c r="AS79" s="46">
        <f>VLOOKUP($B79&amp;$C79,'[1]FC2 Prod'!$A$6:$BP$36,[2]Consolidated!AS$1)</f>
        <v>0</v>
      </c>
      <c r="AT79" s="29">
        <f>VLOOKUP($B79&amp;$C79,'[1]FC2 Prod'!$A$6:$BP$36,[2]Consolidated!AT$1)</f>
        <v>0</v>
      </c>
      <c r="AU79" s="34">
        <f>VLOOKUP($B79&amp;$C79,'[1]FC2 Prod'!$A$6:$BP$36,[2]Consolidated!AU$1)</f>
        <v>0</v>
      </c>
      <c r="AV79" s="34">
        <f>VLOOKUP($B79&amp;$C79,'[1]FC2 Prod'!$A$6:$BP$36,[2]Consolidated!AV$1)</f>
        <v>0</v>
      </c>
      <c r="AW79" s="47">
        <f>VLOOKUP($B79&amp;$C79,'[1]FC2 Prod'!$A$6:$BP$36,[2]Consolidated!AW$1)</f>
        <v>0</v>
      </c>
      <c r="AX79" s="47">
        <f>VLOOKUP($B79&amp;$C79,'[1]FC2 Prod'!$A$6:$BP$36,[2]Consolidated!AX$1)</f>
        <v>0</v>
      </c>
      <c r="AY79" s="48">
        <f>VLOOKUP($B79&amp;$C79,'[1]FC2 Prod'!$A$6:$BP$36,[2]Consolidated!AY$1)</f>
        <v>0</v>
      </c>
      <c r="AZ79" s="47">
        <f>VLOOKUP($B79&amp;$C79,'[1]FC2 Prod'!$A$6:$BP$36,[2]Consolidated!AZ$1)</f>
        <v>0</v>
      </c>
      <c r="BA79" s="47">
        <f>VLOOKUP($B79&amp;$C79,'[1]FC2 Prod'!$A$6:$BP$36,[2]Consolidated!BA$1)</f>
        <v>0</v>
      </c>
      <c r="BB79" s="47">
        <f>VLOOKUP($B79&amp;$C79,'[1]FC2 Prod'!$A$6:$BP$36,[2]Consolidated!BB$1)</f>
        <v>0</v>
      </c>
      <c r="BC79" s="47">
        <f>VLOOKUP($B79&amp;$C79,'[1]FC2 Prod'!$A$6:$BP$36,[2]Consolidated!BC$1)</f>
        <v>0</v>
      </c>
      <c r="BD79" s="49">
        <f>VLOOKUP($B79&amp;$C79,'[1]FC2 Prod'!$A$6:$BP$36,[2]Consolidated!BD$1)</f>
        <v>0</v>
      </c>
      <c r="BE79" s="47">
        <f>VLOOKUP($B79&amp;$C79,'[1]FC2 Prod'!$A$6:$BP$36,[2]Consolidated!BE$1)</f>
        <v>0</v>
      </c>
      <c r="BF79" s="47">
        <f>VLOOKUP($B79&amp;$C79,'[1]FC2 Prod'!$A$6:$BP$36,[2]Consolidated!BF$1)</f>
        <v>0</v>
      </c>
      <c r="BG79" s="50">
        <f>VLOOKUP($B79&amp;$C79,'[1]FC2 Prod'!$A$6:$BP$36,[2]Consolidated!BG$1)</f>
        <v>0</v>
      </c>
      <c r="BH79" s="50">
        <f>VLOOKUP($B79&amp;$C79,'[1]FC2 Prod'!$A$6:$BP$36,[2]Consolidated!BH$1)</f>
        <v>0</v>
      </c>
      <c r="BI79" s="50">
        <f>VLOOKUP($B79&amp;$C79,'[1]FC2 Prod'!$A$6:$BP$36,[2]Consolidated!BI$1)</f>
        <v>0</v>
      </c>
      <c r="BJ79" s="37" t="e">
        <f>VLOOKUP($B79&amp;$C79,'[1]FC2 Prod'!$A$6:$BP$36,[2]Consolidated!BJ$1)</f>
        <v>#REF!</v>
      </c>
      <c r="BK79" s="37" t="e">
        <f>VLOOKUP($B79&amp;$C79,'[1]FC2 Prod'!$A$6:$BP$36,[2]Consolidated!BK$1)</f>
        <v>#REF!</v>
      </c>
      <c r="BL79" s="37" t="e">
        <f>VLOOKUP($B79&amp;$C79,'[1]FC2 Prod'!$A$6:$BP$36,[2]Consolidated!BL$1)</f>
        <v>#REF!</v>
      </c>
      <c r="BM79" s="37" t="e">
        <f>VLOOKUP($B79&amp;$C79,'[1]FC2 Prod'!$A$6:$BP$36,[2]Consolidated!BM$1)</f>
        <v>#REF!</v>
      </c>
      <c r="BN79" s="37" t="e">
        <f>VLOOKUP($B79&amp;$C79,'[1]FC2 Prod'!$A$6:$BP$36,[2]Consolidated!BN$1)</f>
        <v>#REF!</v>
      </c>
      <c r="BO79" s="37" t="e">
        <f>VLOOKUP($B79&amp;$C79,'[1]FC2 Prod'!$A$6:$BP$36,[2]Consolidated!BO$1)</f>
        <v>#REF!</v>
      </c>
      <c r="BP79" s="37" t="e">
        <f>VLOOKUP($B79&amp;$C79,'[1]FC2 Prod'!$A$6:$BP$36,[2]Consolidated!BP$1)</f>
        <v>#REF!</v>
      </c>
      <c r="BQ79" s="29" t="e">
        <f>VLOOKUP($B79&amp;$C79,'[1]FC2 Prod'!$A$6:$BP$36,[2]Consolidated!BQ$1)</f>
        <v>#REF!</v>
      </c>
      <c r="BR79" s="51">
        <f>VLOOKUP($B79&amp;$C79,'[1]FC2 Prod'!$A$6:$BQ$36,[2]Consolidated!BR$1)</f>
        <v>68163</v>
      </c>
      <c r="BS79" s="52">
        <f t="shared" si="95"/>
        <v>0</v>
      </c>
      <c r="BT79" s="32">
        <f>BR79-BS79</f>
        <v>68163</v>
      </c>
      <c r="BU79" s="37">
        <f>E79*BT79</f>
        <v>0</v>
      </c>
      <c r="BV79" s="53" t="s">
        <v>132</v>
      </c>
      <c r="BW79" s="54" cm="1">
        <f t="array" ref="BW79">IFERROR(VLOOKUP($A79,TRANSPOSE('[1]Fur 2 PLC'!$AR$1:$BV$38),8,0),0)</f>
        <v>0</v>
      </c>
      <c r="BX79" s="54" cm="1">
        <f t="array" ref="BX79">IFERROR(VLOOKUP($A79,TRANSPOSE('[1]Fur 2 PLC'!$AR$1:$BV$38),30,0),0)</f>
        <v>0</v>
      </c>
      <c r="BY79" s="54" cm="1">
        <f t="array" ref="BY79">IFERROR(VLOOKUP($A79,TRANSPOSE('[1]Fur 2 PLC'!$AR$1:$BV$38),14,0),0)</f>
        <v>0</v>
      </c>
      <c r="BZ79" s="54" cm="1">
        <f t="array" ref="BZ79">IFERROR(VLOOKUP($A79,TRANSPOSE('[1]Fur 2 PLC'!$AR$1:$BV$38),16,0),0)</f>
        <v>0</v>
      </c>
      <c r="CA79" s="54" cm="1">
        <f t="array" ref="CA79">IFERROR(VLOOKUP($A79,TRANSPOSE('[1]Fur 2 PLC'!$AR$1:$BV$38),9,0),0)</f>
        <v>0</v>
      </c>
      <c r="CB79" s="54" cm="1">
        <f t="array" ref="CB79">IFERROR(VLOOKUP($A79,TRANSPOSE('[1]Fur 2 PLC'!$AR$1:$BV$38),17,0),0)</f>
        <v>0</v>
      </c>
      <c r="CC79" s="54" cm="1">
        <f t="array" ref="CC79">IFERROR(VLOOKUP($A79,TRANSPOSE('[1]Fur 2 PLC'!$AR$1:$BV$38),20,0),0)</f>
        <v>0</v>
      </c>
      <c r="CD79" s="54" cm="1">
        <f t="array" ref="CD79">IFERROR(VLOOKUP($A79,TRANSPOSE('[1]Fur 2 PLC'!$AR$1:$BV$38),28,0),0)</f>
        <v>0</v>
      </c>
      <c r="CE79" s="54" cm="1">
        <f t="array" ref="CE79">IFERROR(VLOOKUP($A79,TRANSPOSE('[1]Fur 2 PLC'!$AR$1:$BV$38),13,0),0)</f>
        <v>0</v>
      </c>
      <c r="CF79" s="54" cm="1">
        <f t="array" ref="CF79">IFERROR(VLOOKUP($A79,TRANSPOSE('[1]Fur 2 PLC'!$AR$1:$BV$38),37,0),0)</f>
        <v>0</v>
      </c>
      <c r="CG79" s="54" cm="1">
        <f t="array" ref="CG79">IFERROR(VLOOKUP($A79,TRANSPOSE('[1]Fur 2 PLC'!$AR$1:$BV$38),6,0),0)</f>
        <v>0</v>
      </c>
      <c r="CH79" s="54" cm="1">
        <f t="array" ref="CH79">IFERROR(VLOOKUP($A79,TRANSPOSE('[1]Fur 2 PLC'!$AR$1:$BV$38),21,0),0)</f>
        <v>0</v>
      </c>
      <c r="CI79" s="54" cm="1">
        <f t="array" ref="CI79">IFERROR(VLOOKUP($A79,TRANSPOSE('[1]Fur 2 PLC'!$AR$1:$BV$38),12,0),0)</f>
        <v>0</v>
      </c>
      <c r="CJ79" s="54" cm="1">
        <f t="array" ref="CJ79">IFERROR(VLOOKUP($A79,TRANSPOSE('[1]Fur 2 PLC'!$AR$1:$BV$38),25,0),0)</f>
        <v>0</v>
      </c>
      <c r="CK79" s="54" cm="1">
        <f t="array" ref="CK79">IFERROR(VLOOKUP($A79,TRANSPOSE('[1]Fur 2 PLC'!$AR$1:$BV$38),26,0),0)</f>
        <v>0</v>
      </c>
      <c r="CL79" s="54" cm="1">
        <f t="array" ref="CL79">IFERROR(VLOOKUP($A79,TRANSPOSE('[1]Fur 2 PLC'!$AR$1:$BV$38),27,0),0)</f>
        <v>0</v>
      </c>
      <c r="CM79" s="54" cm="1">
        <f t="array" ref="CM79">IFERROR(VLOOKUP($A79,TRANSPOSE('[1]Fur 2 PLC'!$AR$1:$BV$38),22,0),0)</f>
        <v>0</v>
      </c>
      <c r="CN79" s="54"/>
      <c r="CO79" s="54" cm="1">
        <f t="array" ref="CO79">IFERROR(VLOOKUP($A79,TRANSPOSE('[1]Fur 2 PLC'!$AR$1:$BV$38),29,0),0)</f>
        <v>0</v>
      </c>
      <c r="CP79" s="54" cm="1">
        <f t="array" ref="CP79">IFERROR(VLOOKUP($A79,TRANSPOSE('[1]Fur 2 PLC'!$AR$1:$BV$38),10,0),0)</f>
        <v>0</v>
      </c>
      <c r="CQ79" s="54" cm="1">
        <f t="array" ref="CQ79">IFERROR(VLOOKUP($A79,TRANSPOSE('[1]Fur 2 PLC'!$AR$1:$BV$38),7,0),0)</f>
        <v>0</v>
      </c>
      <c r="CR79" s="54" cm="1">
        <f t="array" ref="CR79">IFERROR(VLOOKUP($A79,TRANSPOSE('[1]Fur 2 PLC'!$AR$1:$BV$38),35,0),0)</f>
        <v>0</v>
      </c>
      <c r="CS79" s="54" cm="1">
        <f t="array" ref="CS79">IFERROR(VLOOKUP($A79,TRANSPOSE('[1]Fur 2 PLC'!$AR$1:$BV$38),11,0),0)</f>
        <v>0</v>
      </c>
      <c r="CT79" s="54" cm="1">
        <f t="array" ref="CT79">IFERROR(VLOOKUP($A79,TRANSPOSE('[1]Fur 2 PLC'!$AR$1:$BV$38),19,0),0)</f>
        <v>0</v>
      </c>
      <c r="CU79" s="54" cm="1">
        <f t="array" ref="CU79">IFERROR(VLOOKUP($A79,TRANSPOSE('[1]Fur 2 PLC'!$AR$1:$BV$38),18,0),0)</f>
        <v>0</v>
      </c>
      <c r="CV79" s="54" cm="1">
        <f t="array" ref="CV79">IFERROR(VLOOKUP($A79,TRANSPOSE('[1]Fur 2 PLC'!$AR$1:$BV$38),15,0),0)</f>
        <v>0</v>
      </c>
      <c r="CW79" s="54" cm="1">
        <f t="array" ref="CW79">IFERROR(VLOOKUP($A79,TRANSPOSE('[1]Fur 2 PLC'!$CI$1:$DM$38),8,0),0)</f>
        <v>0</v>
      </c>
      <c r="CX79" s="54" cm="1">
        <f t="array" ref="CX79">IFERROR(VLOOKUP($A79,TRANSPOSE('[1]Fur 2 PLC'!$CI$1:$DM$38),30,0),0)</f>
        <v>0</v>
      </c>
      <c r="CY79" s="54" cm="1">
        <f t="array" ref="CY79">IFERROR(VLOOKUP($A79,TRANSPOSE('[1]Fur 2 PLC'!$CI$1:$DM$38),14,0),0)</f>
        <v>0</v>
      </c>
      <c r="CZ79" s="54" cm="1">
        <f t="array" ref="CZ79">IFERROR(VLOOKUP($A79,TRANSPOSE('[1]Fur 2 PLC'!$CI$1:$DM$38),16,0),0)</f>
        <v>0</v>
      </c>
      <c r="DA79" s="54" cm="1">
        <f t="array" ref="DA79">IFERROR(VLOOKUP($A79,TRANSPOSE('[1]Fur 2 PLC'!$CI$1:$DM$38),9,0),0)</f>
        <v>0</v>
      </c>
      <c r="DB79" s="55" cm="1">
        <f t="array" ref="DB79">IFERROR(VLOOKUP($A79,TRANSPOSE('[1]Fur 2 PLC'!$CI$1:$DM$38),17,0),0)</f>
        <v>0</v>
      </c>
      <c r="DC79" s="55" cm="1">
        <f t="array" ref="DC79">IFERROR(VLOOKUP($A79,TRANSPOSE('[1]Fur 2 PLC'!$CI$1:$DM$38),20,0),0)</f>
        <v>0</v>
      </c>
      <c r="DD79" s="54" cm="1">
        <f t="array" ref="DD79">IFERROR(VLOOKUP($A79,TRANSPOSE('[1]Fur 2 PLC'!$CI$1:$DM$38),28,0),0)</f>
        <v>0</v>
      </c>
      <c r="DE79" s="54" cm="1">
        <f t="array" ref="DE79">IFERROR(VLOOKUP($A79,TRANSPOSE('[1]Fur 2 PLC'!$CI$1:$DM$38),13,0),0)</f>
        <v>0</v>
      </c>
      <c r="DF79" s="54" cm="1">
        <f t="array" ref="DF79">IFERROR(VLOOKUP($A79,TRANSPOSE('[1]Fur 2 PLC'!$CI$1:$DM$38),37,0),0)</f>
        <v>0</v>
      </c>
      <c r="DG79" s="54" cm="1">
        <f t="array" ref="DG79">IFERROR(VLOOKUP($A79,TRANSPOSE('[1]Fur 2 PLC'!$CI$1:$DM$38),6,0),0)</f>
        <v>0</v>
      </c>
      <c r="DH79" s="54" cm="1">
        <f t="array" ref="DH79">IFERROR(VLOOKUP($A79,TRANSPOSE('[1]Fur 2 PLC'!$CI$1:$DM$38),21,0),0)</f>
        <v>0</v>
      </c>
      <c r="DI79" s="54" cm="1">
        <f t="array" ref="DI79">IFERROR(VLOOKUP($A79,TRANSPOSE('[1]Fur 2 PLC'!$CI$1:$DM$38),12,0),0)</f>
        <v>0</v>
      </c>
      <c r="DJ79" s="54" cm="1">
        <f t="array" ref="DJ79">IFERROR(VLOOKUP($A79,TRANSPOSE('[1]Fur 2 PLC'!$CI$1:$DM$38),25,0),0)</f>
        <v>0</v>
      </c>
      <c r="DK79" s="54" cm="1">
        <f t="array" ref="DK79">IFERROR(VLOOKUP($A79,TRANSPOSE('[1]Fur 2 PLC'!$CI$1:$DM$38),26,0),0)</f>
        <v>0</v>
      </c>
      <c r="DL79" s="54" cm="1">
        <f t="array" ref="DL79">IFERROR(VLOOKUP($A79,TRANSPOSE('[1]Fur 2 PLC'!$CI$1:$DM$38),27,0),0)</f>
        <v>0</v>
      </c>
      <c r="DM79" s="54" cm="1">
        <f t="array" ref="DM79">IFERROR(VLOOKUP($A79,TRANSPOSE('[1]Fur 2 PLC'!$CI$1:$DM$38),22,0),0)</f>
        <v>0</v>
      </c>
      <c r="DN79" s="54" cm="1">
        <f t="array" ref="DN79">IFERROR(VLOOKUP($A79,TRANSPOSE('[1]Fur 2 PLC'!$CI$1:$DM$38),19,0),0)</f>
        <v>0</v>
      </c>
      <c r="DO79" s="54" cm="1">
        <f t="array" ref="DO79">IFERROR(VLOOKUP($A79,TRANSPOSE('[1]Fur 2 PLC'!$CI$1:$DM$38),29,0),0)</f>
        <v>0</v>
      </c>
      <c r="DP79" s="54" cm="1">
        <f t="array" ref="DP79">IFERROR(VLOOKUP($A79,TRANSPOSE('[1]Fur 2 PLC'!$CI$1:$DM$38),10,0),0)</f>
        <v>0</v>
      </c>
      <c r="DQ79" s="54" cm="1">
        <f t="array" ref="DQ79">IFERROR(VLOOKUP($A79,TRANSPOSE('[1]Fur 2 PLC'!$CI$1:$DM$38),7,0),0)</f>
        <v>0</v>
      </c>
      <c r="DR79" s="54" cm="1">
        <f t="array" ref="DR79">IFERROR(VLOOKUP($A79,TRANSPOSE('[1]Fur 2 PLC'!$CI$1:$DM$38),35,0),0)</f>
        <v>0</v>
      </c>
      <c r="DS79" s="54" cm="1">
        <f t="array" ref="DS79">IFERROR(VLOOKUP($A79,TRANSPOSE('[1]Fur 2 PLC'!$CI$1:$DM$38),11,0),0)</f>
        <v>0</v>
      </c>
      <c r="DT79" s="54" cm="1">
        <f t="array" ref="DT79">IFERROR(VLOOKUP($A79,TRANSPOSE('[1]Fur 2 PLC'!$CI$1:$DM$38),19,0),0)</f>
        <v>0</v>
      </c>
      <c r="DU79" s="54" cm="1">
        <f t="array" ref="DU79">IFERROR(VLOOKUP($A79,TRANSPOSE('[1]Fur 2 PLC'!$CI$1:$DM$38),18,0),0)</f>
        <v>0</v>
      </c>
      <c r="DV79" s="54" cm="1">
        <f t="array" ref="DV79">IFERROR(VLOOKUP($A79,TRANSPOSE('[1]Fur 2 PLC'!$CI$1:$DM$38),15,0),0)</f>
        <v>0</v>
      </c>
      <c r="DW79" t="str">
        <f t="shared" ref="DW79:DW81" si="96">TEXT(C79,"Mmm-yy")</f>
        <v>Dec-25</v>
      </c>
    </row>
    <row r="80" spans="1:127" x14ac:dyDescent="0.3">
      <c r="A80" s="28" t="str">
        <f t="shared" si="59"/>
        <v>F346011</v>
      </c>
      <c r="B80" s="29" t="s">
        <v>28</v>
      </c>
      <c r="C80" s="30">
        <f>C79</f>
        <v>46011</v>
      </c>
      <c r="D80" s="29" t="str">
        <f>VLOOKUP($B80&amp;$C80,'[1]FC3 Prod'!$A$6:$BP$36,[2]Consolidated!D$1)</f>
        <v>Mr. Ajay Singh</v>
      </c>
      <c r="E80" s="29">
        <f>VLOOKUP($B80&amp;$C80,'[1]FC3 Prod'!$A$6:$BP$36,[2]Consolidated!E$1)</f>
        <v>0</v>
      </c>
      <c r="F80" s="31">
        <f>VLOOKUP($B80&amp;$C80,'[1]FC3 Prod'!$A$6:$BP$36,[2]Consolidated!F$1)</f>
        <v>0</v>
      </c>
      <c r="G80" s="32" t="e">
        <f>VLOOKUP($B80&amp;$C80,'[1]FC3 Prod'!$A$6:$BP$36,[2]Consolidated!G$1)</f>
        <v>#REF!</v>
      </c>
      <c r="H80" s="32">
        <f>VLOOKUP($B80&amp;$C80,'[1]FC3 Prod'!$A$6:$BP$36,[2]Consolidated!H$1)</f>
        <v>0</v>
      </c>
      <c r="I80" s="32">
        <f>VLOOKUP($B80&amp;$C80,'[1]FC3 Prod'!$A$6:$BP$36,[2]Consolidated!I$1)</f>
        <v>0</v>
      </c>
      <c r="J80" s="32">
        <f>VLOOKUP($B80&amp;$C80,'[1]FC3 Prod'!$A$6:$BP$36,[2]Consolidated!J$1)</f>
        <v>0</v>
      </c>
      <c r="K80" s="32">
        <f>VLOOKUP($B80&amp;$C80,'[1]FC3 Prod'!$A$6:$BP$36,[2]Consolidated!K$1)</f>
        <v>0</v>
      </c>
      <c r="L80" s="32">
        <f>VLOOKUP($B80&amp;$C80,'[1]FC3 Prod'!$A$6:$BP$36,[2]Consolidated!L$1)</f>
        <v>0</v>
      </c>
      <c r="M80" s="32">
        <f>VLOOKUP($B80&amp;$C80,'[1]FC3 Prod'!$A$6:$BP$36,[2]Consolidated!M$1)</f>
        <v>0</v>
      </c>
      <c r="N80" s="32">
        <f>VLOOKUP($B80&amp;$C80,'[1]FC3 Prod'!$A$6:$BP$36,[2]Consolidated!N$1)</f>
        <v>0</v>
      </c>
      <c r="O80" s="32">
        <f>VLOOKUP($B80&amp;$C80,'[1]FC3 Prod'!$A$6:$BP$36,[2]Consolidated!O$1)</f>
        <v>0</v>
      </c>
      <c r="P80" s="33">
        <f>VLOOKUP($B80&amp;$C80,'[1]FC3 Prod'!$A$6:$BP$36,[2]Consolidated!P$1)</f>
        <v>8</v>
      </c>
      <c r="Q80" s="29">
        <f>VLOOKUP($B80&amp;$C80,'[1]FC3 Prod'!$A$6:$BP$36,[2]Consolidated!Q$1)</f>
        <v>0</v>
      </c>
      <c r="R80" s="29">
        <f>VLOOKUP($B80&amp;$C80,'[1]FC3 Prod'!$A$6:$BP$36,[2]Consolidated!R$1)</f>
        <v>0</v>
      </c>
      <c r="S80" s="34" t="e">
        <f>VLOOKUP($B80&amp;$C80,'[1]FC3 Prod'!$A$6:$BP$36,[2]Consolidated!S$1)</f>
        <v>#REF!</v>
      </c>
      <c r="T80" s="34" t="e">
        <f>VLOOKUP($B80&amp;$C80,'[1]FC3 Prod'!$A$6:$BP$36,[2]Consolidated!T$1)</f>
        <v>#REF!</v>
      </c>
      <c r="U80" s="34" t="e">
        <f>VLOOKUP($B80&amp;$C80,'[1]FC3 Prod'!$A$6:$BP$36,[2]Consolidated!U$1)</f>
        <v>#REF!</v>
      </c>
      <c r="V80" s="34">
        <f>VLOOKUP($B80&amp;$C80,'[1]FC3 Prod'!$A$6:$BP$36,[2]Consolidated!V$1)</f>
        <v>0</v>
      </c>
      <c r="W80" s="35">
        <f>VLOOKUP($B80&amp;$C80,'[1]FC3 Prod'!$A$6:$BP$36,[2]Consolidated!W$1)</f>
        <v>0</v>
      </c>
      <c r="X80" s="35">
        <f>VLOOKUP($B80&amp;$C80,'[1]FC3 Prod'!$A$6:$BP$36,[2]Consolidated!X$1)</f>
        <v>0</v>
      </c>
      <c r="Y80" s="36">
        <f>VLOOKUP($B80&amp;$C80,'[1]FC3 Prod'!$A$6:$BP$36,[2]Consolidated!Y$1)</f>
        <v>0</v>
      </c>
      <c r="Z80" s="37" t="e">
        <f>VLOOKUP($B80&amp;$C80,'[1]FC3 Prod'!$A$6:$BP$36,[2]Consolidated!Z$1)</f>
        <v>#REF!</v>
      </c>
      <c r="AA80" s="31">
        <f>VLOOKUP($B80&amp;$C80,'[1]FC3 Prod'!$A$6:$BP$36,[2]Consolidated!AA$1)</f>
        <v>0</v>
      </c>
      <c r="AB80" s="31">
        <f>VLOOKUP($B80&amp;$C80,'[1]FC3 Prod'!$A$6:$BP$36,[2]Consolidated!AB$1)</f>
        <v>0</v>
      </c>
      <c r="AC80" s="31" t="e">
        <f>VLOOKUP($B80&amp;$C80,'[1]FC3 Prod'!$A$6:$BP$36,[2]Consolidated!AC$1)</f>
        <v>#REF!</v>
      </c>
      <c r="AD80" s="38">
        <f>VLOOKUP($B80&amp;$C80,'[1]FC3 Prod'!$A$6:$BP$36,[2]Consolidated!AD$1)</f>
        <v>0</v>
      </c>
      <c r="AE80" s="38">
        <f>VLOOKUP($B80&amp;$C80,'[1]FC3 Prod'!$A$6:$BP$36,[2]Consolidated!AE$1)</f>
        <v>0</v>
      </c>
      <c r="AF80" s="39">
        <f>VLOOKUP($B80&amp;$C80,'[1]FC3 Prod'!$A$6:$BP$36,[2]Consolidated!AF$1)</f>
        <v>0</v>
      </c>
      <c r="AG80" s="39">
        <f>VLOOKUP($B80&amp;$C80,'[1]FC3 Prod'!$A$6:$BP$36,[2]Consolidated!AG$1)</f>
        <v>0</v>
      </c>
      <c r="AH80" s="34">
        <f>VLOOKUP($B80&amp;$C80,'[1]FC3 Prod'!$A$6:$BP$36,[2]Consolidated!AH$1)</f>
        <v>0</v>
      </c>
      <c r="AI80" s="33">
        <f>VLOOKUP($B80&amp;$C80,'[1]FC3 Prod'!$A$6:$BP$36,[2]Consolidated!AI$1)</f>
        <v>0</v>
      </c>
      <c r="AJ80" s="39">
        <f>VLOOKUP($B80&amp;$C80,'[1]FC3 Prod'!$A$6:$BP$36,[2]Consolidated!AJ$1)</f>
        <v>0</v>
      </c>
      <c r="AK80" s="39">
        <f>VLOOKUP($B80&amp;$C80,'[1]FC3 Prod'!$A$6:$BP$36,[2]Consolidated!AK$1)</f>
        <v>0</v>
      </c>
      <c r="AL80" s="40" t="e">
        <f>VLOOKUP($B80&amp;$C80,'[1]FC3 Prod'!$A$6:$BP$36,[2]Consolidated!AL$1)</f>
        <v>#REF!</v>
      </c>
      <c r="AM80" s="41">
        <f>VLOOKUP($B80&amp;$C80,'[1]FC3 Prod'!$A$6:$BP$36,[2]Consolidated!AM$1)</f>
        <v>0</v>
      </c>
      <c r="AN80" s="42" t="e">
        <f>VLOOKUP($B80&amp;$C80,'[1]FC3 Prod'!$A$6:$BP$36,[2]Consolidated!AN$1)</f>
        <v>#REF!</v>
      </c>
      <c r="AO80" s="43" t="e">
        <f>VLOOKUP($B80&amp;$C80,'[1]FC3 Prod'!$A$6:$BP$36,[2]Consolidated!AO$1)</f>
        <v>#REF!</v>
      </c>
      <c r="AP80" s="44">
        <f>VLOOKUP($B80&amp;$C80,'[1]FC3 Prod'!$A$6:$BP$36,[2]Consolidated!AP$1)</f>
        <v>0</v>
      </c>
      <c r="AQ80" s="44">
        <f>VLOOKUP($B80&amp;$C80,'[1]FC3 Prod'!$A$6:$BP$36,[2]Consolidated!AQ$1)</f>
        <v>0</v>
      </c>
      <c r="AR80" s="45">
        <f>VLOOKUP($B80&amp;$C80,'[1]FC3 Prod'!$A$6:$BP$36,[2]Consolidated!AR$1)</f>
        <v>0</v>
      </c>
      <c r="AS80" s="46">
        <f>VLOOKUP($B80&amp;$C80,'[1]FC3 Prod'!$A$6:$BP$36,[2]Consolidated!AS$1)</f>
        <v>0</v>
      </c>
      <c r="AT80" s="29">
        <f>VLOOKUP($B80&amp;$C80,'[1]FC3 Prod'!$A$6:$BP$36,[2]Consolidated!AT$1)</f>
        <v>0</v>
      </c>
      <c r="AU80" s="34">
        <f>VLOOKUP($B80&amp;$C80,'[1]FC3 Prod'!$A$6:$BP$36,[2]Consolidated!AU$1)</f>
        <v>0</v>
      </c>
      <c r="AV80" s="34">
        <f>VLOOKUP($B80&amp;$C80,'[1]FC3 Prod'!$A$6:$BP$36,[2]Consolidated!AV$1)</f>
        <v>0</v>
      </c>
      <c r="AW80" s="47">
        <f>VLOOKUP($B80&amp;$C80,'[1]FC3 Prod'!$A$6:$BP$36,[2]Consolidated!AW$1)</f>
        <v>0</v>
      </c>
      <c r="AX80" s="47">
        <f>VLOOKUP($B80&amp;$C80,'[1]FC3 Prod'!$A$6:$BP$36,[2]Consolidated!AX$1)</f>
        <v>0</v>
      </c>
      <c r="AY80" s="48">
        <f>VLOOKUP($B80&amp;$C80,'[1]FC3 Prod'!$A$6:$BP$36,[2]Consolidated!AY$1)</f>
        <v>0</v>
      </c>
      <c r="AZ80" s="47">
        <f>VLOOKUP($B80&amp;$C80,'[1]FC3 Prod'!$A$6:$BP$36,[2]Consolidated!AZ$1)</f>
        <v>0</v>
      </c>
      <c r="BA80" s="47">
        <f>VLOOKUP($B80&amp;$C80,'[1]FC3 Prod'!$A$6:$BP$36,[2]Consolidated!BA$1)</f>
        <v>0</v>
      </c>
      <c r="BB80" s="47">
        <f>VLOOKUP($B80&amp;$C80,'[1]FC3 Prod'!$A$6:$BP$36,[2]Consolidated!BB$1)</f>
        <v>0</v>
      </c>
      <c r="BC80" s="47">
        <f>VLOOKUP($B80&amp;$C80,'[1]FC3 Prod'!$A$6:$BP$36,[2]Consolidated!BC$1)</f>
        <v>0</v>
      </c>
      <c r="BD80" s="49">
        <f>VLOOKUP($B80&amp;$C80,'[1]FC3 Prod'!$A$6:$BP$36,[2]Consolidated!BD$1)</f>
        <v>0</v>
      </c>
      <c r="BE80" s="47">
        <f>VLOOKUP($B80&amp;$C80,'[1]FC3 Prod'!$A$6:$BP$36,[2]Consolidated!BE$1)</f>
        <v>0</v>
      </c>
      <c r="BF80" s="47">
        <f>VLOOKUP($B80&amp;$C80,'[1]FC3 Prod'!$A$6:$BP$36,[2]Consolidated!BF$1)</f>
        <v>0</v>
      </c>
      <c r="BG80" s="50">
        <f>VLOOKUP($B80&amp;$C80,'[1]FC3 Prod'!$A$6:$BP$36,[2]Consolidated!BG$1)</f>
        <v>0</v>
      </c>
      <c r="BH80" s="50">
        <f>VLOOKUP($B80&amp;$C80,'[1]FC3 Prod'!$A$6:$BP$36,[2]Consolidated!BH$1)</f>
        <v>0</v>
      </c>
      <c r="BI80" s="50">
        <f>VLOOKUP($B80&amp;$C80,'[1]FC3 Prod'!$A$6:$BP$36,[2]Consolidated!BI$1)</f>
        <v>0</v>
      </c>
      <c r="BJ80" s="37" t="e">
        <f>VLOOKUP($B80&amp;$C80,'[1]FC3 Prod'!$A$6:$BP$36,[2]Consolidated!BJ$1)</f>
        <v>#REF!</v>
      </c>
      <c r="BK80" s="37" t="e">
        <f>VLOOKUP($B80&amp;$C80,'[1]FC3 Prod'!$A$6:$BP$36,[2]Consolidated!BK$1)</f>
        <v>#REF!</v>
      </c>
      <c r="BL80" s="37" t="e">
        <f>VLOOKUP($B80&amp;$C80,'[1]FC3 Prod'!$A$6:$BP$36,[2]Consolidated!BL$1)</f>
        <v>#REF!</v>
      </c>
      <c r="BM80" s="37" t="e">
        <f>VLOOKUP($B80&amp;$C80,'[1]FC3 Prod'!$A$6:$BP$36,[2]Consolidated!BM$1)</f>
        <v>#REF!</v>
      </c>
      <c r="BN80" s="37" t="e">
        <f>VLOOKUP($B80&amp;$C80,'[1]FC3 Prod'!$A$6:$BP$36,[2]Consolidated!BN$1)</f>
        <v>#REF!</v>
      </c>
      <c r="BO80" s="37" t="e">
        <f>VLOOKUP($B80&amp;$C80,'[1]FC3 Prod'!$A$6:$BP$36,[2]Consolidated!BO$1)</f>
        <v>#REF!</v>
      </c>
      <c r="BP80" s="37" t="e">
        <f>VLOOKUP($B80&amp;$C80,'[1]FC3 Prod'!$A$6:$BP$36,[2]Consolidated!BP$1)</f>
        <v>#REF!</v>
      </c>
      <c r="BQ80" s="51" t="e">
        <f>VLOOKUP($B80&amp;$C80,'[1]FC3 Prod'!$A$6:$BP$36,[2]Consolidated!BQ$1)</f>
        <v>#REF!</v>
      </c>
      <c r="BR80" s="51">
        <f>VLOOKUP($B80&amp;$C80,'[1]FC3 Prod'!$A$6:$BQ$36,[2]Consolidated!BR$1)</f>
        <v>60369</v>
      </c>
      <c r="BS80" s="52">
        <f t="shared" si="95"/>
        <v>0</v>
      </c>
      <c r="BT80" s="32">
        <f t="shared" ref="BT80:BT81" si="97">BR80-BS80</f>
        <v>60369</v>
      </c>
      <c r="BU80" s="37">
        <f t="shared" ref="BU80:BU81" si="98">E80*BT80</f>
        <v>0</v>
      </c>
      <c r="BV80" s="53" t="s">
        <v>132</v>
      </c>
      <c r="BW80" s="54" cm="1">
        <f t="array" ref="BW80">IFERROR(VLOOKUP($A80,TRANSPOSE('[1]Fur 3 PLC'!$AS$1:$BX$38),8,0),0)</f>
        <v>0</v>
      </c>
      <c r="BX80" s="54" cm="1">
        <f t="array" ref="BX80">IFERROR(VLOOKUP($A80,TRANSPOSE('[1]Fur 3 PLC'!$AS$1:$BX$38),30,0),0)</f>
        <v>0</v>
      </c>
      <c r="BY80" s="54" cm="1">
        <f t="array" ref="BY80">IFERROR(VLOOKUP($A80,TRANSPOSE('[1]Fur 3 PLC'!$AS$1:$BX$38),14,0),0)</f>
        <v>0</v>
      </c>
      <c r="BZ80" s="54" cm="1">
        <f t="array" ref="BZ80">IFERROR(VLOOKUP($A80,TRANSPOSE('[1]Fur 3 PLC'!$AS$1:$BX$38),16,0),0)</f>
        <v>0</v>
      </c>
      <c r="CA80" s="54" cm="1">
        <f t="array" ref="CA80">IFERROR(VLOOKUP($A80,TRANSPOSE('[1]Fur 3 PLC'!$AS$1:$BX$38),9,0),0)</f>
        <v>0</v>
      </c>
      <c r="CB80" s="54" cm="1">
        <f t="array" ref="CB80">IFERROR(VLOOKUP($A80,TRANSPOSE('[1]Fur 3 PLC'!$AS$1:$BX$38),17,0),0)</f>
        <v>0</v>
      </c>
      <c r="CC80" s="54" cm="1">
        <f t="array" ref="CC80">IFERROR(VLOOKUP($A80,TRANSPOSE('[1]Fur 3 PLC'!$AS$1:$BX$38),20,0),0)</f>
        <v>0</v>
      </c>
      <c r="CD80" s="54" cm="1">
        <f t="array" ref="CD80">IFERROR(VLOOKUP($A80,TRANSPOSE('[1]Fur 3 PLC'!$AS$1:$BX$38),28,0),0)</f>
        <v>0</v>
      </c>
      <c r="CE80" s="54" cm="1">
        <f t="array" ref="CE80">IFERROR(VLOOKUP($A80,TRANSPOSE('[1]Fur 3 PLC'!$AS$1:$BX$38),13,0),0)</f>
        <v>0</v>
      </c>
      <c r="CF80" s="54" cm="1">
        <f t="array" ref="CF80">IFERROR(VLOOKUP($A80,TRANSPOSE('[1]Fur 3 PLC'!$AS$1:$BX$38),37,0),0)</f>
        <v>0</v>
      </c>
      <c r="CG80" s="54" cm="1">
        <f t="array" ref="CG80">IFERROR(VLOOKUP($A80,TRANSPOSE('[1]Fur 3 PLC'!$AS$1:$BX$38),6,0),0)</f>
        <v>0</v>
      </c>
      <c r="CH80" s="54" cm="1">
        <f t="array" ref="CH80">IFERROR(VLOOKUP($A80,TRANSPOSE('[1]Fur 3 PLC'!$AS$1:$BX$38),21,0),0)</f>
        <v>0</v>
      </c>
      <c r="CI80" s="54" cm="1">
        <f t="array" ref="CI80">IFERROR(VLOOKUP($A80,TRANSPOSE('[1]Fur 3 PLC'!$AS$1:$BX$38),12,0),0)</f>
        <v>0</v>
      </c>
      <c r="CJ80" s="54" cm="1">
        <f t="array" ref="CJ80">IFERROR(VLOOKUP($A80,TRANSPOSE('[1]Fur 3 PLC'!$AS$1:$BX$38),25,0),0)</f>
        <v>0</v>
      </c>
      <c r="CK80" s="54" cm="1">
        <f t="array" ref="CK80">IFERROR(VLOOKUP($A80,TRANSPOSE('[1]Fur 3 PLC'!$AS$1:$BX$38),26,0),0)</f>
        <v>0</v>
      </c>
      <c r="CL80" s="54" cm="1">
        <f t="array" ref="CL80">IFERROR(VLOOKUP($A80,TRANSPOSE('[1]Fur 3 PLC'!$AS$1:$BX$38),27,0),0)</f>
        <v>0</v>
      </c>
      <c r="CM80" s="54" cm="1">
        <f t="array" ref="CM80">IFERROR(VLOOKUP($A80,TRANSPOSE('[1]Fur 3 PLC'!$AS$1:$BX$38),22,0),0)</f>
        <v>0</v>
      </c>
      <c r="CN80" s="54"/>
      <c r="CO80" s="54" cm="1">
        <f t="array" ref="CO80">IFERROR(VLOOKUP($A80,TRANSPOSE('[1]Fur 3 PLC'!$AS$1:$BX$38),29,0),0)</f>
        <v>0</v>
      </c>
      <c r="CP80" s="54" cm="1">
        <f t="array" ref="CP80">IFERROR(VLOOKUP($A80,TRANSPOSE('[1]Fur 3 PLC'!$AS$1:$BX$38),10,0),0)</f>
        <v>0</v>
      </c>
      <c r="CQ80" s="54" cm="1">
        <f t="array" ref="CQ80">IFERROR(VLOOKUP($A80,TRANSPOSE('[1]Fur 3 PLC'!$AS$1:$BX$38),7,0),0)</f>
        <v>0</v>
      </c>
      <c r="CR80" s="54" cm="1">
        <f t="array" ref="CR80">IFERROR(VLOOKUP($A80,TRANSPOSE('[1]Fur 3 PLC'!$AS$1:$BX$38),35,0),0)</f>
        <v>0</v>
      </c>
      <c r="CS80" s="54" cm="1">
        <f t="array" ref="CS80">IFERROR(VLOOKUP($A80,TRANSPOSE('[1]Fur 3 PLC'!$AS$1:$BX$38),11,0),0)</f>
        <v>0</v>
      </c>
      <c r="CT80" s="54" cm="1">
        <f t="array" ref="CT80">IFERROR(VLOOKUP($A80,TRANSPOSE('[1]Fur 3 PLC'!$AS$1:$BX$38),19,0),0)</f>
        <v>0</v>
      </c>
      <c r="CU80" s="54" cm="1">
        <f t="array" ref="CU80">IFERROR(VLOOKUP($A80,TRANSPOSE('[1]Fur 3 PLC'!$AS$1:$BX$38),18,0),0)</f>
        <v>0</v>
      </c>
      <c r="CV80" s="54" cm="1">
        <f t="array" ref="CV80">IFERROR(VLOOKUP($A80,TRANSPOSE('[1]Fur 3 PLC'!$AR$1:$BV$38),15,0),0)</f>
        <v>0</v>
      </c>
      <c r="CW80" s="54" cm="1">
        <f t="array" ref="CW80">IFERROR(VLOOKUP($A80,TRANSPOSE('[1]Fur 3 PLC'!$CK$1:$DO$38),8,0),0)</f>
        <v>0</v>
      </c>
      <c r="CX80" s="54" cm="1">
        <f t="array" ref="CX80">IFERROR(VLOOKUP($A80,TRANSPOSE('[1]Fur 3 PLC'!$CK$1:$DO$38),30,0),0)</f>
        <v>0</v>
      </c>
      <c r="CY80" s="54" cm="1">
        <f t="array" ref="CY80">IFERROR(VLOOKUP($A80,TRANSPOSE('[1]Fur 3 PLC'!$CK$1:$DO$38),14,0),0)</f>
        <v>0</v>
      </c>
      <c r="CZ80" s="54" cm="1">
        <f t="array" ref="CZ80">IFERROR(VLOOKUP($A80,TRANSPOSE('[1]Fur 3 PLC'!$CK$1:$DO$38),16,0),0)</f>
        <v>0</v>
      </c>
      <c r="DA80" s="54" cm="1">
        <f t="array" ref="DA80">IFERROR(VLOOKUP($A80,TRANSPOSE('[1]Fur 3 PLC'!$CK$1:$DO$38),9,0),0)</f>
        <v>0</v>
      </c>
      <c r="DB80" s="55" cm="1">
        <f t="array" ref="DB80">IFERROR(VLOOKUP($A80,TRANSPOSE('[1]Fur 3 PLC'!$CK$1:$DO$38),17,0),0)</f>
        <v>0</v>
      </c>
      <c r="DC80" s="55" cm="1">
        <f t="array" ref="DC80">IFERROR(VLOOKUP($A80,TRANSPOSE('[1]Fur 3 PLC'!$CK$1:$DO$38),20,0),0)</f>
        <v>0</v>
      </c>
      <c r="DD80" s="54" cm="1">
        <f t="array" ref="DD80">IFERROR(VLOOKUP($A80,TRANSPOSE('[1]Fur 3 PLC'!$CK$1:$DO$38),28,0),0)</f>
        <v>0</v>
      </c>
      <c r="DE80" s="54" cm="1">
        <f t="array" ref="DE80">IFERROR(VLOOKUP($A80,TRANSPOSE('[1]Fur 3 PLC'!$CK$1:$DO$38),13,0),0)</f>
        <v>0</v>
      </c>
      <c r="DF80" s="54" cm="1">
        <f t="array" ref="DF80">IFERROR(VLOOKUP($A80,TRANSPOSE('[1]Fur 3 PLC'!$CK$1:$DO$38),37,0),0)</f>
        <v>0</v>
      </c>
      <c r="DG80" s="54" cm="1">
        <f t="array" ref="DG80">IFERROR(VLOOKUP($A80,TRANSPOSE('[1]Fur 3 PLC'!$CK$1:$DO$38),6,0),0)</f>
        <v>0</v>
      </c>
      <c r="DH80" s="54" cm="1">
        <f t="array" ref="DH80">IFERROR(VLOOKUP($A80,TRANSPOSE('[1]Fur 3 PLC'!$CK$1:$DO$38),21,0),0)</f>
        <v>0</v>
      </c>
      <c r="DI80" s="54" cm="1">
        <f t="array" ref="DI80">IFERROR(VLOOKUP($A80,TRANSPOSE('[1]Fur 3 PLC'!$CK$1:$DO$38),12,0),0)</f>
        <v>0</v>
      </c>
      <c r="DJ80" s="54" cm="1">
        <f t="array" ref="DJ80">IFERROR(VLOOKUP($A80,TRANSPOSE('[1]Fur 3 PLC'!$CK$1:$DO$38),25,0),0)</f>
        <v>0</v>
      </c>
      <c r="DK80" s="54" cm="1">
        <f t="array" ref="DK80">IFERROR(VLOOKUP($A80,TRANSPOSE('[1]Fur 3 PLC'!$CK$1:$DO$38),26,0),0)</f>
        <v>0</v>
      </c>
      <c r="DL80" s="54" cm="1">
        <f t="array" ref="DL80">IFERROR(VLOOKUP($A80,TRANSPOSE('[1]Fur 3 PLC'!$CK$1:$DO$38),27,0),0)</f>
        <v>0</v>
      </c>
      <c r="DM80" s="54" cm="1">
        <f t="array" ref="DM80">IFERROR(VLOOKUP($A80,TRANSPOSE('[1]Fur 3 PLC'!$CK$1:$DO$38),22,0),0)</f>
        <v>0</v>
      </c>
      <c r="DN80" s="54" cm="1">
        <f t="array" ref="DN80">IFERROR(VLOOKUP($A80,TRANSPOSE('[1]Fur 3 PLC'!$CK$1:$DO$38),19,0),0)</f>
        <v>0</v>
      </c>
      <c r="DO80" s="54" cm="1">
        <f t="array" ref="DO80">IFERROR(VLOOKUP($A80,TRANSPOSE('[1]Fur 3 PLC'!$CK$1:$DO$38),29,0),0)</f>
        <v>0</v>
      </c>
      <c r="DP80" s="54" cm="1">
        <f t="array" ref="DP80">IFERROR(VLOOKUP($A80,TRANSPOSE('[1]Fur 3 PLC'!$CK$1:$DO$38),10,0),0)</f>
        <v>0</v>
      </c>
      <c r="DQ80" s="54" cm="1">
        <f t="array" ref="DQ80">IFERROR(VLOOKUP($A80,TRANSPOSE('[1]Fur 3 PLC'!$CK$1:$DO$38),7,0),0)</f>
        <v>0</v>
      </c>
      <c r="DR80" s="54" cm="1">
        <f t="array" ref="DR80">IFERROR(VLOOKUP($A80,TRANSPOSE('[1]Fur 3 PLC'!$CK$1:$DO$38),35,0),0)</f>
        <v>0</v>
      </c>
      <c r="DS80" s="54" cm="1">
        <f t="array" ref="DS80">IFERROR(VLOOKUP($A80,TRANSPOSE('[1]Fur 3 PLC'!$CK$1:$DO$38),11,0),0)</f>
        <v>0</v>
      </c>
      <c r="DT80" s="54" cm="1">
        <f t="array" ref="DT80">IFERROR(VLOOKUP($A80,TRANSPOSE('[1]Fur 3 PLC'!$CK$1:$DO$38),19,0),0)</f>
        <v>0</v>
      </c>
      <c r="DU80" s="54" cm="1">
        <f t="array" ref="DU80">IFERROR(VLOOKUP($A80,TRANSPOSE('[1]Fur 3 PLC'!$CK$1:$DO$38),18,0),0)</f>
        <v>0</v>
      </c>
      <c r="DV80" s="54" cm="1">
        <f t="array" ref="DV80">IFERROR(VLOOKUP($A80,TRANSPOSE('[1]Fur 3 PLC'!$CK$1:$DO$38),15,0),0)</f>
        <v>0</v>
      </c>
      <c r="DW80" t="str">
        <f t="shared" si="96"/>
        <v>Dec-25</v>
      </c>
    </row>
    <row r="81" spans="1:127" x14ac:dyDescent="0.3">
      <c r="A81" s="28" t="str">
        <f t="shared" si="59"/>
        <v>F446011</v>
      </c>
      <c r="B81" s="29" t="s">
        <v>29</v>
      </c>
      <c r="C81" s="30">
        <f>C80</f>
        <v>46011</v>
      </c>
      <c r="D81" s="29" t="str">
        <f>VLOOKUP($B81&amp;$C81,'[1]FC4 Prod'!$A$6:$BP$36,[2]Consolidated!D$1)</f>
        <v>Mr.Ganesh Ghosh Ji</v>
      </c>
      <c r="E81" s="29">
        <f>VLOOKUP($B81&amp;$C81,'[1]FC4 Prod'!$A$6:$BP$36,[2]Consolidated!E$1)</f>
        <v>0</v>
      </c>
      <c r="F81" s="31">
        <f>VLOOKUP($B81&amp;$C81,'[1]FC4 Prod'!$A$6:$BP$36,[2]Consolidated!F$1)</f>
        <v>0</v>
      </c>
      <c r="G81" s="32" t="e">
        <f>VLOOKUP($B81&amp;$C81,'[1]FC4 Prod'!$A$6:$BP$36,[2]Consolidated!G$1)</f>
        <v>#REF!</v>
      </c>
      <c r="H81" s="32">
        <f>VLOOKUP($B81&amp;$C81,'[1]FC4 Prod'!$A$6:$BP$36,[2]Consolidated!H$1)</f>
        <v>0</v>
      </c>
      <c r="I81" s="32">
        <f>VLOOKUP($B81&amp;$C81,'[1]FC4 Prod'!$A$6:$BP$36,[2]Consolidated!I$1)</f>
        <v>0</v>
      </c>
      <c r="J81" s="32">
        <f>VLOOKUP($B81&amp;$C81,'[1]FC4 Prod'!$A$6:$BP$36,[2]Consolidated!J$1)</f>
        <v>0</v>
      </c>
      <c r="K81" s="32">
        <f>VLOOKUP($B81&amp;$C81,'[1]FC4 Prod'!$A$6:$BP$36,[2]Consolidated!K$1)</f>
        <v>0</v>
      </c>
      <c r="L81" s="32">
        <f>VLOOKUP($B81&amp;$C81,'[1]FC4 Prod'!$A$6:$BP$36,[2]Consolidated!L$1)</f>
        <v>0</v>
      </c>
      <c r="M81" s="32">
        <f>VLOOKUP($B81&amp;$C81,'[1]FC4 Prod'!$A$6:$BP$36,[2]Consolidated!M$1)</f>
        <v>0</v>
      </c>
      <c r="N81" s="32">
        <f>VLOOKUP($B81&amp;$C81,'[1]FC4 Prod'!$A$6:$BP$36,[2]Consolidated!N$1)</f>
        <v>0</v>
      </c>
      <c r="O81" s="32">
        <f>VLOOKUP($B81&amp;$C81,'[1]FC4 Prod'!$A$6:$BP$36,[2]Consolidated!O$1)</f>
        <v>0</v>
      </c>
      <c r="P81" s="33">
        <f>VLOOKUP($B81&amp;$C81,'[1]FC4 Prod'!$A$6:$BP$36,[2]Consolidated!P$1)</f>
        <v>8</v>
      </c>
      <c r="Q81" s="29">
        <f>VLOOKUP($B81&amp;$C81,'[1]FC4 Prod'!$A$6:$BP$36,[2]Consolidated!Q$1)</f>
        <v>0</v>
      </c>
      <c r="R81" s="29">
        <f>VLOOKUP($B81&amp;$C81,'[1]FC4 Prod'!$A$6:$BP$36,[2]Consolidated!R$1)</f>
        <v>0</v>
      </c>
      <c r="S81" s="34" t="e">
        <f>VLOOKUP($B81&amp;$C81,'[1]FC4 Prod'!$A$6:$BP$36,[2]Consolidated!S$1)</f>
        <v>#REF!</v>
      </c>
      <c r="T81" s="34" t="e">
        <f>VLOOKUP($B81&amp;$C81,'[1]FC4 Prod'!$A$6:$BP$36,[2]Consolidated!T$1)</f>
        <v>#REF!</v>
      </c>
      <c r="U81" s="34" t="e">
        <f>VLOOKUP($B81&amp;$C81,'[1]FC4 Prod'!$A$6:$BP$36,[2]Consolidated!U$1)</f>
        <v>#REF!</v>
      </c>
      <c r="V81" s="34">
        <f>VLOOKUP($B81&amp;$C81,'[1]FC4 Prod'!$A$6:$BP$36,[2]Consolidated!V$1)</f>
        <v>0</v>
      </c>
      <c r="W81" s="35">
        <f>VLOOKUP($B81&amp;$C81,'[1]FC4 Prod'!$A$6:$BP$36,[2]Consolidated!W$1)</f>
        <v>0</v>
      </c>
      <c r="X81" s="35">
        <f>VLOOKUP($B81&amp;$C81,'[1]FC4 Prod'!$A$6:$BP$36,[2]Consolidated!X$1)</f>
        <v>0</v>
      </c>
      <c r="Y81" s="36">
        <f>VLOOKUP($B81&amp;$C81,'[1]FC4 Prod'!$A$6:$BP$36,[2]Consolidated!Y$1)</f>
        <v>0</v>
      </c>
      <c r="Z81" s="37" t="e">
        <f>VLOOKUP($B81&amp;$C81,'[1]FC4 Prod'!$A$6:$BP$36,[2]Consolidated!Z$1)</f>
        <v>#REF!</v>
      </c>
      <c r="AA81" s="31">
        <f>VLOOKUP($B81&amp;$C81,'[1]FC4 Prod'!$A$6:$BP$36,[2]Consolidated!AA$1)</f>
        <v>0</v>
      </c>
      <c r="AB81" s="31">
        <f>VLOOKUP($B81&amp;$C81,'[1]FC4 Prod'!$A$6:$BP$36,[2]Consolidated!AB$1)</f>
        <v>0</v>
      </c>
      <c r="AC81" s="31">
        <f>VLOOKUP($B81&amp;$C81,'[1]FC4 Prod'!$A$6:$BP$36,[2]Consolidated!AC$1)</f>
        <v>0</v>
      </c>
      <c r="AD81" s="38">
        <f>VLOOKUP($B81&amp;$C81,'[1]FC4 Prod'!$A$6:$BP$36,[2]Consolidated!AD$1)</f>
        <v>0</v>
      </c>
      <c r="AE81" s="38">
        <f>VLOOKUP($B81&amp;$C81,'[1]FC4 Prod'!$A$6:$BP$36,[2]Consolidated!AE$1)</f>
        <v>0</v>
      </c>
      <c r="AF81" s="39">
        <f>VLOOKUP($B81&amp;$C81,'[1]FC4 Prod'!$A$6:$BP$36,[2]Consolidated!AF$1)</f>
        <v>0</v>
      </c>
      <c r="AG81" s="39">
        <f>VLOOKUP($B81&amp;$C81,'[1]FC4 Prod'!$A$6:$BP$36,[2]Consolidated!AG$1)</f>
        <v>0</v>
      </c>
      <c r="AH81" s="34">
        <f>VLOOKUP($B81&amp;$C81,'[1]FC4 Prod'!$A$6:$BP$36,[2]Consolidated!AH$1)</f>
        <v>0</v>
      </c>
      <c r="AI81" s="33">
        <f>VLOOKUP($B81&amp;$C81,'[1]FC4 Prod'!$A$6:$BP$36,[2]Consolidated!AI$1)</f>
        <v>0</v>
      </c>
      <c r="AJ81" s="39">
        <f>VLOOKUP($B81&amp;$C81,'[1]FC4 Prod'!$A$6:$BP$36,[2]Consolidated!AJ$1)</f>
        <v>0</v>
      </c>
      <c r="AK81" s="39">
        <f>VLOOKUP($B81&amp;$C81,'[1]FC4 Prod'!$A$6:$BP$36,[2]Consolidated!AK$1)</f>
        <v>0</v>
      </c>
      <c r="AL81" s="40" t="e">
        <f>VLOOKUP($B81&amp;$C81,'[1]FC4 Prod'!$A$6:$BP$36,[2]Consolidated!AL$1)</f>
        <v>#REF!</v>
      </c>
      <c r="AM81" s="41">
        <f>VLOOKUP($B81&amp;$C81,'[1]FC4 Prod'!$A$6:$BP$36,[2]Consolidated!AM$1)</f>
        <v>0</v>
      </c>
      <c r="AN81" s="42" t="e">
        <f>VLOOKUP($B81&amp;$C81,'[1]FC4 Prod'!$A$6:$BP$36,[2]Consolidated!AN$1)</f>
        <v>#REF!</v>
      </c>
      <c r="AO81" s="43" t="e">
        <f>VLOOKUP($B81&amp;$C81,'[1]FC4 Prod'!$A$6:$BP$36,[2]Consolidated!AO$1)</f>
        <v>#REF!</v>
      </c>
      <c r="AP81" s="44">
        <f>VLOOKUP($B81&amp;$C81,'[1]FC4 Prod'!$A$6:$BP$36,[2]Consolidated!AP$1)</f>
        <v>0</v>
      </c>
      <c r="AQ81" s="44">
        <f>VLOOKUP($B81&amp;$C81,'[1]FC4 Prod'!$A$6:$BP$36,[2]Consolidated!AQ$1)</f>
        <v>0</v>
      </c>
      <c r="AR81" s="45">
        <f>VLOOKUP($B81&amp;$C81,'[1]FC4 Prod'!$A$6:$BP$36,[2]Consolidated!AR$1)</f>
        <v>0</v>
      </c>
      <c r="AS81" s="46">
        <f>VLOOKUP($B81&amp;$C81,'[1]FC4 Prod'!$A$6:$BP$36,[2]Consolidated!AS$1)</f>
        <v>0</v>
      </c>
      <c r="AT81" s="29">
        <f>VLOOKUP($B81&amp;$C81,'[1]FC4 Prod'!$A$6:$BP$36,[2]Consolidated!AT$1)</f>
        <v>0</v>
      </c>
      <c r="AU81" s="34">
        <f>VLOOKUP($B81&amp;$C81,'[1]FC4 Prod'!$A$6:$BP$36,[2]Consolidated!AU$1)</f>
        <v>0</v>
      </c>
      <c r="AV81" s="34">
        <f>VLOOKUP($B81&amp;$C81,'[1]FC4 Prod'!$A$6:$BP$36,[2]Consolidated!AV$1)</f>
        <v>0</v>
      </c>
      <c r="AW81" s="47">
        <f>VLOOKUP($B81&amp;$C81,'[1]FC4 Prod'!$A$6:$BP$36,[2]Consolidated!AW$1)</f>
        <v>0</v>
      </c>
      <c r="AX81" s="47">
        <f>VLOOKUP($B81&amp;$C81,'[1]FC4 Prod'!$A$6:$BP$36,[2]Consolidated!AX$1)</f>
        <v>0</v>
      </c>
      <c r="AY81" s="48">
        <f>VLOOKUP($B81&amp;$C81,'[1]FC4 Prod'!$A$6:$BP$36,[2]Consolidated!AY$1)</f>
        <v>0</v>
      </c>
      <c r="AZ81" s="47">
        <f>VLOOKUP($B81&amp;$C81,'[1]FC4 Prod'!$A$6:$BP$36,[2]Consolidated!AZ$1)</f>
        <v>0</v>
      </c>
      <c r="BA81" s="47">
        <f>VLOOKUP($B81&amp;$C81,'[1]FC4 Prod'!$A$6:$BP$36,[2]Consolidated!BA$1)</f>
        <v>0</v>
      </c>
      <c r="BB81" s="47">
        <f>VLOOKUP($B81&amp;$C81,'[1]FC4 Prod'!$A$6:$BP$36,[2]Consolidated!BB$1)</f>
        <v>0</v>
      </c>
      <c r="BC81" s="47">
        <f>VLOOKUP($B81&amp;$C81,'[1]FC4 Prod'!$A$6:$BP$36,[2]Consolidated!BC$1)</f>
        <v>0</v>
      </c>
      <c r="BD81" s="49">
        <f>VLOOKUP($B81&amp;$C81,'[1]FC4 Prod'!$A$6:$BP$36,[2]Consolidated!BD$1)</f>
        <v>0</v>
      </c>
      <c r="BE81" s="47">
        <f>VLOOKUP($B81&amp;$C81,'[1]FC4 Prod'!$A$6:$BP$36,[2]Consolidated!BE$1)</f>
        <v>0</v>
      </c>
      <c r="BF81" s="47">
        <f>VLOOKUP($B81&amp;$C81,'[1]FC4 Prod'!$A$6:$BP$36,[2]Consolidated!BF$1)</f>
        <v>0</v>
      </c>
      <c r="BG81" s="50">
        <f>VLOOKUP($B81&amp;$C81,'[1]FC4 Prod'!$A$6:$BP$36,[2]Consolidated!BG$1)</f>
        <v>0</v>
      </c>
      <c r="BH81" s="50">
        <f>VLOOKUP($B81&amp;$C81,'[1]FC4 Prod'!$A$6:$BP$36,[2]Consolidated!BH$1)</f>
        <v>0</v>
      </c>
      <c r="BI81" s="50">
        <f>VLOOKUP($B81&amp;$C81,'[1]FC4 Prod'!$A$6:$BP$36,[2]Consolidated!BI$1)</f>
        <v>0</v>
      </c>
      <c r="BJ81" s="37" t="e">
        <f>VLOOKUP($B81&amp;$C81,'[1]FC4 Prod'!$A$6:$BP$36,[2]Consolidated!BJ$1)</f>
        <v>#REF!</v>
      </c>
      <c r="BK81" s="37" t="e">
        <f>VLOOKUP($B81&amp;$C81,'[1]FC4 Prod'!$A$6:$BP$36,[2]Consolidated!BK$1)</f>
        <v>#REF!</v>
      </c>
      <c r="BL81" s="37" t="e">
        <f>VLOOKUP($B81&amp;$C81,'[1]FC4 Prod'!$A$6:$BP$36,[2]Consolidated!BL$1)</f>
        <v>#REF!</v>
      </c>
      <c r="BM81" s="37" t="e">
        <f>VLOOKUP($B81&amp;$C81,'[1]FC4 Prod'!$A$6:$BP$36,[2]Consolidated!BM$1)</f>
        <v>#REF!</v>
      </c>
      <c r="BN81" s="37" t="e">
        <f>VLOOKUP($B81&amp;$C81,'[1]FC4 Prod'!$A$6:$BP$36,[2]Consolidated!BN$1)</f>
        <v>#REF!</v>
      </c>
      <c r="BO81" s="37" t="e">
        <f>VLOOKUP($B81&amp;$C81,'[1]FC4 Prod'!$A$6:$BP$36,[2]Consolidated!BO$1)</f>
        <v>#REF!</v>
      </c>
      <c r="BP81" s="37" t="e">
        <f>VLOOKUP($B81&amp;$C81,'[1]FC4 Prod'!$A$6:$BP$36,[2]Consolidated!BP$1)</f>
        <v>#REF!</v>
      </c>
      <c r="BQ81" s="51" t="e">
        <f>VLOOKUP($B81&amp;$C81,'[1]FC4 Prod'!$A$6:$BP$36,[2]Consolidated!BQ$1)</f>
        <v>#REF!</v>
      </c>
      <c r="BR81" s="51">
        <f>VLOOKUP($B81&amp;$C81,'[1]FC4 Prod'!$A$6:$BQ$36,[2]Consolidated!BR$1)</f>
        <v>41644</v>
      </c>
      <c r="BS81" s="52">
        <f t="shared" ref="BS81" si="99">BE81+BF81*110%+BG81+BA81</f>
        <v>0</v>
      </c>
      <c r="BT81" s="32">
        <f t="shared" si="97"/>
        <v>41644</v>
      </c>
      <c r="BU81" s="37">
        <f t="shared" si="98"/>
        <v>0</v>
      </c>
      <c r="BV81" s="53" t="s">
        <v>132</v>
      </c>
      <c r="BW81" s="54" cm="1">
        <f t="array" ref="BW81">IFERROR(VLOOKUP($A81,TRANSPOSE('[1]Fur 4 PLC'!$AR$1:$BV$39),8,0),0)</f>
        <v>0</v>
      </c>
      <c r="BX81" s="54" cm="1">
        <f t="array" ref="BX81">IFERROR(VLOOKUP($A81,TRANSPOSE('[1]Fur 4 PLC'!$AR$1:$BV$39),30,0),0)</f>
        <v>0</v>
      </c>
      <c r="BY81" s="54" cm="1">
        <f t="array" ref="BY81">IFERROR(VLOOKUP($A81,TRANSPOSE('[1]Fur 4 PLC'!$AR$1:$BV$39),14,0),0)</f>
        <v>0</v>
      </c>
      <c r="BZ81" s="54" cm="1">
        <f t="array" ref="BZ81">IFERROR(VLOOKUP($A81,TRANSPOSE('[1]Fur 4 PLC'!$AR$1:$BV$39),16,0),0)</f>
        <v>0</v>
      </c>
      <c r="CA81" s="54" cm="1">
        <f t="array" ref="CA81">IFERROR(VLOOKUP($A81,TRANSPOSE('[1]Fur 4 PLC'!$AR$1:$BV$39),9,0),0)</f>
        <v>0</v>
      </c>
      <c r="CB81" s="54" cm="1">
        <f t="array" ref="CB81">IFERROR(VLOOKUP($A81,TRANSPOSE('[1]Fur 4 PLC'!$AR$1:$BV$39),17,0),0)</f>
        <v>0</v>
      </c>
      <c r="CC81" s="54" cm="1">
        <f t="array" ref="CC81">IFERROR(VLOOKUP($A81,TRANSPOSE('[1]Fur 4 PLC'!$AR$1:$BV$39),20,0),0)</f>
        <v>0</v>
      </c>
      <c r="CD81" s="54" cm="1">
        <f t="array" ref="CD81">IFERROR(VLOOKUP($A81,TRANSPOSE('[1]Fur 4 PLC'!$AR$1:$BV$39),28,0),0)</f>
        <v>0</v>
      </c>
      <c r="CE81" s="54" cm="1">
        <f t="array" ref="CE81">IFERROR(VLOOKUP($A81,TRANSPOSE('[1]Fur 4 PLC'!$AR$1:$BV$39),13,0),0)</f>
        <v>0</v>
      </c>
      <c r="CF81" s="54" cm="1">
        <f t="array" ref="CF81">IFERROR(VLOOKUP($A81,TRANSPOSE('[1]Fur 4 PLC'!$AR$1:$BV$39),37,0),0)</f>
        <v>0</v>
      </c>
      <c r="CG81" s="54" cm="1">
        <f t="array" ref="CG81">IFERROR(VLOOKUP($A81,TRANSPOSE('[1]Fur 4 PLC'!$AR$1:$BV$39),6,0),0)</f>
        <v>0</v>
      </c>
      <c r="CH81" s="54" cm="1">
        <f t="array" ref="CH81">IFERROR(VLOOKUP($A81,TRANSPOSE('[1]Fur 4 PLC'!$AR$1:$BV$39),21,0),0)</f>
        <v>0</v>
      </c>
      <c r="CI81" s="54" cm="1">
        <f t="array" ref="CI81">IFERROR(VLOOKUP($A81,TRANSPOSE('[1]Fur 4 PLC'!$AR$1:$BV$39),12,0),0)</f>
        <v>0</v>
      </c>
      <c r="CJ81" s="54" cm="1">
        <f t="array" ref="CJ81">IFERROR(VLOOKUP($A81,TRANSPOSE('[1]Fur 4 PLC'!$AR$1:$BV$39),25,0),0)</f>
        <v>0</v>
      </c>
      <c r="CK81" s="54" cm="1">
        <f t="array" ref="CK81">IFERROR(VLOOKUP($A81,TRANSPOSE('[1]Fur 4 PLC'!$AR$1:$BV$39),26,0),0)</f>
        <v>0</v>
      </c>
      <c r="CL81" s="54" cm="1">
        <f t="array" ref="CL81">IFERROR(VLOOKUP($A81,TRANSPOSE('[1]Fur 4 PLC'!$AR$1:$BV$39),27,0),0)</f>
        <v>0</v>
      </c>
      <c r="CM81" s="54" cm="1">
        <f t="array" ref="CM81">IFERROR(VLOOKUP($A81,TRANSPOSE('[1]Fur 4 PLC'!$AR$1:$BV$39),22,0),0)</f>
        <v>0</v>
      </c>
      <c r="CN81" s="54"/>
      <c r="CO81" s="54" cm="1">
        <f t="array" ref="CO81">IFERROR(VLOOKUP($A81,TRANSPOSE('[1]Fur 4 PLC'!$AR$1:$BV$39),29,0),0)</f>
        <v>0</v>
      </c>
      <c r="CP81" s="54" cm="1">
        <f t="array" ref="CP81">IFERROR(VLOOKUP($A81,TRANSPOSE('[1]Fur 4 PLC'!$AR$1:$BV$39),10,0),0)</f>
        <v>0</v>
      </c>
      <c r="CQ81" s="54" cm="1">
        <f t="array" ref="CQ81">IFERROR(VLOOKUP($A81,TRANSPOSE('[1]Fur 4 PLC'!$AR$1:$BV$39),7,0),0)</f>
        <v>0</v>
      </c>
      <c r="CR81" s="54" cm="1">
        <f t="array" ref="CR81">IFERROR(VLOOKUP($A81,TRANSPOSE('[1]Fur 4 PLC'!$AR$1:$BV$39),36,0),0)</f>
        <v>0</v>
      </c>
      <c r="CS81" s="54" cm="1">
        <f t="array" ref="CS81">IFERROR(VLOOKUP($A81,TRANSPOSE('[1]Fur 4 PLC'!$AR$1:$BV$39),11,0),0)</f>
        <v>0</v>
      </c>
      <c r="CT81" s="54" cm="1">
        <f t="array" ref="CT81">IFERROR(VLOOKUP($A81,TRANSPOSE('[1]Fur 4 PLC'!$AR$1:$BV$39),19,0),0)</f>
        <v>0</v>
      </c>
      <c r="CU81" s="54" cm="1">
        <f t="array" ref="CU81">IFERROR(VLOOKUP($A81,TRANSPOSE('[1]Fur 4 PLC'!$AR$1:$BV$39),18,0),0)</f>
        <v>0</v>
      </c>
      <c r="CV81" s="54" cm="1">
        <f t="array" ref="CV81">IFERROR(VLOOKUP($A81,TRANSPOSE('[1]Fur 4 PLC'!$AR$1:$BV$38),15,0),0)</f>
        <v>0</v>
      </c>
      <c r="CW81" s="54" cm="1">
        <f t="array" ref="CW81">IFERROR(VLOOKUP($A81,TRANSPOSE('[1]Fur 4 PLC'!$CK$1:$DO$39),8,0),0)</f>
        <v>0</v>
      </c>
      <c r="CX81" s="54" cm="1">
        <f t="array" ref="CX81">IFERROR(VLOOKUP($A81,TRANSPOSE('[1]Fur 4 PLC'!$CK$1:$DO$39),30,0),0)</f>
        <v>0</v>
      </c>
      <c r="CY81" s="54" cm="1">
        <f t="array" ref="CY81">IFERROR(VLOOKUP($A81,TRANSPOSE('[1]Fur 4 PLC'!$CK$1:$DO$39),14,0),0)</f>
        <v>0</v>
      </c>
      <c r="CZ81" s="54" cm="1">
        <f t="array" ref="CZ81">IFERROR(VLOOKUP($A81,TRANSPOSE('[1]Fur 4 PLC'!$CK$1:$DO$39),16,0),0)</f>
        <v>0</v>
      </c>
      <c r="DA81" s="54" cm="1">
        <f t="array" ref="DA81">IFERROR(VLOOKUP($A81,TRANSPOSE('[1]Fur 4 PLC'!$CK$1:$DO$39),9,0),0)</f>
        <v>0</v>
      </c>
      <c r="DB81" s="55" cm="1">
        <f t="array" ref="DB81">IFERROR(VLOOKUP($A81,TRANSPOSE('[1]Fur 4 PLC'!$CK$1:$DO$39),17,0),0)</f>
        <v>0</v>
      </c>
      <c r="DC81" s="55" cm="1">
        <f t="array" ref="DC81">IFERROR(VLOOKUP($A81,TRANSPOSE('[1]Fur 4 PLC'!$CK$1:$DO$39),20,0),0)</f>
        <v>0</v>
      </c>
      <c r="DD81" s="54" cm="1">
        <f t="array" ref="DD81">IFERROR(VLOOKUP($A81,TRANSPOSE('[1]Fur 4 PLC'!$CK$1:$DO$39),28,0),0)</f>
        <v>0</v>
      </c>
      <c r="DE81" s="54" cm="1">
        <f t="array" ref="DE81">IFERROR(VLOOKUP($A81,TRANSPOSE('[1]Fur 4 PLC'!$CK$1:$DO$39),13,0),0)</f>
        <v>0</v>
      </c>
      <c r="DF81" s="54" cm="1">
        <f t="array" ref="DF81">IFERROR(VLOOKUP($A81,TRANSPOSE('[1]Fur 4 PLC'!$CK$1:$DO$39),37,0),0)</f>
        <v>0</v>
      </c>
      <c r="DG81" s="54" cm="1">
        <f t="array" ref="DG81">IFERROR(VLOOKUP($A81,TRANSPOSE('[1]Fur 4 PLC'!$CK$1:$DO$39),6,0),0)</f>
        <v>0</v>
      </c>
      <c r="DH81" s="54" cm="1">
        <f t="array" ref="DH81">IFERROR(VLOOKUP($A81,TRANSPOSE('[1]Fur 4 PLC'!$CK$1:$DO$39),21,0),0)</f>
        <v>0</v>
      </c>
      <c r="DI81" s="54" cm="1">
        <f t="array" ref="DI81">IFERROR(VLOOKUP($A81,TRANSPOSE('[1]Fur 4 PLC'!$CK$1:$DO$39),12,0),0)</f>
        <v>0</v>
      </c>
      <c r="DJ81" s="54" cm="1">
        <f t="array" ref="DJ81">IFERROR(VLOOKUP($A81,TRANSPOSE('[1]Fur 4 PLC'!$CK$1:$DO$39),25,0),0)</f>
        <v>0</v>
      </c>
      <c r="DK81" s="54" cm="1">
        <f t="array" ref="DK81">IFERROR(VLOOKUP($A81,TRANSPOSE('[1]Fur 4 PLC'!$CK$1:$DO$39),26,0),0)</f>
        <v>0</v>
      </c>
      <c r="DL81" s="54" cm="1">
        <f t="array" ref="DL81">IFERROR(VLOOKUP($A81,TRANSPOSE('[1]Fur 4 PLC'!$CK$1:$DO$39),27,0),0)</f>
        <v>0</v>
      </c>
      <c r="DM81" s="54" cm="1">
        <f t="array" ref="DM81">IFERROR(VLOOKUP($A81,TRANSPOSE('[1]Fur 4 PLC'!$CK$1:$DO$39),22,0),0)</f>
        <v>0</v>
      </c>
      <c r="DN81" s="54" cm="1">
        <f t="array" ref="DN81">IFERROR(VLOOKUP($A81,TRANSPOSE('[1]Fur 4 PLC'!$CK$1:$DO$39),19,0),0)</f>
        <v>0</v>
      </c>
      <c r="DO81" s="54" cm="1">
        <f t="array" ref="DO81">IFERROR(VLOOKUP($A81,TRANSPOSE('[1]Fur 4 PLC'!$CK$1:$DO$39),29,0),0)</f>
        <v>0</v>
      </c>
      <c r="DP81" s="54" cm="1">
        <f t="array" ref="DP81">IFERROR(VLOOKUP($A81,TRANSPOSE('[1]Fur 4 PLC'!$CK$1:$DO$39),10,0),0)</f>
        <v>0</v>
      </c>
      <c r="DQ81" s="54" cm="1">
        <f t="array" ref="DQ81">IFERROR(VLOOKUP($A81,TRANSPOSE('[1]Fur 4 PLC'!$CK$1:$DO$39),7,0),0)</f>
        <v>0</v>
      </c>
      <c r="DR81" s="54" cm="1">
        <f t="array" ref="DR81">IFERROR(VLOOKUP($A81,TRANSPOSE('[1]Fur 4 PLC'!$CK$1:$DO$39),36,0),0)</f>
        <v>0</v>
      </c>
      <c r="DS81" s="54" cm="1">
        <f t="array" ref="DS81">IFERROR(VLOOKUP($A81,TRANSPOSE('[1]Fur 4 PLC'!$CK$1:$DO$39),11,0),0)</f>
        <v>0</v>
      </c>
      <c r="DT81" s="54" cm="1">
        <f t="array" ref="DT81">IFERROR(VLOOKUP($A81,TRANSPOSE('[1]Fur 4 PLC'!$CK$1:$DO$39),19,0),0)</f>
        <v>0</v>
      </c>
      <c r="DU81" s="54" cm="1">
        <f t="array" ref="DU81">IFERROR(VLOOKUP($A81,TRANSPOSE('[1]Fur 4 PLC'!$CK$1:$DO$39),18,0),0)</f>
        <v>0</v>
      </c>
      <c r="DV81" s="54" cm="1">
        <f t="array" ref="DV81">IFERROR(VLOOKUP($A81,TRANSPOSE('[1]Fur 4 PLC'!$CK$1:$DO$39),15,0),0)</f>
        <v>0</v>
      </c>
      <c r="DW81" t="str">
        <f t="shared" si="96"/>
        <v>Dec-25</v>
      </c>
    </row>
    <row r="82" spans="1:127" x14ac:dyDescent="0.3">
      <c r="A82" s="28" t="str">
        <f t="shared" si="59"/>
        <v>F146012</v>
      </c>
      <c r="B82" s="29" t="s">
        <v>26</v>
      </c>
      <c r="C82" s="30">
        <f>C78+1</f>
        <v>46012</v>
      </c>
      <c r="D82" s="29" t="str">
        <f>VLOOKUP($B82&amp;$C82,'[1]FC1 Prod'!$A$6:$BP$36,[2]Consolidated!D$1)</f>
        <v>Raju Singh</v>
      </c>
      <c r="E82" s="29">
        <f>VLOOKUP($B82&amp;$C82,'[1]FC1 Prod'!$A$6:$BP$36,[2]Consolidated!E$1)</f>
        <v>0</v>
      </c>
      <c r="F82" s="31">
        <f>VLOOKUP($B82&amp;$C82,'[1]FC1 Prod'!$A$6:$BP$36,[2]Consolidated!F$1)</f>
        <v>0</v>
      </c>
      <c r="G82" s="32" t="e">
        <f>VLOOKUP($B82&amp;$C82,'[1]FC1 Prod'!$A$6:$BP$36,[2]Consolidated!G$1)</f>
        <v>#REF!</v>
      </c>
      <c r="H82" s="32">
        <f>VLOOKUP($B82&amp;$C82,'[1]FC1 Prod'!$A$6:$BP$36,[2]Consolidated!H$1)</f>
        <v>0</v>
      </c>
      <c r="I82" s="32">
        <f>VLOOKUP($B82&amp;$C82,'[1]FC1 Prod'!$A$6:$BP$36,[2]Consolidated!I$1)</f>
        <v>0</v>
      </c>
      <c r="J82" s="32">
        <f>VLOOKUP($B82&amp;$C82,'[1]FC1 Prod'!$A$6:$BP$36,[2]Consolidated!J$1)</f>
        <v>0</v>
      </c>
      <c r="K82" s="32">
        <f>VLOOKUP($B82&amp;$C82,'[1]FC1 Prod'!$A$6:$BP$36,[2]Consolidated!K$1)</f>
        <v>0</v>
      </c>
      <c r="L82" s="32">
        <f>VLOOKUP($B82&amp;$C82,'[1]FC1 Prod'!$A$6:$BP$36,[2]Consolidated!L$1)</f>
        <v>0</v>
      </c>
      <c r="M82" s="32">
        <f>VLOOKUP($B82&amp;$C82,'[1]FC1 Prod'!$A$6:$BP$36,[2]Consolidated!M$1)</f>
        <v>0</v>
      </c>
      <c r="N82" s="32">
        <f>VLOOKUP($B82&amp;$C82,'[1]FC1 Prod'!$A$6:$BP$36,[2]Consolidated!N$1)</f>
        <v>0</v>
      </c>
      <c r="O82" s="32">
        <f>VLOOKUP($B82&amp;$C82,'[1]FC1 Prod'!$A$6:$BP$36,[2]Consolidated!O$1)</f>
        <v>0</v>
      </c>
      <c r="P82" s="33">
        <f>VLOOKUP($B82&amp;$C82,'[1]FC1 Prod'!$A$6:$BP$36,[2]Consolidated!P$1)</f>
        <v>8</v>
      </c>
      <c r="Q82" s="29">
        <f>VLOOKUP($B82&amp;$C82,'[1]FC1 Prod'!$A$6:$BP$36,[2]Consolidated!Q$1)</f>
        <v>0</v>
      </c>
      <c r="R82" s="29">
        <f>VLOOKUP($B82&amp;$C82,'[1]FC1 Prod'!$A$6:$BP$36,[2]Consolidated!R$1)</f>
        <v>0</v>
      </c>
      <c r="S82" s="34" t="e">
        <f>VLOOKUP($B82&amp;$C82,'[1]FC1 Prod'!$A$6:$BP$36,[2]Consolidated!S$1)</f>
        <v>#REF!</v>
      </c>
      <c r="T82" s="34" t="e">
        <f>VLOOKUP($B82&amp;$C82,'[1]FC1 Prod'!$A$6:$BP$36,[2]Consolidated!T$1)</f>
        <v>#REF!</v>
      </c>
      <c r="U82" s="34" t="e">
        <f>VLOOKUP($B82&amp;$C82,'[1]FC1 Prod'!$A$6:$BP$36,[2]Consolidated!U$1)</f>
        <v>#REF!</v>
      </c>
      <c r="V82" s="34">
        <f>VLOOKUP($B82&amp;$C82,'[1]FC1 Prod'!$A$6:$BP$36,[2]Consolidated!V$1)</f>
        <v>0</v>
      </c>
      <c r="W82" s="35">
        <f>VLOOKUP($B82&amp;$C82,'[1]FC1 Prod'!$A$6:$BP$36,[2]Consolidated!W$1)</f>
        <v>0</v>
      </c>
      <c r="X82" s="35">
        <f>VLOOKUP($B82&amp;$C82,'[1]FC1 Prod'!$A$6:$BP$36,[2]Consolidated!X$1)</f>
        <v>0</v>
      </c>
      <c r="Y82" s="36">
        <f>VLOOKUP($B82&amp;$C82,'[1]FC1 Prod'!$A$6:$BP$36,[2]Consolidated!Y$1)</f>
        <v>0</v>
      </c>
      <c r="Z82" s="37" t="e">
        <f>VLOOKUP($B82&amp;$C82,'[1]FC1 Prod'!$A$6:$BP$36,[2]Consolidated!Z$1)</f>
        <v>#REF!</v>
      </c>
      <c r="AA82" s="31">
        <f>VLOOKUP($B82&amp;$C82,'[1]FC1 Prod'!$A$6:$BP$36,[2]Consolidated!AA$1)</f>
        <v>0</v>
      </c>
      <c r="AB82" s="31">
        <f>VLOOKUP($B82&amp;$C82,'[1]FC1 Prod'!$A$6:$BP$36,[2]Consolidated!AB$1)</f>
        <v>0</v>
      </c>
      <c r="AC82" s="31">
        <f>VLOOKUP($B82&amp;$C82,'[1]FC1 Prod'!$A$6:$BP$36,[2]Consolidated!AC$1)</f>
        <v>0</v>
      </c>
      <c r="AD82" s="38">
        <f>VLOOKUP($B82&amp;$C82,'[1]FC1 Prod'!$A$6:$BP$36,[2]Consolidated!AD$1)</f>
        <v>0</v>
      </c>
      <c r="AE82" s="38">
        <f>VLOOKUP($B82&amp;$C82,'[1]FC1 Prod'!$A$6:$BP$36,[2]Consolidated!AE$1)</f>
        <v>0</v>
      </c>
      <c r="AF82" s="39">
        <f>VLOOKUP($B82&amp;$C82,'[1]FC1 Prod'!$A$6:$BP$36,[2]Consolidated!AF$1)</f>
        <v>0</v>
      </c>
      <c r="AG82" s="39">
        <f>VLOOKUP($B82&amp;$C82,'[1]FC1 Prod'!$A$6:$BP$36,[2]Consolidated!AG$1)</f>
        <v>0</v>
      </c>
      <c r="AH82" s="34">
        <f>VLOOKUP($B82&amp;$C82,'[1]FC1 Prod'!$A$6:$BP$36,[2]Consolidated!AH$1)</f>
        <v>0</v>
      </c>
      <c r="AI82" s="33">
        <f>VLOOKUP($B82&amp;$C82,'[1]FC1 Prod'!$A$6:$BP$36,[2]Consolidated!AI$1)</f>
        <v>0</v>
      </c>
      <c r="AJ82" s="39">
        <f>VLOOKUP($B82&amp;$C82,'[1]FC1 Prod'!$A$6:$BP$36,[2]Consolidated!AJ$1)</f>
        <v>0</v>
      </c>
      <c r="AK82" s="39">
        <f>VLOOKUP($B82&amp;$C82,'[1]FC1 Prod'!$A$6:$BP$36,[2]Consolidated!AK$1)</f>
        <v>0</v>
      </c>
      <c r="AL82" s="40" t="e">
        <f>VLOOKUP($B82&amp;$C82,'[1]FC1 Prod'!$A$6:$BP$36,[2]Consolidated!AL$1)</f>
        <v>#REF!</v>
      </c>
      <c r="AM82" s="41">
        <f>VLOOKUP($B82&amp;$C82,'[1]FC1 Prod'!$A$6:$BP$36,[2]Consolidated!AM$1)</f>
        <v>0</v>
      </c>
      <c r="AN82" s="42" t="e">
        <f>VLOOKUP($B82&amp;$C82,'[1]FC1 Prod'!$A$6:$BP$36,[2]Consolidated!AN$1)</f>
        <v>#REF!</v>
      </c>
      <c r="AO82" s="43" t="e">
        <f>VLOOKUP($B82&amp;$C82,'[1]FC1 Prod'!$A$6:$BP$36,[2]Consolidated!AO$1)</f>
        <v>#REF!</v>
      </c>
      <c r="AP82" s="44">
        <f>VLOOKUP($B82&amp;$C82,'[1]FC1 Prod'!$A$6:$BP$36,[2]Consolidated!AP$1)</f>
        <v>0</v>
      </c>
      <c r="AQ82" s="44">
        <f>VLOOKUP($B82&amp;$C82,'[1]FC1 Prod'!$A$6:$BP$36,[2]Consolidated!AQ$1)</f>
        <v>0</v>
      </c>
      <c r="AR82" s="45">
        <f>VLOOKUP($B82&amp;$C82,'[1]FC1 Prod'!$A$6:$BP$36,[2]Consolidated!AR$1)</f>
        <v>0</v>
      </c>
      <c r="AS82" s="46">
        <f>VLOOKUP($B82&amp;$C82,'[1]FC1 Prod'!$A$6:$BP$36,[2]Consolidated!AS$1)</f>
        <v>0</v>
      </c>
      <c r="AT82" s="29">
        <f>VLOOKUP($B82&amp;$C82,'[1]FC1 Prod'!$A$6:$BP$36,[2]Consolidated!AT$1)</f>
        <v>0</v>
      </c>
      <c r="AU82" s="34">
        <f>VLOOKUP($B82&amp;$C82,'[1]FC1 Prod'!$A$6:$BP$36,[2]Consolidated!AU$1)</f>
        <v>0</v>
      </c>
      <c r="AV82" s="34">
        <f>VLOOKUP($B82&amp;$C82,'[1]FC1 Prod'!$A$6:$BP$36,[2]Consolidated!AV$1)</f>
        <v>0</v>
      </c>
      <c r="AW82" s="47">
        <f>VLOOKUP($B82&amp;$C82,'[1]FC1 Prod'!$A$6:$BP$36,[2]Consolidated!AW$1)</f>
        <v>0</v>
      </c>
      <c r="AX82" s="47">
        <f>VLOOKUP($B82&amp;$C82,'[1]FC1 Prod'!$A$6:$BP$36,[2]Consolidated!AX$1)</f>
        <v>0</v>
      </c>
      <c r="AY82" s="48">
        <f>VLOOKUP($B82&amp;$C82,'[1]FC1 Prod'!$A$6:$BP$36,[2]Consolidated!AY$1)</f>
        <v>0</v>
      </c>
      <c r="AZ82" s="47">
        <f>VLOOKUP($B82&amp;$C82,'[1]FC1 Prod'!$A$6:$BP$36,[2]Consolidated!AZ$1)</f>
        <v>0</v>
      </c>
      <c r="BA82" s="47">
        <f>VLOOKUP($B82&amp;$C82,'[1]FC1 Prod'!$A$6:$BP$36,[2]Consolidated!BA$1)</f>
        <v>0</v>
      </c>
      <c r="BB82" s="47">
        <f>VLOOKUP($B82&amp;$C82,'[1]FC1 Prod'!$A$6:$BP$36,[2]Consolidated!BB$1)</f>
        <v>0</v>
      </c>
      <c r="BC82" s="47">
        <f>VLOOKUP($B82&amp;$C82,'[1]FC1 Prod'!$A$6:$BP$36,[2]Consolidated!BC$1)</f>
        <v>0</v>
      </c>
      <c r="BD82" s="49">
        <f>VLOOKUP($B82&amp;$C82,'[1]FC1 Prod'!$A$6:$BP$36,[2]Consolidated!BD$1)</f>
        <v>0</v>
      </c>
      <c r="BE82" s="47">
        <f>VLOOKUP($B82&amp;$C82,'[1]FC1 Prod'!$A$6:$BP$36,[2]Consolidated!BE$1)</f>
        <v>0</v>
      </c>
      <c r="BF82" s="47">
        <f>VLOOKUP($B82&amp;$C82,'[1]FC1 Prod'!$A$6:$BP$36,[2]Consolidated!BF$1)</f>
        <v>0</v>
      </c>
      <c r="BG82" s="50">
        <f>VLOOKUP($B82&amp;$C82,'[1]FC1 Prod'!$A$6:$BP$36,[2]Consolidated!BG$1)</f>
        <v>0</v>
      </c>
      <c r="BH82" s="50">
        <f>VLOOKUP($B82&amp;$C82,'[1]FC1 Prod'!$A$6:$BP$36,[2]Consolidated!BH$1)</f>
        <v>0</v>
      </c>
      <c r="BI82" s="50">
        <f>VLOOKUP($B82&amp;$C82,'[1]FC1 Prod'!$A$6:$BP$36,[2]Consolidated!BI$1)</f>
        <v>0</v>
      </c>
      <c r="BJ82" s="37" t="e">
        <f>VLOOKUP($B82&amp;$C82,'[1]FC1 Prod'!$A$6:$BP$36,[2]Consolidated!BJ$1)</f>
        <v>#REF!</v>
      </c>
      <c r="BK82" s="37" t="e">
        <f>VLOOKUP($B82&amp;$C82,'[1]FC1 Prod'!$A$6:$BP$36,[2]Consolidated!BK$1)</f>
        <v>#REF!</v>
      </c>
      <c r="BL82" s="37" t="e">
        <f>VLOOKUP($B82&amp;$C82,'[1]FC1 Prod'!$A$6:$BP$36,[2]Consolidated!BL$1)</f>
        <v>#REF!</v>
      </c>
      <c r="BM82" s="37" t="e">
        <f>VLOOKUP($B82&amp;$C82,'[1]FC1 Prod'!$A$6:$BP$36,[2]Consolidated!BM$1)</f>
        <v>#REF!</v>
      </c>
      <c r="BN82" s="37" t="e">
        <f>VLOOKUP($B82&amp;$C82,'[1]FC1 Prod'!$A$6:$BP$36,[2]Consolidated!BN$1)</f>
        <v>#REF!</v>
      </c>
      <c r="BO82" s="37" t="e">
        <f>VLOOKUP($B82&amp;$C82,'[1]FC1 Prod'!$A$6:$BP$36,[2]Consolidated!BO$1)</f>
        <v>#REF!</v>
      </c>
      <c r="BP82" s="37" t="e">
        <f>VLOOKUP($B82&amp;$C82,'[1]FC1 Prod'!$A$6:$BP$36,[2]Consolidated!BP$1)</f>
        <v>#REF!</v>
      </c>
      <c r="BQ82" s="51" t="e">
        <f>VLOOKUP($B82&amp;$C82,'[1]FC1 Prod'!$A$6:$BP$36,[2]Consolidated!BQ$1)</f>
        <v>#REF!</v>
      </c>
      <c r="BR82" s="51">
        <f>VLOOKUP($B82&amp;$C82,'[1]FC1 Prod'!$A$6:$BQ$36,[2]Consolidated!BR$1)</f>
        <v>69902</v>
      </c>
      <c r="BS82" s="52">
        <f t="shared" ref="BS82:BS84" si="100">BE82+BF82+BG82+BA82</f>
        <v>0</v>
      </c>
      <c r="BT82" s="32">
        <f>BR82-BS82</f>
        <v>69902</v>
      </c>
      <c r="BU82" s="37">
        <f>E82*BT82</f>
        <v>0</v>
      </c>
      <c r="BV82" s="53" t="s">
        <v>132</v>
      </c>
      <c r="BW82" s="54" cm="1">
        <f t="array" ref="BW82">IFERROR(VLOOKUP($A82,TRANSPOSE('[1]Fur 1 PLC'!$AR$1:$BV$38),8,0),0)</f>
        <v>0</v>
      </c>
      <c r="BX82" s="54" cm="1">
        <f t="array" ref="BX82">IFERROR(VLOOKUP($A82,TRANSPOSE('[1]Fur 1 PLC'!$AR$1:$BV$38),30,0),0)</f>
        <v>0</v>
      </c>
      <c r="BY82" s="54" cm="1">
        <f t="array" ref="BY82">IFERROR(VLOOKUP($A82,TRANSPOSE('[1]Fur 1 PLC'!$AR$1:$BV$38),14,0),0)</f>
        <v>0</v>
      </c>
      <c r="BZ82" s="54" cm="1">
        <f t="array" ref="BZ82">IFERROR(VLOOKUP($A82,TRANSPOSE('[1]Fur 1 PLC'!$AR$1:$BV$38),16,0),0)</f>
        <v>0</v>
      </c>
      <c r="CA82" s="54" cm="1">
        <f t="array" ref="CA82">IFERROR(VLOOKUP($A82,TRANSPOSE('[1]Fur 1 PLC'!$AR$1:$BV$38),9,0),0)</f>
        <v>0</v>
      </c>
      <c r="CB82" s="54" cm="1">
        <f t="array" ref="CB82">IFERROR(VLOOKUP($A82,TRANSPOSE('[1]Fur 1 PLC'!$AR$1:$BV$38),17,0),0)</f>
        <v>0</v>
      </c>
      <c r="CC82" s="54" cm="1">
        <f t="array" ref="CC82">IFERROR(VLOOKUP($A82,TRANSPOSE('[1]Fur 1 PLC'!$AR$1:$BV$38),20,0),0)</f>
        <v>0</v>
      </c>
      <c r="CD82" s="54" cm="1">
        <f t="array" ref="CD82">IFERROR(VLOOKUP($A82,TRANSPOSE('[1]Fur 1 PLC'!$AR$1:$BV$38),28,0),0)</f>
        <v>0</v>
      </c>
      <c r="CE82" s="54" cm="1">
        <f t="array" ref="CE82">IFERROR(VLOOKUP($A82,TRANSPOSE('[1]Fur 1 PLC'!$AR$1:$BV$38),13,0),0)</f>
        <v>0</v>
      </c>
      <c r="CF82" s="54" cm="1">
        <f t="array" ref="CF82">IFERROR(VLOOKUP($A82,TRANSPOSE('[1]Fur 1 PLC'!$AR$1:$BV$38),37,0),0)</f>
        <v>0</v>
      </c>
      <c r="CG82" s="54" cm="1">
        <f t="array" ref="CG82">IFERROR(VLOOKUP($A82,TRANSPOSE('[1]Fur 1 PLC'!$AR$1:$BV$38),6,0),0)</f>
        <v>0</v>
      </c>
      <c r="CH82" s="54" cm="1">
        <f t="array" ref="CH82">IFERROR(VLOOKUP($A82,TRANSPOSE('[1]Fur 1 PLC'!$AR$1:$BV$38),21,0),0)</f>
        <v>0</v>
      </c>
      <c r="CI82" s="54" cm="1">
        <f t="array" ref="CI82">IFERROR(VLOOKUP($A82,TRANSPOSE('[1]Fur 1 PLC'!$AR$1:$BV$38),12,0),0)</f>
        <v>0</v>
      </c>
      <c r="CJ82" s="54" cm="1">
        <f t="array" ref="CJ82">IFERROR(VLOOKUP($A82,TRANSPOSE('[1]Fur 1 PLC'!$AR$1:$BV$38),25,0),0)</f>
        <v>0</v>
      </c>
      <c r="CK82" s="54" cm="1">
        <f t="array" ref="CK82">IFERROR(VLOOKUP($A82,TRANSPOSE('[1]Fur 1 PLC'!$AR$1:$BV$38),26,0),0)</f>
        <v>0</v>
      </c>
      <c r="CL82" s="54" cm="1">
        <f t="array" ref="CL82">IFERROR(VLOOKUP($A82,TRANSPOSE('[1]Fur 1 PLC'!$AR$1:$BV$38),27,0),0)</f>
        <v>0</v>
      </c>
      <c r="CM82" s="54" cm="1">
        <f t="array" ref="CM82">IFERROR(VLOOKUP($A82,TRANSPOSE('[1]Fur 1 PLC'!$AR$1:$BV$38),22,0),0)</f>
        <v>0</v>
      </c>
      <c r="CN82" s="54"/>
      <c r="CO82" s="54" cm="1">
        <f t="array" ref="CO82">IFERROR(VLOOKUP($A82,TRANSPOSE('[1]Fur 1 PLC'!$AR$1:$BV$38),29,0),0)</f>
        <v>0</v>
      </c>
      <c r="CP82" s="54" cm="1">
        <f t="array" ref="CP82">IFERROR(VLOOKUP($A82,TRANSPOSE('[1]Fur 1 PLC'!$AR$1:$BV$38),10,0),0)</f>
        <v>0</v>
      </c>
      <c r="CQ82" s="54" cm="1">
        <f t="array" ref="CQ82">IFERROR(VLOOKUP($A82,TRANSPOSE('[1]Fur 1 PLC'!$AR$1:$BV$38),7,0),0)</f>
        <v>0</v>
      </c>
      <c r="CR82" s="54" cm="1">
        <f t="array" ref="CR82">IFERROR(VLOOKUP($A82,TRANSPOSE('[1]Fur 1 PLC'!$AR$1:$BV$38),35,0),0)</f>
        <v>0</v>
      </c>
      <c r="CS82" s="54" cm="1">
        <f t="array" ref="CS82">IFERROR(VLOOKUP($A82,TRANSPOSE('[1]Fur 1 PLC'!$AR$1:$BV$38),11,0),0)</f>
        <v>0</v>
      </c>
      <c r="CT82" s="54" cm="1">
        <f t="array" ref="CT82">IFERROR(VLOOKUP($A82,TRANSPOSE('[1]Fur 1 PLC'!$AR$1:$BV$38),19,0),0)</f>
        <v>0</v>
      </c>
      <c r="CU82" s="54" cm="1">
        <f t="array" ref="CU82">IFERROR(VLOOKUP($A82,TRANSPOSE('[1]Fur 1 PLC'!$AR$1:$BV$38),18,0),0)</f>
        <v>0</v>
      </c>
      <c r="CV82" s="54" cm="1">
        <f t="array" ref="CV82">IFERROR(VLOOKUP($A82,TRANSPOSE('[1]Fur 1 PLC'!$AR$1:$BV$38),15,0),0)</f>
        <v>0</v>
      </c>
      <c r="CW82" s="54" cm="1">
        <f t="array" ref="CW82">IFERROR(VLOOKUP($A82,TRANSPOSE('[1]Fur 1 PLC'!$CL$1:$DP$38),8,0),0)</f>
        <v>0</v>
      </c>
      <c r="CX82" s="54" cm="1">
        <f t="array" ref="CX82">IFERROR(VLOOKUP($A82,TRANSPOSE('[1]Fur 1 PLC'!$CL$1:$DP$38),30,0),0)</f>
        <v>0</v>
      </c>
      <c r="CY82" s="54" cm="1">
        <f t="array" ref="CY82">IFERROR(VLOOKUP($A82,TRANSPOSE('[1]Fur 1 PLC'!$CL$1:$DP$38),14,0),0)</f>
        <v>0</v>
      </c>
      <c r="CZ82" s="54" cm="1">
        <f t="array" ref="CZ82">IFERROR(VLOOKUP($A82,TRANSPOSE('[1]Fur 1 PLC'!$CL$1:$DP$38),16,0),0)</f>
        <v>0</v>
      </c>
      <c r="DA82" s="54" cm="1">
        <f t="array" ref="DA82">IFERROR(VLOOKUP($A82,TRANSPOSE('[1]Fur 1 PLC'!$CL$1:$DP$38),9,0),0)</f>
        <v>0</v>
      </c>
      <c r="DB82" s="55" cm="1">
        <f t="array" ref="DB82">IFERROR(VLOOKUP($A82,TRANSPOSE('[1]Fur 1 PLC'!$CL$1:$DP$38),17,0),0)</f>
        <v>0</v>
      </c>
      <c r="DC82" s="55" cm="1">
        <f t="array" ref="DC82">IFERROR(VLOOKUP($A82,TRANSPOSE('[1]Fur 1 PLC'!$CL$1:$DP$38),20,0),0)</f>
        <v>0</v>
      </c>
      <c r="DD82" s="54" cm="1">
        <f t="array" ref="DD82">IFERROR(VLOOKUP($A82,TRANSPOSE('[1]Fur 1 PLC'!$CL$1:$DP$38),28,0),0)</f>
        <v>0</v>
      </c>
      <c r="DE82" s="54" cm="1">
        <f t="array" ref="DE82">IFERROR(VLOOKUP($A82,TRANSPOSE('[1]Fur 1 PLC'!$CL$1:$DP$38),13,0),0)</f>
        <v>0</v>
      </c>
      <c r="DF82" s="54" cm="1">
        <f t="array" ref="DF82">IFERROR(VLOOKUP($A82,TRANSPOSE('[1]Fur 1 PLC'!$CL$1:$DP$38),37,0),0)</f>
        <v>0</v>
      </c>
      <c r="DG82" s="54" cm="1">
        <f t="array" ref="DG82">IFERROR(VLOOKUP($A82,TRANSPOSE('[1]Fur 1 PLC'!$CL$1:$DP$38),6,0),0)</f>
        <v>0</v>
      </c>
      <c r="DH82" s="54" cm="1">
        <f t="array" ref="DH82">IFERROR(VLOOKUP($A82,TRANSPOSE('[1]Fur 1 PLC'!$CL$1:$DP$38),21,0),0)</f>
        <v>0</v>
      </c>
      <c r="DI82" s="54" cm="1">
        <f t="array" ref="DI82">IFERROR(VLOOKUP($A82,TRANSPOSE('[1]Fur 1 PLC'!$CL$1:$DP$38),12,0),0)</f>
        <v>0</v>
      </c>
      <c r="DJ82" s="54" cm="1">
        <f t="array" ref="DJ82">IFERROR(VLOOKUP($A82,TRANSPOSE('[1]Fur 1 PLC'!$CL$1:$DP$38),25,0),0)</f>
        <v>0</v>
      </c>
      <c r="DK82" s="54" cm="1">
        <f t="array" ref="DK82">IFERROR(VLOOKUP($A82,TRANSPOSE('[1]Fur 1 PLC'!$CL$1:$DP$38),26,0),0)</f>
        <v>0</v>
      </c>
      <c r="DL82" s="54" cm="1">
        <f t="array" ref="DL82">IFERROR(VLOOKUP($A82,TRANSPOSE('[1]Fur 1 PLC'!$CL$1:$DP$38),27,0),0)</f>
        <v>0</v>
      </c>
      <c r="DM82" s="54" cm="1">
        <f t="array" ref="DM82">IFERROR(VLOOKUP($A82,TRANSPOSE('[1]Fur 1 PLC'!$CL$1:$DP$38),22,0),0)</f>
        <v>0</v>
      </c>
      <c r="DN82" s="54" cm="1">
        <f t="array" ref="DN82">IFERROR(VLOOKUP($A82,TRANSPOSE('[1]Fur 1 PLC'!$CL$1:$DP$38),19,0),0)</f>
        <v>0</v>
      </c>
      <c r="DO82" s="54" cm="1">
        <f t="array" ref="DO82">IFERROR(VLOOKUP($A82,TRANSPOSE('[1]Fur 1 PLC'!$CL$1:$DP$38),29,0),0)</f>
        <v>0</v>
      </c>
      <c r="DP82" s="54" cm="1">
        <f t="array" ref="DP82">IFERROR(VLOOKUP($A82,TRANSPOSE('[1]Fur 1 PLC'!$CL$1:$DP$38),10,0),0)</f>
        <v>0</v>
      </c>
      <c r="DQ82" s="54" cm="1">
        <f t="array" ref="DQ82">IFERROR(VLOOKUP($A82,TRANSPOSE('[1]Fur 1 PLC'!$CL$1:$DP$38),7,0),0)</f>
        <v>0</v>
      </c>
      <c r="DR82" s="54" cm="1">
        <f t="array" ref="DR82">IFERROR(VLOOKUP($A82,TRANSPOSE('[1]Fur 1 PLC'!$CL$1:$DP$38),35,0),0)</f>
        <v>0</v>
      </c>
      <c r="DS82" s="54" cm="1">
        <f t="array" ref="DS82">IFERROR(VLOOKUP($A82,TRANSPOSE('[1]Fur 1 PLC'!$CL$1:$DP$38),11,0),0)</f>
        <v>0</v>
      </c>
      <c r="DT82" s="54" cm="1">
        <f t="array" ref="DT82">IFERROR(VLOOKUP($A82,TRANSPOSE('[1]Fur 1 PLC'!$CL$1:$DP$38),19,0),0)</f>
        <v>0</v>
      </c>
      <c r="DU82" s="54" cm="1">
        <f t="array" ref="DU82">IFERROR(VLOOKUP($A82,TRANSPOSE('[1]Fur 1 PLC'!$CL$1:$DP$38),18,0),0)</f>
        <v>0</v>
      </c>
      <c r="DV82" s="54" cm="1">
        <f t="array" ref="DV82">IFERROR(VLOOKUP($A82,TRANSPOSE('[1]Fur 1 PLC'!$CL$1:$DP$38),15,0),0)</f>
        <v>0</v>
      </c>
      <c r="DW82" t="str">
        <f>TEXT(C82,"Mmm-yy")</f>
        <v>Dec-25</v>
      </c>
    </row>
    <row r="83" spans="1:127" x14ac:dyDescent="0.3">
      <c r="A83" s="28" t="str">
        <f t="shared" si="59"/>
        <v>F246012</v>
      </c>
      <c r="B83" s="29" t="s">
        <v>27</v>
      </c>
      <c r="C83" s="30">
        <f>C82</f>
        <v>46012</v>
      </c>
      <c r="D83" s="29" t="str">
        <f>VLOOKUP($B83&amp;$C83,'[1]FC2 Prod'!$A$6:$BP$36,[2]Consolidated!D$1)</f>
        <v>Mr. Girish Malik</v>
      </c>
      <c r="E83" s="29">
        <f>VLOOKUP($B83&amp;$C83,'[1]FC2 Prod'!$A$6:$BP$36,[2]Consolidated!E$1)</f>
        <v>0</v>
      </c>
      <c r="F83" s="29">
        <f>VLOOKUP($B83&amp;$C83,'[1]FC2 Prod'!$A$6:$BP$36,[2]Consolidated!F$1)</f>
        <v>0</v>
      </c>
      <c r="G83" s="29" t="e">
        <f>VLOOKUP($B83&amp;$C83,'[1]FC2 Prod'!$A$6:$BP$36,[2]Consolidated!G$1)</f>
        <v>#REF!</v>
      </c>
      <c r="H83" s="32">
        <f>VLOOKUP($B83&amp;$C83,'[1]FC2 Prod'!$A$6:$BP$36,[2]Consolidated!H$1)</f>
        <v>0</v>
      </c>
      <c r="I83" s="32">
        <f>VLOOKUP($B83&amp;$C83,'[1]FC2 Prod'!$A$6:$BP$36,[2]Consolidated!I$1)</f>
        <v>0</v>
      </c>
      <c r="J83" s="32">
        <f>VLOOKUP($B83&amp;$C83,'[1]FC2 Prod'!$A$6:$BP$36,[2]Consolidated!J$1)</f>
        <v>0</v>
      </c>
      <c r="K83" s="32">
        <f>VLOOKUP($B83&amp;$C83,'[1]FC2 Prod'!$A$6:$BP$36,[2]Consolidated!K$1)</f>
        <v>0</v>
      </c>
      <c r="L83" s="32">
        <f>VLOOKUP($B83&amp;$C83,'[1]FC2 Prod'!$A$6:$BP$36,[2]Consolidated!L$1)</f>
        <v>0</v>
      </c>
      <c r="M83" s="32">
        <f>VLOOKUP($B83&amp;$C83,'[1]FC2 Prod'!$A$6:$BP$36,[2]Consolidated!M$1)</f>
        <v>0</v>
      </c>
      <c r="N83" s="32">
        <f>VLOOKUP($B83&amp;$C83,'[1]FC2 Prod'!$A$6:$BP$36,[2]Consolidated!N$1)</f>
        <v>0</v>
      </c>
      <c r="O83" s="32">
        <f>VLOOKUP($B83&amp;$C83,'[1]FC2 Prod'!$A$6:$BP$36,[2]Consolidated!O$1)</f>
        <v>0</v>
      </c>
      <c r="P83" s="34">
        <f>VLOOKUP($B83&amp;$C83,'[1]FC2 Prod'!$A$6:$BP$36,[2]Consolidated!P$1)</f>
        <v>9</v>
      </c>
      <c r="Q83" s="29">
        <f>VLOOKUP($B83&amp;$C83,'[1]FC2 Prod'!$A$6:$BP$36,[2]Consolidated!Q$1)</f>
        <v>0</v>
      </c>
      <c r="R83" s="29">
        <f>VLOOKUP($B83&amp;$C83,'[1]FC2 Prod'!$A$6:$BP$36,[2]Consolidated!R$1)</f>
        <v>0</v>
      </c>
      <c r="S83" s="34" t="e">
        <f>VLOOKUP($B83&amp;$C83,'[1]FC2 Prod'!$A$6:$BP$36,[2]Consolidated!S$1)</f>
        <v>#REF!</v>
      </c>
      <c r="T83" s="34" t="e">
        <f>VLOOKUP($B83&amp;$C83,'[1]FC2 Prod'!$A$6:$BP$36,[2]Consolidated!T$1)</f>
        <v>#REF!</v>
      </c>
      <c r="U83" s="34" t="e">
        <f>VLOOKUP($B83&amp;$C83,'[1]FC2 Prod'!$A$6:$BP$36,[2]Consolidated!U$1)</f>
        <v>#REF!</v>
      </c>
      <c r="V83" s="34">
        <f>VLOOKUP($B83&amp;$C83,'[1]FC2 Prod'!$A$6:$BP$36,[2]Consolidated!V$1)</f>
        <v>0</v>
      </c>
      <c r="W83" s="29">
        <f>VLOOKUP($B83&amp;$C83,'[1]FC2 Prod'!$A$6:$BP$36,[2]Consolidated!W$1)</f>
        <v>0</v>
      </c>
      <c r="X83" s="35">
        <f>VLOOKUP($B83&amp;$C83,'[1]FC2 Prod'!$A$6:$BP$36,[2]Consolidated!X$1)</f>
        <v>0</v>
      </c>
      <c r="Y83" s="36">
        <f>VLOOKUP($B83&amp;$C83,'[1]FC2 Prod'!$A$6:$BP$36,[2]Consolidated!Y$1)</f>
        <v>0</v>
      </c>
      <c r="Z83" s="37" t="e">
        <f>VLOOKUP($B83&amp;$C83,'[1]FC2 Prod'!$A$6:$BP$36,[2]Consolidated!Z$1)</f>
        <v>#REF!</v>
      </c>
      <c r="AA83" s="31">
        <f>VLOOKUP($B83&amp;$C83,'[1]FC2 Prod'!$A$6:$BP$36,[2]Consolidated!AA$1)</f>
        <v>0</v>
      </c>
      <c r="AB83" s="31">
        <f>VLOOKUP($B83&amp;$C83,'[1]FC2 Prod'!$A$6:$BP$36,[2]Consolidated!AB$1)</f>
        <v>0</v>
      </c>
      <c r="AC83" s="31">
        <f>VLOOKUP($B83&amp;$C83,'[1]FC2 Prod'!$A$6:$BP$36,[2]Consolidated!AC$1)</f>
        <v>0</v>
      </c>
      <c r="AD83" s="38">
        <f>VLOOKUP($B83&amp;$C83,'[1]FC2 Prod'!$A$6:$BP$36,[2]Consolidated!AD$1)</f>
        <v>0</v>
      </c>
      <c r="AE83" s="38">
        <f>VLOOKUP($B83&amp;$C83,'[1]FC2 Prod'!$A$6:$BP$36,[2]Consolidated!AE$1)</f>
        <v>0</v>
      </c>
      <c r="AF83" s="39">
        <f>VLOOKUP($B83&amp;$C83,'[1]FC2 Prod'!$A$6:$BP$36,[2]Consolidated!AF$1)</f>
        <v>0</v>
      </c>
      <c r="AG83" s="39">
        <f>VLOOKUP($B83&amp;$C83,'[1]FC2 Prod'!$A$6:$BP$36,[2]Consolidated!AG$1)</f>
        <v>0</v>
      </c>
      <c r="AH83" s="34">
        <f>VLOOKUP($B83&amp;$C83,'[1]FC2 Prod'!$A$6:$BP$36,[2]Consolidated!AH$1)</f>
        <v>0</v>
      </c>
      <c r="AI83" s="33">
        <f>VLOOKUP($B83&amp;$C83,'[1]FC2 Prod'!$A$6:$BP$36,[2]Consolidated!AI$1)</f>
        <v>0</v>
      </c>
      <c r="AJ83" s="39">
        <f>VLOOKUP($B83&amp;$C83,'[1]FC2 Prod'!$A$6:$BP$36,[2]Consolidated!AJ$1)</f>
        <v>0</v>
      </c>
      <c r="AK83" s="39">
        <f>VLOOKUP($B83&amp;$C83,'[1]FC2 Prod'!$A$6:$BP$36,[2]Consolidated!AK$1)</f>
        <v>0</v>
      </c>
      <c r="AL83" s="40" t="e">
        <f>VLOOKUP($B83&amp;$C83,'[1]FC2 Prod'!$A$6:$BP$36,[2]Consolidated!AL$1)</f>
        <v>#REF!</v>
      </c>
      <c r="AM83" s="41">
        <f>VLOOKUP($B83&amp;$C83,'[1]FC2 Prod'!$A$6:$BP$36,[2]Consolidated!AM$1)</f>
        <v>0</v>
      </c>
      <c r="AN83" s="42" t="e">
        <f>VLOOKUP($B83&amp;$C83,'[1]FC2 Prod'!$A$6:$BP$36,[2]Consolidated!AN$1)</f>
        <v>#REF!</v>
      </c>
      <c r="AO83" s="43" t="e">
        <f>VLOOKUP($B83&amp;$C83,'[1]FC2 Prod'!$A$6:$BP$36,[2]Consolidated!AO$1)</f>
        <v>#REF!</v>
      </c>
      <c r="AP83" s="44">
        <f>VLOOKUP($B83&amp;$C83,'[1]FC2 Prod'!$A$6:$BP$36,[2]Consolidated!AP$1)</f>
        <v>0</v>
      </c>
      <c r="AQ83" s="44">
        <f>VLOOKUP($B83&amp;$C83,'[1]FC2 Prod'!$A$6:$BP$36,[2]Consolidated!AQ$1)</f>
        <v>0</v>
      </c>
      <c r="AR83" s="45">
        <f>VLOOKUP($B83&amp;$C83,'[1]FC2 Prod'!$A$6:$BP$36,[2]Consolidated!AR$1)</f>
        <v>0</v>
      </c>
      <c r="AS83" s="46">
        <f>VLOOKUP($B83&amp;$C83,'[1]FC2 Prod'!$A$6:$BP$36,[2]Consolidated!AS$1)</f>
        <v>0</v>
      </c>
      <c r="AT83" s="29">
        <f>VLOOKUP($B83&amp;$C83,'[1]FC2 Prod'!$A$6:$BP$36,[2]Consolidated!AT$1)</f>
        <v>0</v>
      </c>
      <c r="AU83" s="34">
        <f>VLOOKUP($B83&amp;$C83,'[1]FC2 Prod'!$A$6:$BP$36,[2]Consolidated!AU$1)</f>
        <v>0</v>
      </c>
      <c r="AV83" s="34">
        <f>VLOOKUP($B83&amp;$C83,'[1]FC2 Prod'!$A$6:$BP$36,[2]Consolidated!AV$1)</f>
        <v>0</v>
      </c>
      <c r="AW83" s="47">
        <f>VLOOKUP($B83&amp;$C83,'[1]FC2 Prod'!$A$6:$BP$36,[2]Consolidated!AW$1)</f>
        <v>0</v>
      </c>
      <c r="AX83" s="47">
        <f>VLOOKUP($B83&amp;$C83,'[1]FC2 Prod'!$A$6:$BP$36,[2]Consolidated!AX$1)</f>
        <v>0</v>
      </c>
      <c r="AY83" s="48">
        <f>VLOOKUP($B83&amp;$C83,'[1]FC2 Prod'!$A$6:$BP$36,[2]Consolidated!AY$1)</f>
        <v>0</v>
      </c>
      <c r="AZ83" s="47">
        <f>VLOOKUP($B83&amp;$C83,'[1]FC2 Prod'!$A$6:$BP$36,[2]Consolidated!AZ$1)</f>
        <v>0</v>
      </c>
      <c r="BA83" s="47">
        <f>VLOOKUP($B83&amp;$C83,'[1]FC2 Prod'!$A$6:$BP$36,[2]Consolidated!BA$1)</f>
        <v>0</v>
      </c>
      <c r="BB83" s="47">
        <f>VLOOKUP($B83&amp;$C83,'[1]FC2 Prod'!$A$6:$BP$36,[2]Consolidated!BB$1)</f>
        <v>0</v>
      </c>
      <c r="BC83" s="47">
        <f>VLOOKUP($B83&amp;$C83,'[1]FC2 Prod'!$A$6:$BP$36,[2]Consolidated!BC$1)</f>
        <v>0</v>
      </c>
      <c r="BD83" s="49">
        <f>VLOOKUP($B83&amp;$C83,'[1]FC2 Prod'!$A$6:$BP$36,[2]Consolidated!BD$1)</f>
        <v>0</v>
      </c>
      <c r="BE83" s="47">
        <f>VLOOKUP($B83&amp;$C83,'[1]FC2 Prod'!$A$6:$BP$36,[2]Consolidated!BE$1)</f>
        <v>0</v>
      </c>
      <c r="BF83" s="47">
        <f>VLOOKUP($B83&amp;$C83,'[1]FC2 Prod'!$A$6:$BP$36,[2]Consolidated!BF$1)</f>
        <v>0</v>
      </c>
      <c r="BG83" s="50">
        <f>VLOOKUP($B83&amp;$C83,'[1]FC2 Prod'!$A$6:$BP$36,[2]Consolidated!BG$1)</f>
        <v>0</v>
      </c>
      <c r="BH83" s="50">
        <f>VLOOKUP($B83&amp;$C83,'[1]FC2 Prod'!$A$6:$BP$36,[2]Consolidated!BH$1)</f>
        <v>0</v>
      </c>
      <c r="BI83" s="50">
        <f>VLOOKUP($B83&amp;$C83,'[1]FC2 Prod'!$A$6:$BP$36,[2]Consolidated!BI$1)</f>
        <v>0</v>
      </c>
      <c r="BJ83" s="37" t="e">
        <f>VLOOKUP($B83&amp;$C83,'[1]FC2 Prod'!$A$6:$BP$36,[2]Consolidated!BJ$1)</f>
        <v>#REF!</v>
      </c>
      <c r="BK83" s="37" t="e">
        <f>VLOOKUP($B83&amp;$C83,'[1]FC2 Prod'!$A$6:$BP$36,[2]Consolidated!BK$1)</f>
        <v>#REF!</v>
      </c>
      <c r="BL83" s="37" t="e">
        <f>VLOOKUP($B83&amp;$C83,'[1]FC2 Prod'!$A$6:$BP$36,[2]Consolidated!BL$1)</f>
        <v>#REF!</v>
      </c>
      <c r="BM83" s="37" t="e">
        <f>VLOOKUP($B83&amp;$C83,'[1]FC2 Prod'!$A$6:$BP$36,[2]Consolidated!BM$1)</f>
        <v>#REF!</v>
      </c>
      <c r="BN83" s="37" t="e">
        <f>VLOOKUP($B83&amp;$C83,'[1]FC2 Prod'!$A$6:$BP$36,[2]Consolidated!BN$1)</f>
        <v>#REF!</v>
      </c>
      <c r="BO83" s="37" t="e">
        <f>VLOOKUP($B83&amp;$C83,'[1]FC2 Prod'!$A$6:$BP$36,[2]Consolidated!BO$1)</f>
        <v>#REF!</v>
      </c>
      <c r="BP83" s="37" t="e">
        <f>VLOOKUP($B83&amp;$C83,'[1]FC2 Prod'!$A$6:$BP$36,[2]Consolidated!BP$1)</f>
        <v>#REF!</v>
      </c>
      <c r="BQ83" s="29" t="e">
        <f>VLOOKUP($B83&amp;$C83,'[1]FC2 Prod'!$A$6:$BP$36,[2]Consolidated!BQ$1)</f>
        <v>#REF!</v>
      </c>
      <c r="BR83" s="51">
        <f>VLOOKUP($B83&amp;$C83,'[1]FC2 Prod'!$A$6:$BQ$36,[2]Consolidated!BR$1)</f>
        <v>68163</v>
      </c>
      <c r="BS83" s="52">
        <f t="shared" si="100"/>
        <v>0</v>
      </c>
      <c r="BT83" s="32">
        <f>BR83-BS83</f>
        <v>68163</v>
      </c>
      <c r="BU83" s="37">
        <f>E83*BT83</f>
        <v>0</v>
      </c>
      <c r="BV83" s="53" t="s">
        <v>132</v>
      </c>
      <c r="BW83" s="54" cm="1">
        <f t="array" ref="BW83">IFERROR(VLOOKUP($A83,TRANSPOSE('[1]Fur 2 PLC'!$AR$1:$BV$38),8,0),0)</f>
        <v>0</v>
      </c>
      <c r="BX83" s="54" cm="1">
        <f t="array" ref="BX83">IFERROR(VLOOKUP($A83,TRANSPOSE('[1]Fur 2 PLC'!$AR$1:$BV$38),30,0),0)</f>
        <v>0</v>
      </c>
      <c r="BY83" s="54" cm="1">
        <f t="array" ref="BY83">IFERROR(VLOOKUP($A83,TRANSPOSE('[1]Fur 2 PLC'!$AR$1:$BV$38),14,0),0)</f>
        <v>0</v>
      </c>
      <c r="BZ83" s="54" cm="1">
        <f t="array" ref="BZ83">IFERROR(VLOOKUP($A83,TRANSPOSE('[1]Fur 2 PLC'!$AR$1:$BV$38),16,0),0)</f>
        <v>0</v>
      </c>
      <c r="CA83" s="54" cm="1">
        <f t="array" ref="CA83">IFERROR(VLOOKUP($A83,TRANSPOSE('[1]Fur 2 PLC'!$AR$1:$BV$38),9,0),0)</f>
        <v>0</v>
      </c>
      <c r="CB83" s="54" cm="1">
        <f t="array" ref="CB83">IFERROR(VLOOKUP($A83,TRANSPOSE('[1]Fur 2 PLC'!$AR$1:$BV$38),17,0),0)</f>
        <v>0</v>
      </c>
      <c r="CC83" s="54" cm="1">
        <f t="array" ref="CC83">IFERROR(VLOOKUP($A83,TRANSPOSE('[1]Fur 2 PLC'!$AR$1:$BV$38),20,0),0)</f>
        <v>0</v>
      </c>
      <c r="CD83" s="54" cm="1">
        <f t="array" ref="CD83">IFERROR(VLOOKUP($A83,TRANSPOSE('[1]Fur 2 PLC'!$AR$1:$BV$38),28,0),0)</f>
        <v>0</v>
      </c>
      <c r="CE83" s="54" cm="1">
        <f t="array" ref="CE83">IFERROR(VLOOKUP($A83,TRANSPOSE('[1]Fur 2 PLC'!$AR$1:$BV$38),13,0),0)</f>
        <v>0</v>
      </c>
      <c r="CF83" s="54" cm="1">
        <f t="array" ref="CF83">IFERROR(VLOOKUP($A83,TRANSPOSE('[1]Fur 2 PLC'!$AR$1:$BV$38),37,0),0)</f>
        <v>0</v>
      </c>
      <c r="CG83" s="54" cm="1">
        <f t="array" ref="CG83">IFERROR(VLOOKUP($A83,TRANSPOSE('[1]Fur 2 PLC'!$AR$1:$BV$38),6,0),0)</f>
        <v>0</v>
      </c>
      <c r="CH83" s="54" cm="1">
        <f t="array" ref="CH83">IFERROR(VLOOKUP($A83,TRANSPOSE('[1]Fur 2 PLC'!$AR$1:$BV$38),21,0),0)</f>
        <v>0</v>
      </c>
      <c r="CI83" s="54" cm="1">
        <f t="array" ref="CI83">IFERROR(VLOOKUP($A83,TRANSPOSE('[1]Fur 2 PLC'!$AR$1:$BV$38),12,0),0)</f>
        <v>0</v>
      </c>
      <c r="CJ83" s="54" cm="1">
        <f t="array" ref="CJ83">IFERROR(VLOOKUP($A83,TRANSPOSE('[1]Fur 2 PLC'!$AR$1:$BV$38),25,0),0)</f>
        <v>0</v>
      </c>
      <c r="CK83" s="54" cm="1">
        <f t="array" ref="CK83">IFERROR(VLOOKUP($A83,TRANSPOSE('[1]Fur 2 PLC'!$AR$1:$BV$38),26,0),0)</f>
        <v>0</v>
      </c>
      <c r="CL83" s="54" cm="1">
        <f t="array" ref="CL83">IFERROR(VLOOKUP($A83,TRANSPOSE('[1]Fur 2 PLC'!$AR$1:$BV$38),27,0),0)</f>
        <v>0</v>
      </c>
      <c r="CM83" s="54" cm="1">
        <f t="array" ref="CM83">IFERROR(VLOOKUP($A83,TRANSPOSE('[1]Fur 2 PLC'!$AR$1:$BV$38),22,0),0)</f>
        <v>0</v>
      </c>
      <c r="CN83" s="54"/>
      <c r="CO83" s="54" cm="1">
        <f t="array" ref="CO83">IFERROR(VLOOKUP($A83,TRANSPOSE('[1]Fur 2 PLC'!$AR$1:$BV$38),29,0),0)</f>
        <v>0</v>
      </c>
      <c r="CP83" s="54" cm="1">
        <f t="array" ref="CP83">IFERROR(VLOOKUP($A83,TRANSPOSE('[1]Fur 2 PLC'!$AR$1:$BV$38),10,0),0)</f>
        <v>0</v>
      </c>
      <c r="CQ83" s="54" cm="1">
        <f t="array" ref="CQ83">IFERROR(VLOOKUP($A83,TRANSPOSE('[1]Fur 2 PLC'!$AR$1:$BV$38),7,0),0)</f>
        <v>0</v>
      </c>
      <c r="CR83" s="54" cm="1">
        <f t="array" ref="CR83">IFERROR(VLOOKUP($A83,TRANSPOSE('[1]Fur 2 PLC'!$AR$1:$BV$38),35,0),0)</f>
        <v>0</v>
      </c>
      <c r="CS83" s="54" cm="1">
        <f t="array" ref="CS83">IFERROR(VLOOKUP($A83,TRANSPOSE('[1]Fur 2 PLC'!$AR$1:$BV$38),11,0),0)</f>
        <v>0</v>
      </c>
      <c r="CT83" s="54" cm="1">
        <f t="array" ref="CT83">IFERROR(VLOOKUP($A83,TRANSPOSE('[1]Fur 2 PLC'!$AR$1:$BV$38),19,0),0)</f>
        <v>0</v>
      </c>
      <c r="CU83" s="54" cm="1">
        <f t="array" ref="CU83">IFERROR(VLOOKUP($A83,TRANSPOSE('[1]Fur 2 PLC'!$AR$1:$BV$38),18,0),0)</f>
        <v>0</v>
      </c>
      <c r="CV83" s="54" cm="1">
        <f t="array" ref="CV83">IFERROR(VLOOKUP($A83,TRANSPOSE('[1]Fur 2 PLC'!$AR$1:$BV$38),15,0),0)</f>
        <v>0</v>
      </c>
      <c r="CW83" s="54" cm="1">
        <f t="array" ref="CW83">IFERROR(VLOOKUP($A83,TRANSPOSE('[1]Fur 2 PLC'!$CI$1:$DM$38),8,0),0)</f>
        <v>0</v>
      </c>
      <c r="CX83" s="54" cm="1">
        <f t="array" ref="CX83">IFERROR(VLOOKUP($A83,TRANSPOSE('[1]Fur 2 PLC'!$CI$1:$DM$38),30,0),0)</f>
        <v>0</v>
      </c>
      <c r="CY83" s="54" cm="1">
        <f t="array" ref="CY83">IFERROR(VLOOKUP($A83,TRANSPOSE('[1]Fur 2 PLC'!$CI$1:$DM$38),14,0),0)</f>
        <v>0</v>
      </c>
      <c r="CZ83" s="54" cm="1">
        <f t="array" ref="CZ83">IFERROR(VLOOKUP($A83,TRANSPOSE('[1]Fur 2 PLC'!$CI$1:$DM$38),16,0),0)</f>
        <v>0</v>
      </c>
      <c r="DA83" s="54" cm="1">
        <f t="array" ref="DA83">IFERROR(VLOOKUP($A83,TRANSPOSE('[1]Fur 2 PLC'!$CI$1:$DM$38),9,0),0)</f>
        <v>0</v>
      </c>
      <c r="DB83" s="55" cm="1">
        <f t="array" ref="DB83">IFERROR(VLOOKUP($A83,TRANSPOSE('[1]Fur 2 PLC'!$CI$1:$DM$38),17,0),0)</f>
        <v>0</v>
      </c>
      <c r="DC83" s="55" cm="1">
        <f t="array" ref="DC83">IFERROR(VLOOKUP($A83,TRANSPOSE('[1]Fur 2 PLC'!$CI$1:$DM$38),20,0),0)</f>
        <v>0</v>
      </c>
      <c r="DD83" s="54" cm="1">
        <f t="array" ref="DD83">IFERROR(VLOOKUP($A83,TRANSPOSE('[1]Fur 2 PLC'!$CI$1:$DM$38),28,0),0)</f>
        <v>0</v>
      </c>
      <c r="DE83" s="54" cm="1">
        <f t="array" ref="DE83">IFERROR(VLOOKUP($A83,TRANSPOSE('[1]Fur 2 PLC'!$CI$1:$DM$38),13,0),0)</f>
        <v>0</v>
      </c>
      <c r="DF83" s="54" cm="1">
        <f t="array" ref="DF83">IFERROR(VLOOKUP($A83,TRANSPOSE('[1]Fur 2 PLC'!$CI$1:$DM$38),37,0),0)</f>
        <v>0</v>
      </c>
      <c r="DG83" s="54" cm="1">
        <f t="array" ref="DG83">IFERROR(VLOOKUP($A83,TRANSPOSE('[1]Fur 2 PLC'!$CI$1:$DM$38),6,0),0)</f>
        <v>0</v>
      </c>
      <c r="DH83" s="54" cm="1">
        <f t="array" ref="DH83">IFERROR(VLOOKUP($A83,TRANSPOSE('[1]Fur 2 PLC'!$CI$1:$DM$38),21,0),0)</f>
        <v>0</v>
      </c>
      <c r="DI83" s="54" cm="1">
        <f t="array" ref="DI83">IFERROR(VLOOKUP($A83,TRANSPOSE('[1]Fur 2 PLC'!$CI$1:$DM$38),12,0),0)</f>
        <v>0</v>
      </c>
      <c r="DJ83" s="54" cm="1">
        <f t="array" ref="DJ83">IFERROR(VLOOKUP($A83,TRANSPOSE('[1]Fur 2 PLC'!$CI$1:$DM$38),25,0),0)</f>
        <v>0</v>
      </c>
      <c r="DK83" s="54" cm="1">
        <f t="array" ref="DK83">IFERROR(VLOOKUP($A83,TRANSPOSE('[1]Fur 2 PLC'!$CI$1:$DM$38),26,0),0)</f>
        <v>0</v>
      </c>
      <c r="DL83" s="54" cm="1">
        <f t="array" ref="DL83">IFERROR(VLOOKUP($A83,TRANSPOSE('[1]Fur 2 PLC'!$CI$1:$DM$38),27,0),0)</f>
        <v>0</v>
      </c>
      <c r="DM83" s="54" cm="1">
        <f t="array" ref="DM83">IFERROR(VLOOKUP($A83,TRANSPOSE('[1]Fur 2 PLC'!$CI$1:$DM$38),22,0),0)</f>
        <v>0</v>
      </c>
      <c r="DN83" s="54" cm="1">
        <f t="array" ref="DN83">IFERROR(VLOOKUP($A83,TRANSPOSE('[1]Fur 2 PLC'!$CI$1:$DM$38),19,0),0)</f>
        <v>0</v>
      </c>
      <c r="DO83" s="54" cm="1">
        <f t="array" ref="DO83">IFERROR(VLOOKUP($A83,TRANSPOSE('[1]Fur 2 PLC'!$CI$1:$DM$38),29,0),0)</f>
        <v>0</v>
      </c>
      <c r="DP83" s="54" cm="1">
        <f t="array" ref="DP83">IFERROR(VLOOKUP($A83,TRANSPOSE('[1]Fur 2 PLC'!$CI$1:$DM$38),10,0),0)</f>
        <v>0</v>
      </c>
      <c r="DQ83" s="54" cm="1">
        <f t="array" ref="DQ83">IFERROR(VLOOKUP($A83,TRANSPOSE('[1]Fur 2 PLC'!$CI$1:$DM$38),7,0),0)</f>
        <v>0</v>
      </c>
      <c r="DR83" s="54" cm="1">
        <f t="array" ref="DR83">IFERROR(VLOOKUP($A83,TRANSPOSE('[1]Fur 2 PLC'!$CI$1:$DM$38),35,0),0)</f>
        <v>0</v>
      </c>
      <c r="DS83" s="54" cm="1">
        <f t="array" ref="DS83">IFERROR(VLOOKUP($A83,TRANSPOSE('[1]Fur 2 PLC'!$CI$1:$DM$38),11,0),0)</f>
        <v>0</v>
      </c>
      <c r="DT83" s="54" cm="1">
        <f t="array" ref="DT83">IFERROR(VLOOKUP($A83,TRANSPOSE('[1]Fur 2 PLC'!$CI$1:$DM$38),19,0),0)</f>
        <v>0</v>
      </c>
      <c r="DU83" s="54" cm="1">
        <f t="array" ref="DU83">IFERROR(VLOOKUP($A83,TRANSPOSE('[1]Fur 2 PLC'!$CI$1:$DM$38),18,0),0)</f>
        <v>0</v>
      </c>
      <c r="DV83" s="54" cm="1">
        <f t="array" ref="DV83">IFERROR(VLOOKUP($A83,TRANSPOSE('[1]Fur 2 PLC'!$CI$1:$DM$38),15,0),0)</f>
        <v>0</v>
      </c>
      <c r="DW83" t="str">
        <f t="shared" ref="DW83:DW85" si="101">TEXT(C83,"Mmm-yy")</f>
        <v>Dec-25</v>
      </c>
    </row>
    <row r="84" spans="1:127" x14ac:dyDescent="0.3">
      <c r="A84" s="28" t="str">
        <f t="shared" si="59"/>
        <v>F346012</v>
      </c>
      <c r="B84" s="29" t="s">
        <v>28</v>
      </c>
      <c r="C84" s="30">
        <f>C83</f>
        <v>46012</v>
      </c>
      <c r="D84" s="29" t="str">
        <f>VLOOKUP($B84&amp;$C84,'[1]FC3 Prod'!$A$6:$BP$36,[2]Consolidated!D$1)</f>
        <v>Mr. Ajay Singh</v>
      </c>
      <c r="E84" s="29">
        <f>VLOOKUP($B84&amp;$C84,'[1]FC3 Prod'!$A$6:$BP$36,[2]Consolidated!E$1)</f>
        <v>0</v>
      </c>
      <c r="F84" s="31">
        <f>VLOOKUP($B84&amp;$C84,'[1]FC3 Prod'!$A$6:$BP$36,[2]Consolidated!F$1)</f>
        <v>0</v>
      </c>
      <c r="G84" s="32" t="e">
        <f>VLOOKUP($B84&amp;$C84,'[1]FC3 Prod'!$A$6:$BP$36,[2]Consolidated!G$1)</f>
        <v>#REF!</v>
      </c>
      <c r="H84" s="32">
        <f>VLOOKUP($B84&amp;$C84,'[1]FC3 Prod'!$A$6:$BP$36,[2]Consolidated!H$1)</f>
        <v>0</v>
      </c>
      <c r="I84" s="32">
        <f>VLOOKUP($B84&amp;$C84,'[1]FC3 Prod'!$A$6:$BP$36,[2]Consolidated!I$1)</f>
        <v>0</v>
      </c>
      <c r="J84" s="32">
        <f>VLOOKUP($B84&amp;$C84,'[1]FC3 Prod'!$A$6:$BP$36,[2]Consolidated!J$1)</f>
        <v>0</v>
      </c>
      <c r="K84" s="32">
        <f>VLOOKUP($B84&amp;$C84,'[1]FC3 Prod'!$A$6:$BP$36,[2]Consolidated!K$1)</f>
        <v>0</v>
      </c>
      <c r="L84" s="32">
        <f>VLOOKUP($B84&amp;$C84,'[1]FC3 Prod'!$A$6:$BP$36,[2]Consolidated!L$1)</f>
        <v>0</v>
      </c>
      <c r="M84" s="32">
        <f>VLOOKUP($B84&amp;$C84,'[1]FC3 Prod'!$A$6:$BP$36,[2]Consolidated!M$1)</f>
        <v>0</v>
      </c>
      <c r="N84" s="32">
        <f>VLOOKUP($B84&amp;$C84,'[1]FC3 Prod'!$A$6:$BP$36,[2]Consolidated!N$1)</f>
        <v>0</v>
      </c>
      <c r="O84" s="32">
        <f>VLOOKUP($B84&amp;$C84,'[1]FC3 Prod'!$A$6:$BP$36,[2]Consolidated!O$1)</f>
        <v>0</v>
      </c>
      <c r="P84" s="33">
        <f>VLOOKUP($B84&amp;$C84,'[1]FC3 Prod'!$A$6:$BP$36,[2]Consolidated!P$1)</f>
        <v>8</v>
      </c>
      <c r="Q84" s="29">
        <f>VLOOKUP($B84&amp;$C84,'[1]FC3 Prod'!$A$6:$BP$36,[2]Consolidated!Q$1)</f>
        <v>0</v>
      </c>
      <c r="R84" s="29">
        <f>VLOOKUP($B84&amp;$C84,'[1]FC3 Prod'!$A$6:$BP$36,[2]Consolidated!R$1)</f>
        <v>0</v>
      </c>
      <c r="S84" s="34" t="e">
        <f>VLOOKUP($B84&amp;$C84,'[1]FC3 Prod'!$A$6:$BP$36,[2]Consolidated!S$1)</f>
        <v>#REF!</v>
      </c>
      <c r="T84" s="34" t="e">
        <f>VLOOKUP($B84&amp;$C84,'[1]FC3 Prod'!$A$6:$BP$36,[2]Consolidated!T$1)</f>
        <v>#REF!</v>
      </c>
      <c r="U84" s="34" t="e">
        <f>VLOOKUP($B84&amp;$C84,'[1]FC3 Prod'!$A$6:$BP$36,[2]Consolidated!U$1)</f>
        <v>#REF!</v>
      </c>
      <c r="V84" s="34">
        <f>VLOOKUP($B84&amp;$C84,'[1]FC3 Prod'!$A$6:$BP$36,[2]Consolidated!V$1)</f>
        <v>0</v>
      </c>
      <c r="W84" s="35">
        <f>VLOOKUP($B84&amp;$C84,'[1]FC3 Prod'!$A$6:$BP$36,[2]Consolidated!W$1)</f>
        <v>0</v>
      </c>
      <c r="X84" s="35">
        <f>VLOOKUP($B84&amp;$C84,'[1]FC3 Prod'!$A$6:$BP$36,[2]Consolidated!X$1)</f>
        <v>0</v>
      </c>
      <c r="Y84" s="36">
        <f>VLOOKUP($B84&amp;$C84,'[1]FC3 Prod'!$A$6:$BP$36,[2]Consolidated!Y$1)</f>
        <v>0</v>
      </c>
      <c r="Z84" s="37" t="e">
        <f>VLOOKUP($B84&amp;$C84,'[1]FC3 Prod'!$A$6:$BP$36,[2]Consolidated!Z$1)</f>
        <v>#REF!</v>
      </c>
      <c r="AA84" s="31">
        <f>VLOOKUP($B84&amp;$C84,'[1]FC3 Prod'!$A$6:$BP$36,[2]Consolidated!AA$1)</f>
        <v>0</v>
      </c>
      <c r="AB84" s="31">
        <f>VLOOKUP($B84&amp;$C84,'[1]FC3 Prod'!$A$6:$BP$36,[2]Consolidated!AB$1)</f>
        <v>0</v>
      </c>
      <c r="AC84" s="31" t="e">
        <f>VLOOKUP($B84&amp;$C84,'[1]FC3 Prod'!$A$6:$BP$36,[2]Consolidated!AC$1)</f>
        <v>#REF!</v>
      </c>
      <c r="AD84" s="38">
        <f>VLOOKUP($B84&amp;$C84,'[1]FC3 Prod'!$A$6:$BP$36,[2]Consolidated!AD$1)</f>
        <v>0</v>
      </c>
      <c r="AE84" s="38">
        <f>VLOOKUP($B84&amp;$C84,'[1]FC3 Prod'!$A$6:$BP$36,[2]Consolidated!AE$1)</f>
        <v>0</v>
      </c>
      <c r="AF84" s="39">
        <f>VLOOKUP($B84&amp;$C84,'[1]FC3 Prod'!$A$6:$BP$36,[2]Consolidated!AF$1)</f>
        <v>0</v>
      </c>
      <c r="AG84" s="39">
        <f>VLOOKUP($B84&amp;$C84,'[1]FC3 Prod'!$A$6:$BP$36,[2]Consolidated!AG$1)</f>
        <v>0</v>
      </c>
      <c r="AH84" s="34">
        <f>VLOOKUP($B84&amp;$C84,'[1]FC3 Prod'!$A$6:$BP$36,[2]Consolidated!AH$1)</f>
        <v>0</v>
      </c>
      <c r="AI84" s="33">
        <f>VLOOKUP($B84&amp;$C84,'[1]FC3 Prod'!$A$6:$BP$36,[2]Consolidated!AI$1)</f>
        <v>0</v>
      </c>
      <c r="AJ84" s="39">
        <f>VLOOKUP($B84&amp;$C84,'[1]FC3 Prod'!$A$6:$BP$36,[2]Consolidated!AJ$1)</f>
        <v>0</v>
      </c>
      <c r="AK84" s="39">
        <f>VLOOKUP($B84&amp;$C84,'[1]FC3 Prod'!$A$6:$BP$36,[2]Consolidated!AK$1)</f>
        <v>0</v>
      </c>
      <c r="AL84" s="40" t="e">
        <f>VLOOKUP($B84&amp;$C84,'[1]FC3 Prod'!$A$6:$BP$36,[2]Consolidated!AL$1)</f>
        <v>#REF!</v>
      </c>
      <c r="AM84" s="41">
        <f>VLOOKUP($B84&amp;$C84,'[1]FC3 Prod'!$A$6:$BP$36,[2]Consolidated!AM$1)</f>
        <v>0</v>
      </c>
      <c r="AN84" s="42" t="e">
        <f>VLOOKUP($B84&amp;$C84,'[1]FC3 Prod'!$A$6:$BP$36,[2]Consolidated!AN$1)</f>
        <v>#REF!</v>
      </c>
      <c r="AO84" s="43" t="e">
        <f>VLOOKUP($B84&amp;$C84,'[1]FC3 Prod'!$A$6:$BP$36,[2]Consolidated!AO$1)</f>
        <v>#REF!</v>
      </c>
      <c r="AP84" s="44">
        <f>VLOOKUP($B84&amp;$C84,'[1]FC3 Prod'!$A$6:$BP$36,[2]Consolidated!AP$1)</f>
        <v>0</v>
      </c>
      <c r="AQ84" s="44">
        <f>VLOOKUP($B84&amp;$C84,'[1]FC3 Prod'!$A$6:$BP$36,[2]Consolidated!AQ$1)</f>
        <v>0</v>
      </c>
      <c r="AR84" s="45">
        <f>VLOOKUP($B84&amp;$C84,'[1]FC3 Prod'!$A$6:$BP$36,[2]Consolidated!AR$1)</f>
        <v>0</v>
      </c>
      <c r="AS84" s="46">
        <f>VLOOKUP($B84&amp;$C84,'[1]FC3 Prod'!$A$6:$BP$36,[2]Consolidated!AS$1)</f>
        <v>0</v>
      </c>
      <c r="AT84" s="29">
        <f>VLOOKUP($B84&amp;$C84,'[1]FC3 Prod'!$A$6:$BP$36,[2]Consolidated!AT$1)</f>
        <v>0</v>
      </c>
      <c r="AU84" s="34">
        <f>VLOOKUP($B84&amp;$C84,'[1]FC3 Prod'!$A$6:$BP$36,[2]Consolidated!AU$1)</f>
        <v>0</v>
      </c>
      <c r="AV84" s="34">
        <f>VLOOKUP($B84&amp;$C84,'[1]FC3 Prod'!$A$6:$BP$36,[2]Consolidated!AV$1)</f>
        <v>0</v>
      </c>
      <c r="AW84" s="47">
        <f>VLOOKUP($B84&amp;$C84,'[1]FC3 Prod'!$A$6:$BP$36,[2]Consolidated!AW$1)</f>
        <v>0</v>
      </c>
      <c r="AX84" s="47">
        <f>VLOOKUP($B84&amp;$C84,'[1]FC3 Prod'!$A$6:$BP$36,[2]Consolidated!AX$1)</f>
        <v>0</v>
      </c>
      <c r="AY84" s="48">
        <f>VLOOKUP($B84&amp;$C84,'[1]FC3 Prod'!$A$6:$BP$36,[2]Consolidated!AY$1)</f>
        <v>0</v>
      </c>
      <c r="AZ84" s="47">
        <f>VLOOKUP($B84&amp;$C84,'[1]FC3 Prod'!$A$6:$BP$36,[2]Consolidated!AZ$1)</f>
        <v>0</v>
      </c>
      <c r="BA84" s="47">
        <f>VLOOKUP($B84&amp;$C84,'[1]FC3 Prod'!$A$6:$BP$36,[2]Consolidated!BA$1)</f>
        <v>0</v>
      </c>
      <c r="BB84" s="47">
        <f>VLOOKUP($B84&amp;$C84,'[1]FC3 Prod'!$A$6:$BP$36,[2]Consolidated!BB$1)</f>
        <v>0</v>
      </c>
      <c r="BC84" s="47">
        <f>VLOOKUP($B84&amp;$C84,'[1]FC3 Prod'!$A$6:$BP$36,[2]Consolidated!BC$1)</f>
        <v>0</v>
      </c>
      <c r="BD84" s="49">
        <f>VLOOKUP($B84&amp;$C84,'[1]FC3 Prod'!$A$6:$BP$36,[2]Consolidated!BD$1)</f>
        <v>0</v>
      </c>
      <c r="BE84" s="47">
        <f>VLOOKUP($B84&amp;$C84,'[1]FC3 Prod'!$A$6:$BP$36,[2]Consolidated!BE$1)</f>
        <v>0</v>
      </c>
      <c r="BF84" s="47">
        <f>VLOOKUP($B84&amp;$C84,'[1]FC3 Prod'!$A$6:$BP$36,[2]Consolidated!BF$1)</f>
        <v>0</v>
      </c>
      <c r="BG84" s="50">
        <f>VLOOKUP($B84&amp;$C84,'[1]FC3 Prod'!$A$6:$BP$36,[2]Consolidated!BG$1)</f>
        <v>0</v>
      </c>
      <c r="BH84" s="50">
        <f>VLOOKUP($B84&amp;$C84,'[1]FC3 Prod'!$A$6:$BP$36,[2]Consolidated!BH$1)</f>
        <v>0</v>
      </c>
      <c r="BI84" s="50">
        <f>VLOOKUP($B84&amp;$C84,'[1]FC3 Prod'!$A$6:$BP$36,[2]Consolidated!BI$1)</f>
        <v>0</v>
      </c>
      <c r="BJ84" s="37" t="e">
        <f>VLOOKUP($B84&amp;$C84,'[1]FC3 Prod'!$A$6:$BP$36,[2]Consolidated!BJ$1)</f>
        <v>#REF!</v>
      </c>
      <c r="BK84" s="37" t="e">
        <f>VLOOKUP($B84&amp;$C84,'[1]FC3 Prod'!$A$6:$BP$36,[2]Consolidated!BK$1)</f>
        <v>#REF!</v>
      </c>
      <c r="BL84" s="37" t="e">
        <f>VLOOKUP($B84&amp;$C84,'[1]FC3 Prod'!$A$6:$BP$36,[2]Consolidated!BL$1)</f>
        <v>#REF!</v>
      </c>
      <c r="BM84" s="37" t="e">
        <f>VLOOKUP($B84&amp;$C84,'[1]FC3 Prod'!$A$6:$BP$36,[2]Consolidated!BM$1)</f>
        <v>#REF!</v>
      </c>
      <c r="BN84" s="37" t="e">
        <f>VLOOKUP($B84&amp;$C84,'[1]FC3 Prod'!$A$6:$BP$36,[2]Consolidated!BN$1)</f>
        <v>#REF!</v>
      </c>
      <c r="BO84" s="37" t="e">
        <f>VLOOKUP($B84&amp;$C84,'[1]FC3 Prod'!$A$6:$BP$36,[2]Consolidated!BO$1)</f>
        <v>#REF!</v>
      </c>
      <c r="BP84" s="37" t="e">
        <f>VLOOKUP($B84&amp;$C84,'[1]FC3 Prod'!$A$6:$BP$36,[2]Consolidated!BP$1)</f>
        <v>#REF!</v>
      </c>
      <c r="BQ84" s="51" t="e">
        <f>VLOOKUP($B84&amp;$C84,'[1]FC3 Prod'!$A$6:$BP$36,[2]Consolidated!BQ$1)</f>
        <v>#REF!</v>
      </c>
      <c r="BR84" s="51">
        <f>VLOOKUP($B84&amp;$C84,'[1]FC3 Prod'!$A$6:$BQ$36,[2]Consolidated!BR$1)</f>
        <v>60369</v>
      </c>
      <c r="BS84" s="52">
        <f t="shared" si="100"/>
        <v>0</v>
      </c>
      <c r="BT84" s="32">
        <f t="shared" ref="BT84:BT85" si="102">BR84-BS84</f>
        <v>60369</v>
      </c>
      <c r="BU84" s="37">
        <f t="shared" ref="BU84:BU85" si="103">E84*BT84</f>
        <v>0</v>
      </c>
      <c r="BV84" s="53" t="s">
        <v>132</v>
      </c>
      <c r="BW84" s="54" cm="1">
        <f t="array" ref="BW84">IFERROR(VLOOKUP($A84,TRANSPOSE('[1]Fur 3 PLC'!$AS$1:$BX$38),8,0),0)</f>
        <v>0</v>
      </c>
      <c r="BX84" s="54" cm="1">
        <f t="array" ref="BX84">IFERROR(VLOOKUP($A84,TRANSPOSE('[1]Fur 3 PLC'!$AS$1:$BX$38),30,0),0)</f>
        <v>0</v>
      </c>
      <c r="BY84" s="54" cm="1">
        <f t="array" ref="BY84">IFERROR(VLOOKUP($A84,TRANSPOSE('[1]Fur 3 PLC'!$AS$1:$BX$38),14,0),0)</f>
        <v>0</v>
      </c>
      <c r="BZ84" s="54" cm="1">
        <f t="array" ref="BZ84">IFERROR(VLOOKUP($A84,TRANSPOSE('[1]Fur 3 PLC'!$AS$1:$BX$38),16,0),0)</f>
        <v>0</v>
      </c>
      <c r="CA84" s="54" cm="1">
        <f t="array" ref="CA84">IFERROR(VLOOKUP($A84,TRANSPOSE('[1]Fur 3 PLC'!$AS$1:$BX$38),9,0),0)</f>
        <v>0</v>
      </c>
      <c r="CB84" s="54" cm="1">
        <f t="array" ref="CB84">IFERROR(VLOOKUP($A84,TRANSPOSE('[1]Fur 3 PLC'!$AS$1:$BX$38),17,0),0)</f>
        <v>0</v>
      </c>
      <c r="CC84" s="54" cm="1">
        <f t="array" ref="CC84">IFERROR(VLOOKUP($A84,TRANSPOSE('[1]Fur 3 PLC'!$AS$1:$BX$38),20,0),0)</f>
        <v>0</v>
      </c>
      <c r="CD84" s="54" cm="1">
        <f t="array" ref="CD84">IFERROR(VLOOKUP($A84,TRANSPOSE('[1]Fur 3 PLC'!$AS$1:$BX$38),28,0),0)</f>
        <v>0</v>
      </c>
      <c r="CE84" s="54" cm="1">
        <f t="array" ref="CE84">IFERROR(VLOOKUP($A84,TRANSPOSE('[1]Fur 3 PLC'!$AS$1:$BX$38),13,0),0)</f>
        <v>0</v>
      </c>
      <c r="CF84" s="54" cm="1">
        <f t="array" ref="CF84">IFERROR(VLOOKUP($A84,TRANSPOSE('[1]Fur 3 PLC'!$AS$1:$BX$38),37,0),0)</f>
        <v>0</v>
      </c>
      <c r="CG84" s="54" cm="1">
        <f t="array" ref="CG84">IFERROR(VLOOKUP($A84,TRANSPOSE('[1]Fur 3 PLC'!$AS$1:$BX$38),6,0),0)</f>
        <v>0</v>
      </c>
      <c r="CH84" s="54" cm="1">
        <f t="array" ref="CH84">IFERROR(VLOOKUP($A84,TRANSPOSE('[1]Fur 3 PLC'!$AS$1:$BX$38),21,0),0)</f>
        <v>0</v>
      </c>
      <c r="CI84" s="54" cm="1">
        <f t="array" ref="CI84">IFERROR(VLOOKUP($A84,TRANSPOSE('[1]Fur 3 PLC'!$AS$1:$BX$38),12,0),0)</f>
        <v>0</v>
      </c>
      <c r="CJ84" s="54" cm="1">
        <f t="array" ref="CJ84">IFERROR(VLOOKUP($A84,TRANSPOSE('[1]Fur 3 PLC'!$AS$1:$BX$38),25,0),0)</f>
        <v>0</v>
      </c>
      <c r="CK84" s="54" cm="1">
        <f t="array" ref="CK84">IFERROR(VLOOKUP($A84,TRANSPOSE('[1]Fur 3 PLC'!$AS$1:$BX$38),26,0),0)</f>
        <v>0</v>
      </c>
      <c r="CL84" s="54" cm="1">
        <f t="array" ref="CL84">IFERROR(VLOOKUP($A84,TRANSPOSE('[1]Fur 3 PLC'!$AS$1:$BX$38),27,0),0)</f>
        <v>0</v>
      </c>
      <c r="CM84" s="54" cm="1">
        <f t="array" ref="CM84">IFERROR(VLOOKUP($A84,TRANSPOSE('[1]Fur 3 PLC'!$AS$1:$BX$38),22,0),0)</f>
        <v>0</v>
      </c>
      <c r="CN84" s="54"/>
      <c r="CO84" s="54" cm="1">
        <f t="array" ref="CO84">IFERROR(VLOOKUP($A84,TRANSPOSE('[1]Fur 3 PLC'!$AS$1:$BX$38),29,0),0)</f>
        <v>0</v>
      </c>
      <c r="CP84" s="54" cm="1">
        <f t="array" ref="CP84">IFERROR(VLOOKUP($A84,TRANSPOSE('[1]Fur 3 PLC'!$AS$1:$BX$38),10,0),0)</f>
        <v>0</v>
      </c>
      <c r="CQ84" s="54" cm="1">
        <f t="array" ref="CQ84">IFERROR(VLOOKUP($A84,TRANSPOSE('[1]Fur 3 PLC'!$AS$1:$BX$38),7,0),0)</f>
        <v>0</v>
      </c>
      <c r="CR84" s="54" cm="1">
        <f t="array" ref="CR84">IFERROR(VLOOKUP($A84,TRANSPOSE('[1]Fur 3 PLC'!$AS$1:$BX$38),35,0),0)</f>
        <v>0</v>
      </c>
      <c r="CS84" s="54" cm="1">
        <f t="array" ref="CS84">IFERROR(VLOOKUP($A84,TRANSPOSE('[1]Fur 3 PLC'!$AS$1:$BX$38),11,0),0)</f>
        <v>0</v>
      </c>
      <c r="CT84" s="54" cm="1">
        <f t="array" ref="CT84">IFERROR(VLOOKUP($A84,TRANSPOSE('[1]Fur 3 PLC'!$AS$1:$BX$38),19,0),0)</f>
        <v>0</v>
      </c>
      <c r="CU84" s="54" cm="1">
        <f t="array" ref="CU84">IFERROR(VLOOKUP($A84,TRANSPOSE('[1]Fur 3 PLC'!$AS$1:$BX$38),18,0),0)</f>
        <v>0</v>
      </c>
      <c r="CV84" s="54" cm="1">
        <f t="array" ref="CV84">IFERROR(VLOOKUP($A84,TRANSPOSE('[1]Fur 3 PLC'!$AR$1:$BV$38),15,0),0)</f>
        <v>0</v>
      </c>
      <c r="CW84" s="54" cm="1">
        <f t="array" ref="CW84">IFERROR(VLOOKUP($A84,TRANSPOSE('[1]Fur 3 PLC'!$CK$1:$DO$38),8,0),0)</f>
        <v>0</v>
      </c>
      <c r="CX84" s="54" cm="1">
        <f t="array" ref="CX84">IFERROR(VLOOKUP($A84,TRANSPOSE('[1]Fur 3 PLC'!$CK$1:$DO$38),30,0),0)</f>
        <v>0</v>
      </c>
      <c r="CY84" s="54" cm="1">
        <f t="array" ref="CY84">IFERROR(VLOOKUP($A84,TRANSPOSE('[1]Fur 3 PLC'!$CK$1:$DO$38),14,0),0)</f>
        <v>0</v>
      </c>
      <c r="CZ84" s="54" cm="1">
        <f t="array" ref="CZ84">IFERROR(VLOOKUP($A84,TRANSPOSE('[1]Fur 3 PLC'!$CK$1:$DO$38),16,0),0)</f>
        <v>0</v>
      </c>
      <c r="DA84" s="54" cm="1">
        <f t="array" ref="DA84">IFERROR(VLOOKUP($A84,TRANSPOSE('[1]Fur 3 PLC'!$CK$1:$DO$38),9,0),0)</f>
        <v>0</v>
      </c>
      <c r="DB84" s="55" cm="1">
        <f t="array" ref="DB84">IFERROR(VLOOKUP($A84,TRANSPOSE('[1]Fur 3 PLC'!$CK$1:$DO$38),17,0),0)</f>
        <v>0</v>
      </c>
      <c r="DC84" s="55" cm="1">
        <f t="array" ref="DC84">IFERROR(VLOOKUP($A84,TRANSPOSE('[1]Fur 3 PLC'!$CK$1:$DO$38),20,0),0)</f>
        <v>0</v>
      </c>
      <c r="DD84" s="54" cm="1">
        <f t="array" ref="DD84">IFERROR(VLOOKUP($A84,TRANSPOSE('[1]Fur 3 PLC'!$CK$1:$DO$38),28,0),0)</f>
        <v>0</v>
      </c>
      <c r="DE84" s="54" cm="1">
        <f t="array" ref="DE84">IFERROR(VLOOKUP($A84,TRANSPOSE('[1]Fur 3 PLC'!$CK$1:$DO$38),13,0),0)</f>
        <v>0</v>
      </c>
      <c r="DF84" s="54" cm="1">
        <f t="array" ref="DF84">IFERROR(VLOOKUP($A84,TRANSPOSE('[1]Fur 3 PLC'!$CK$1:$DO$38),37,0),0)</f>
        <v>0</v>
      </c>
      <c r="DG84" s="54" cm="1">
        <f t="array" ref="DG84">IFERROR(VLOOKUP($A84,TRANSPOSE('[1]Fur 3 PLC'!$CK$1:$DO$38),6,0),0)</f>
        <v>0</v>
      </c>
      <c r="DH84" s="54" cm="1">
        <f t="array" ref="DH84">IFERROR(VLOOKUP($A84,TRANSPOSE('[1]Fur 3 PLC'!$CK$1:$DO$38),21,0),0)</f>
        <v>0</v>
      </c>
      <c r="DI84" s="54" cm="1">
        <f t="array" ref="DI84">IFERROR(VLOOKUP($A84,TRANSPOSE('[1]Fur 3 PLC'!$CK$1:$DO$38),12,0),0)</f>
        <v>0</v>
      </c>
      <c r="DJ84" s="54" cm="1">
        <f t="array" ref="DJ84">IFERROR(VLOOKUP($A84,TRANSPOSE('[1]Fur 3 PLC'!$CK$1:$DO$38),25,0),0)</f>
        <v>0</v>
      </c>
      <c r="DK84" s="54" cm="1">
        <f t="array" ref="DK84">IFERROR(VLOOKUP($A84,TRANSPOSE('[1]Fur 3 PLC'!$CK$1:$DO$38),26,0),0)</f>
        <v>0</v>
      </c>
      <c r="DL84" s="54" cm="1">
        <f t="array" ref="DL84">IFERROR(VLOOKUP($A84,TRANSPOSE('[1]Fur 3 PLC'!$CK$1:$DO$38),27,0),0)</f>
        <v>0</v>
      </c>
      <c r="DM84" s="54" cm="1">
        <f t="array" ref="DM84">IFERROR(VLOOKUP($A84,TRANSPOSE('[1]Fur 3 PLC'!$CK$1:$DO$38),22,0),0)</f>
        <v>0</v>
      </c>
      <c r="DN84" s="54" cm="1">
        <f t="array" ref="DN84">IFERROR(VLOOKUP($A84,TRANSPOSE('[1]Fur 3 PLC'!$CK$1:$DO$38),19,0),0)</f>
        <v>0</v>
      </c>
      <c r="DO84" s="54" cm="1">
        <f t="array" ref="DO84">IFERROR(VLOOKUP($A84,TRANSPOSE('[1]Fur 3 PLC'!$CK$1:$DO$38),29,0),0)</f>
        <v>0</v>
      </c>
      <c r="DP84" s="54" cm="1">
        <f t="array" ref="DP84">IFERROR(VLOOKUP($A84,TRANSPOSE('[1]Fur 3 PLC'!$CK$1:$DO$38),10,0),0)</f>
        <v>0</v>
      </c>
      <c r="DQ84" s="54" cm="1">
        <f t="array" ref="DQ84">IFERROR(VLOOKUP($A84,TRANSPOSE('[1]Fur 3 PLC'!$CK$1:$DO$38),7,0),0)</f>
        <v>0</v>
      </c>
      <c r="DR84" s="54" cm="1">
        <f t="array" ref="DR84">IFERROR(VLOOKUP($A84,TRANSPOSE('[1]Fur 3 PLC'!$CK$1:$DO$38),35,0),0)</f>
        <v>0</v>
      </c>
      <c r="DS84" s="54" cm="1">
        <f t="array" ref="DS84">IFERROR(VLOOKUP($A84,TRANSPOSE('[1]Fur 3 PLC'!$CK$1:$DO$38),11,0),0)</f>
        <v>0</v>
      </c>
      <c r="DT84" s="54" cm="1">
        <f t="array" ref="DT84">IFERROR(VLOOKUP($A84,TRANSPOSE('[1]Fur 3 PLC'!$CK$1:$DO$38),19,0),0)</f>
        <v>0</v>
      </c>
      <c r="DU84" s="54" cm="1">
        <f t="array" ref="DU84">IFERROR(VLOOKUP($A84,TRANSPOSE('[1]Fur 3 PLC'!$CK$1:$DO$38),18,0),0)</f>
        <v>0</v>
      </c>
      <c r="DV84" s="54" cm="1">
        <f t="array" ref="DV84">IFERROR(VLOOKUP($A84,TRANSPOSE('[1]Fur 3 PLC'!$CK$1:$DO$38),15,0),0)</f>
        <v>0</v>
      </c>
      <c r="DW84" t="str">
        <f t="shared" si="101"/>
        <v>Dec-25</v>
      </c>
    </row>
    <row r="85" spans="1:127" x14ac:dyDescent="0.3">
      <c r="A85" s="28" t="str">
        <f t="shared" si="59"/>
        <v>F446012</v>
      </c>
      <c r="B85" s="29" t="s">
        <v>29</v>
      </c>
      <c r="C85" s="30">
        <f>C84</f>
        <v>46012</v>
      </c>
      <c r="D85" s="29" t="str">
        <f>VLOOKUP($B85&amp;$C85,'[1]FC4 Prod'!$A$6:$BP$36,[2]Consolidated!D$1)</f>
        <v>Mr.Ganesh Ghosh Ji</v>
      </c>
      <c r="E85" s="29">
        <f>VLOOKUP($B85&amp;$C85,'[1]FC4 Prod'!$A$6:$BP$36,[2]Consolidated!E$1)</f>
        <v>0</v>
      </c>
      <c r="F85" s="31">
        <f>VLOOKUP($B85&amp;$C85,'[1]FC4 Prod'!$A$6:$BP$36,[2]Consolidated!F$1)</f>
        <v>0</v>
      </c>
      <c r="G85" s="32" t="e">
        <f>VLOOKUP($B85&amp;$C85,'[1]FC4 Prod'!$A$6:$BP$36,[2]Consolidated!G$1)</f>
        <v>#REF!</v>
      </c>
      <c r="H85" s="32">
        <f>VLOOKUP($B85&amp;$C85,'[1]FC4 Prod'!$A$6:$BP$36,[2]Consolidated!H$1)</f>
        <v>0</v>
      </c>
      <c r="I85" s="32">
        <f>VLOOKUP($B85&amp;$C85,'[1]FC4 Prod'!$A$6:$BP$36,[2]Consolidated!I$1)</f>
        <v>0</v>
      </c>
      <c r="J85" s="32">
        <f>VLOOKUP($B85&amp;$C85,'[1]FC4 Prod'!$A$6:$BP$36,[2]Consolidated!J$1)</f>
        <v>0</v>
      </c>
      <c r="K85" s="32">
        <f>VLOOKUP($B85&amp;$C85,'[1]FC4 Prod'!$A$6:$BP$36,[2]Consolidated!K$1)</f>
        <v>0</v>
      </c>
      <c r="L85" s="32">
        <f>VLOOKUP($B85&amp;$C85,'[1]FC4 Prod'!$A$6:$BP$36,[2]Consolidated!L$1)</f>
        <v>0</v>
      </c>
      <c r="M85" s="32">
        <f>VLOOKUP($B85&amp;$C85,'[1]FC4 Prod'!$A$6:$BP$36,[2]Consolidated!M$1)</f>
        <v>0</v>
      </c>
      <c r="N85" s="32">
        <f>VLOOKUP($B85&amp;$C85,'[1]FC4 Prod'!$A$6:$BP$36,[2]Consolidated!N$1)</f>
        <v>0</v>
      </c>
      <c r="O85" s="32">
        <f>VLOOKUP($B85&amp;$C85,'[1]FC4 Prod'!$A$6:$BP$36,[2]Consolidated!O$1)</f>
        <v>0</v>
      </c>
      <c r="P85" s="33">
        <f>VLOOKUP($B85&amp;$C85,'[1]FC4 Prod'!$A$6:$BP$36,[2]Consolidated!P$1)</f>
        <v>8</v>
      </c>
      <c r="Q85" s="29">
        <f>VLOOKUP($B85&amp;$C85,'[1]FC4 Prod'!$A$6:$BP$36,[2]Consolidated!Q$1)</f>
        <v>0</v>
      </c>
      <c r="R85" s="29">
        <f>VLOOKUP($B85&amp;$C85,'[1]FC4 Prod'!$A$6:$BP$36,[2]Consolidated!R$1)</f>
        <v>0</v>
      </c>
      <c r="S85" s="34" t="e">
        <f>VLOOKUP($B85&amp;$C85,'[1]FC4 Prod'!$A$6:$BP$36,[2]Consolidated!S$1)</f>
        <v>#REF!</v>
      </c>
      <c r="T85" s="34" t="e">
        <f>VLOOKUP($B85&amp;$C85,'[1]FC4 Prod'!$A$6:$BP$36,[2]Consolidated!T$1)</f>
        <v>#REF!</v>
      </c>
      <c r="U85" s="34" t="e">
        <f>VLOOKUP($B85&amp;$C85,'[1]FC4 Prod'!$A$6:$BP$36,[2]Consolidated!U$1)</f>
        <v>#REF!</v>
      </c>
      <c r="V85" s="34">
        <f>VLOOKUP($B85&amp;$C85,'[1]FC4 Prod'!$A$6:$BP$36,[2]Consolidated!V$1)</f>
        <v>0</v>
      </c>
      <c r="W85" s="35">
        <f>VLOOKUP($B85&amp;$C85,'[1]FC4 Prod'!$A$6:$BP$36,[2]Consolidated!W$1)</f>
        <v>0</v>
      </c>
      <c r="X85" s="35">
        <f>VLOOKUP($B85&amp;$C85,'[1]FC4 Prod'!$A$6:$BP$36,[2]Consolidated!X$1)</f>
        <v>0</v>
      </c>
      <c r="Y85" s="36">
        <f>VLOOKUP($B85&amp;$C85,'[1]FC4 Prod'!$A$6:$BP$36,[2]Consolidated!Y$1)</f>
        <v>0</v>
      </c>
      <c r="Z85" s="37" t="e">
        <f>VLOOKUP($B85&amp;$C85,'[1]FC4 Prod'!$A$6:$BP$36,[2]Consolidated!Z$1)</f>
        <v>#REF!</v>
      </c>
      <c r="AA85" s="31">
        <f>VLOOKUP($B85&amp;$C85,'[1]FC4 Prod'!$A$6:$BP$36,[2]Consolidated!AA$1)</f>
        <v>0</v>
      </c>
      <c r="AB85" s="31">
        <f>VLOOKUP($B85&amp;$C85,'[1]FC4 Prod'!$A$6:$BP$36,[2]Consolidated!AB$1)</f>
        <v>0</v>
      </c>
      <c r="AC85" s="31">
        <f>VLOOKUP($B85&amp;$C85,'[1]FC4 Prod'!$A$6:$BP$36,[2]Consolidated!AC$1)</f>
        <v>0</v>
      </c>
      <c r="AD85" s="38">
        <f>VLOOKUP($B85&amp;$C85,'[1]FC4 Prod'!$A$6:$BP$36,[2]Consolidated!AD$1)</f>
        <v>0</v>
      </c>
      <c r="AE85" s="38">
        <f>VLOOKUP($B85&amp;$C85,'[1]FC4 Prod'!$A$6:$BP$36,[2]Consolidated!AE$1)</f>
        <v>0</v>
      </c>
      <c r="AF85" s="39">
        <f>VLOOKUP($B85&amp;$C85,'[1]FC4 Prod'!$A$6:$BP$36,[2]Consolidated!AF$1)</f>
        <v>0</v>
      </c>
      <c r="AG85" s="39">
        <f>VLOOKUP($B85&amp;$C85,'[1]FC4 Prod'!$A$6:$BP$36,[2]Consolidated!AG$1)</f>
        <v>0</v>
      </c>
      <c r="AH85" s="34">
        <f>VLOOKUP($B85&amp;$C85,'[1]FC4 Prod'!$A$6:$BP$36,[2]Consolidated!AH$1)</f>
        <v>0</v>
      </c>
      <c r="AI85" s="33">
        <f>VLOOKUP($B85&amp;$C85,'[1]FC4 Prod'!$A$6:$BP$36,[2]Consolidated!AI$1)</f>
        <v>0</v>
      </c>
      <c r="AJ85" s="39">
        <f>VLOOKUP($B85&amp;$C85,'[1]FC4 Prod'!$A$6:$BP$36,[2]Consolidated!AJ$1)</f>
        <v>0</v>
      </c>
      <c r="AK85" s="39">
        <f>VLOOKUP($B85&amp;$C85,'[1]FC4 Prod'!$A$6:$BP$36,[2]Consolidated!AK$1)</f>
        <v>0</v>
      </c>
      <c r="AL85" s="40" t="e">
        <f>VLOOKUP($B85&amp;$C85,'[1]FC4 Prod'!$A$6:$BP$36,[2]Consolidated!AL$1)</f>
        <v>#REF!</v>
      </c>
      <c r="AM85" s="41">
        <f>VLOOKUP($B85&amp;$C85,'[1]FC4 Prod'!$A$6:$BP$36,[2]Consolidated!AM$1)</f>
        <v>0</v>
      </c>
      <c r="AN85" s="42" t="e">
        <f>VLOOKUP($B85&amp;$C85,'[1]FC4 Prod'!$A$6:$BP$36,[2]Consolidated!AN$1)</f>
        <v>#REF!</v>
      </c>
      <c r="AO85" s="43" t="e">
        <f>VLOOKUP($B85&amp;$C85,'[1]FC4 Prod'!$A$6:$BP$36,[2]Consolidated!AO$1)</f>
        <v>#REF!</v>
      </c>
      <c r="AP85" s="44">
        <f>VLOOKUP($B85&amp;$C85,'[1]FC4 Prod'!$A$6:$BP$36,[2]Consolidated!AP$1)</f>
        <v>0</v>
      </c>
      <c r="AQ85" s="44">
        <f>VLOOKUP($B85&amp;$C85,'[1]FC4 Prod'!$A$6:$BP$36,[2]Consolidated!AQ$1)</f>
        <v>0</v>
      </c>
      <c r="AR85" s="45">
        <f>VLOOKUP($B85&amp;$C85,'[1]FC4 Prod'!$A$6:$BP$36,[2]Consolidated!AR$1)</f>
        <v>0</v>
      </c>
      <c r="AS85" s="46">
        <f>VLOOKUP($B85&amp;$C85,'[1]FC4 Prod'!$A$6:$BP$36,[2]Consolidated!AS$1)</f>
        <v>0</v>
      </c>
      <c r="AT85" s="29">
        <f>VLOOKUP($B85&amp;$C85,'[1]FC4 Prod'!$A$6:$BP$36,[2]Consolidated!AT$1)</f>
        <v>0</v>
      </c>
      <c r="AU85" s="34">
        <f>VLOOKUP($B85&amp;$C85,'[1]FC4 Prod'!$A$6:$BP$36,[2]Consolidated!AU$1)</f>
        <v>0</v>
      </c>
      <c r="AV85" s="34">
        <f>VLOOKUP($B85&amp;$C85,'[1]FC4 Prod'!$A$6:$BP$36,[2]Consolidated!AV$1)</f>
        <v>0</v>
      </c>
      <c r="AW85" s="47">
        <f>VLOOKUP($B85&amp;$C85,'[1]FC4 Prod'!$A$6:$BP$36,[2]Consolidated!AW$1)</f>
        <v>0</v>
      </c>
      <c r="AX85" s="47">
        <f>VLOOKUP($B85&amp;$C85,'[1]FC4 Prod'!$A$6:$BP$36,[2]Consolidated!AX$1)</f>
        <v>0</v>
      </c>
      <c r="AY85" s="48">
        <f>VLOOKUP($B85&amp;$C85,'[1]FC4 Prod'!$A$6:$BP$36,[2]Consolidated!AY$1)</f>
        <v>0</v>
      </c>
      <c r="AZ85" s="47">
        <f>VLOOKUP($B85&amp;$C85,'[1]FC4 Prod'!$A$6:$BP$36,[2]Consolidated!AZ$1)</f>
        <v>0</v>
      </c>
      <c r="BA85" s="47">
        <f>VLOOKUP($B85&amp;$C85,'[1]FC4 Prod'!$A$6:$BP$36,[2]Consolidated!BA$1)</f>
        <v>0</v>
      </c>
      <c r="BB85" s="47">
        <f>VLOOKUP($B85&amp;$C85,'[1]FC4 Prod'!$A$6:$BP$36,[2]Consolidated!BB$1)</f>
        <v>0</v>
      </c>
      <c r="BC85" s="47">
        <f>VLOOKUP($B85&amp;$C85,'[1]FC4 Prod'!$A$6:$BP$36,[2]Consolidated!BC$1)</f>
        <v>0</v>
      </c>
      <c r="BD85" s="49">
        <f>VLOOKUP($B85&amp;$C85,'[1]FC4 Prod'!$A$6:$BP$36,[2]Consolidated!BD$1)</f>
        <v>0</v>
      </c>
      <c r="BE85" s="47">
        <f>VLOOKUP($B85&amp;$C85,'[1]FC4 Prod'!$A$6:$BP$36,[2]Consolidated!BE$1)</f>
        <v>0</v>
      </c>
      <c r="BF85" s="47">
        <f>VLOOKUP($B85&amp;$C85,'[1]FC4 Prod'!$A$6:$BP$36,[2]Consolidated!BF$1)</f>
        <v>0</v>
      </c>
      <c r="BG85" s="50">
        <f>VLOOKUP($B85&amp;$C85,'[1]FC4 Prod'!$A$6:$BP$36,[2]Consolidated!BG$1)</f>
        <v>0</v>
      </c>
      <c r="BH85" s="50">
        <f>VLOOKUP($B85&amp;$C85,'[1]FC4 Prod'!$A$6:$BP$36,[2]Consolidated!BH$1)</f>
        <v>0</v>
      </c>
      <c r="BI85" s="50">
        <f>VLOOKUP($B85&amp;$C85,'[1]FC4 Prod'!$A$6:$BP$36,[2]Consolidated!BI$1)</f>
        <v>0</v>
      </c>
      <c r="BJ85" s="37" t="e">
        <f>VLOOKUP($B85&amp;$C85,'[1]FC4 Prod'!$A$6:$BP$36,[2]Consolidated!BJ$1)</f>
        <v>#REF!</v>
      </c>
      <c r="BK85" s="37" t="e">
        <f>VLOOKUP($B85&amp;$C85,'[1]FC4 Prod'!$A$6:$BP$36,[2]Consolidated!BK$1)</f>
        <v>#REF!</v>
      </c>
      <c r="BL85" s="37" t="e">
        <f>VLOOKUP($B85&amp;$C85,'[1]FC4 Prod'!$A$6:$BP$36,[2]Consolidated!BL$1)</f>
        <v>#REF!</v>
      </c>
      <c r="BM85" s="37" t="e">
        <f>VLOOKUP($B85&amp;$C85,'[1]FC4 Prod'!$A$6:$BP$36,[2]Consolidated!BM$1)</f>
        <v>#REF!</v>
      </c>
      <c r="BN85" s="37" t="e">
        <f>VLOOKUP($B85&amp;$C85,'[1]FC4 Prod'!$A$6:$BP$36,[2]Consolidated!BN$1)</f>
        <v>#REF!</v>
      </c>
      <c r="BO85" s="37" t="e">
        <f>VLOOKUP($B85&amp;$C85,'[1]FC4 Prod'!$A$6:$BP$36,[2]Consolidated!BO$1)</f>
        <v>#REF!</v>
      </c>
      <c r="BP85" s="37" t="e">
        <f>VLOOKUP($B85&amp;$C85,'[1]FC4 Prod'!$A$6:$BP$36,[2]Consolidated!BP$1)</f>
        <v>#REF!</v>
      </c>
      <c r="BQ85" s="51" t="e">
        <f>VLOOKUP($B85&amp;$C85,'[1]FC4 Prod'!$A$6:$BP$36,[2]Consolidated!BQ$1)</f>
        <v>#REF!</v>
      </c>
      <c r="BR85" s="51">
        <f>VLOOKUP($B85&amp;$C85,'[1]FC4 Prod'!$A$6:$BQ$36,[2]Consolidated!BR$1)</f>
        <v>41644</v>
      </c>
      <c r="BS85" s="52">
        <f t="shared" ref="BS85" si="104">BE85+BF85*110%+BG85+BA85</f>
        <v>0</v>
      </c>
      <c r="BT85" s="32">
        <f t="shared" si="102"/>
        <v>41644</v>
      </c>
      <c r="BU85" s="37">
        <f t="shared" si="103"/>
        <v>0</v>
      </c>
      <c r="BV85" s="53" t="s">
        <v>132</v>
      </c>
      <c r="BW85" s="54" cm="1">
        <f t="array" ref="BW85">IFERROR(VLOOKUP($A85,TRANSPOSE('[1]Fur 4 PLC'!$AR$1:$BV$39),8,0),0)</f>
        <v>0</v>
      </c>
      <c r="BX85" s="54" cm="1">
        <f t="array" ref="BX85">IFERROR(VLOOKUP($A85,TRANSPOSE('[1]Fur 4 PLC'!$AR$1:$BV$39),30,0),0)</f>
        <v>0</v>
      </c>
      <c r="BY85" s="54" cm="1">
        <f t="array" ref="BY85">IFERROR(VLOOKUP($A85,TRANSPOSE('[1]Fur 4 PLC'!$AR$1:$BV$39),14,0),0)</f>
        <v>0</v>
      </c>
      <c r="BZ85" s="54" cm="1">
        <f t="array" ref="BZ85">IFERROR(VLOOKUP($A85,TRANSPOSE('[1]Fur 4 PLC'!$AR$1:$BV$39),16,0),0)</f>
        <v>0</v>
      </c>
      <c r="CA85" s="54" cm="1">
        <f t="array" ref="CA85">IFERROR(VLOOKUP($A85,TRANSPOSE('[1]Fur 4 PLC'!$AR$1:$BV$39),9,0),0)</f>
        <v>0</v>
      </c>
      <c r="CB85" s="54" cm="1">
        <f t="array" ref="CB85">IFERROR(VLOOKUP($A85,TRANSPOSE('[1]Fur 4 PLC'!$AR$1:$BV$39),17,0),0)</f>
        <v>0</v>
      </c>
      <c r="CC85" s="54" cm="1">
        <f t="array" ref="CC85">IFERROR(VLOOKUP($A85,TRANSPOSE('[1]Fur 4 PLC'!$AR$1:$BV$39),20,0),0)</f>
        <v>0</v>
      </c>
      <c r="CD85" s="54" cm="1">
        <f t="array" ref="CD85">IFERROR(VLOOKUP($A85,TRANSPOSE('[1]Fur 4 PLC'!$AR$1:$BV$39),28,0),0)</f>
        <v>0</v>
      </c>
      <c r="CE85" s="54" cm="1">
        <f t="array" ref="CE85">IFERROR(VLOOKUP($A85,TRANSPOSE('[1]Fur 4 PLC'!$AR$1:$BV$39),13,0),0)</f>
        <v>0</v>
      </c>
      <c r="CF85" s="54" cm="1">
        <f t="array" ref="CF85">IFERROR(VLOOKUP($A85,TRANSPOSE('[1]Fur 4 PLC'!$AR$1:$BV$39),37,0),0)</f>
        <v>0</v>
      </c>
      <c r="CG85" s="54" cm="1">
        <f t="array" ref="CG85">IFERROR(VLOOKUP($A85,TRANSPOSE('[1]Fur 4 PLC'!$AR$1:$BV$39),6,0),0)</f>
        <v>0</v>
      </c>
      <c r="CH85" s="54" cm="1">
        <f t="array" ref="CH85">IFERROR(VLOOKUP($A85,TRANSPOSE('[1]Fur 4 PLC'!$AR$1:$BV$39),21,0),0)</f>
        <v>0</v>
      </c>
      <c r="CI85" s="54" cm="1">
        <f t="array" ref="CI85">IFERROR(VLOOKUP($A85,TRANSPOSE('[1]Fur 4 PLC'!$AR$1:$BV$39),12,0),0)</f>
        <v>0</v>
      </c>
      <c r="CJ85" s="54" cm="1">
        <f t="array" ref="CJ85">IFERROR(VLOOKUP($A85,TRANSPOSE('[1]Fur 4 PLC'!$AR$1:$BV$39),25,0),0)</f>
        <v>0</v>
      </c>
      <c r="CK85" s="54" cm="1">
        <f t="array" ref="CK85">IFERROR(VLOOKUP($A85,TRANSPOSE('[1]Fur 4 PLC'!$AR$1:$BV$39),26,0),0)</f>
        <v>0</v>
      </c>
      <c r="CL85" s="54" cm="1">
        <f t="array" ref="CL85">IFERROR(VLOOKUP($A85,TRANSPOSE('[1]Fur 4 PLC'!$AR$1:$BV$39),27,0),0)</f>
        <v>0</v>
      </c>
      <c r="CM85" s="54" cm="1">
        <f t="array" ref="CM85">IFERROR(VLOOKUP($A85,TRANSPOSE('[1]Fur 4 PLC'!$AR$1:$BV$39),22,0),0)</f>
        <v>0</v>
      </c>
      <c r="CN85" s="54"/>
      <c r="CO85" s="54" cm="1">
        <f t="array" ref="CO85">IFERROR(VLOOKUP($A85,TRANSPOSE('[1]Fur 4 PLC'!$AR$1:$BV$39),29,0),0)</f>
        <v>0</v>
      </c>
      <c r="CP85" s="54" cm="1">
        <f t="array" ref="CP85">IFERROR(VLOOKUP($A85,TRANSPOSE('[1]Fur 4 PLC'!$AR$1:$BV$39),10,0),0)</f>
        <v>0</v>
      </c>
      <c r="CQ85" s="54" cm="1">
        <f t="array" ref="CQ85">IFERROR(VLOOKUP($A85,TRANSPOSE('[1]Fur 4 PLC'!$AR$1:$BV$39),7,0),0)</f>
        <v>0</v>
      </c>
      <c r="CR85" s="54" cm="1">
        <f t="array" ref="CR85">IFERROR(VLOOKUP($A85,TRANSPOSE('[1]Fur 4 PLC'!$AR$1:$BV$39),36,0),0)</f>
        <v>0</v>
      </c>
      <c r="CS85" s="54" cm="1">
        <f t="array" ref="CS85">IFERROR(VLOOKUP($A85,TRANSPOSE('[1]Fur 4 PLC'!$AR$1:$BV$39),11,0),0)</f>
        <v>0</v>
      </c>
      <c r="CT85" s="54" cm="1">
        <f t="array" ref="CT85">IFERROR(VLOOKUP($A85,TRANSPOSE('[1]Fur 4 PLC'!$AR$1:$BV$39),19,0),0)</f>
        <v>0</v>
      </c>
      <c r="CU85" s="54" cm="1">
        <f t="array" ref="CU85">IFERROR(VLOOKUP($A85,TRANSPOSE('[1]Fur 4 PLC'!$AR$1:$BV$39),18,0),0)</f>
        <v>0</v>
      </c>
      <c r="CV85" s="54" cm="1">
        <f t="array" ref="CV85">IFERROR(VLOOKUP($A85,TRANSPOSE('[1]Fur 4 PLC'!$AR$1:$BV$38),15,0),0)</f>
        <v>0</v>
      </c>
      <c r="CW85" s="54" cm="1">
        <f t="array" ref="CW85">IFERROR(VLOOKUP($A85,TRANSPOSE('[1]Fur 4 PLC'!$CK$1:$DO$39),8,0),0)</f>
        <v>0</v>
      </c>
      <c r="CX85" s="54" cm="1">
        <f t="array" ref="CX85">IFERROR(VLOOKUP($A85,TRANSPOSE('[1]Fur 4 PLC'!$CK$1:$DO$39),30,0),0)</f>
        <v>0</v>
      </c>
      <c r="CY85" s="54" cm="1">
        <f t="array" ref="CY85">IFERROR(VLOOKUP($A85,TRANSPOSE('[1]Fur 4 PLC'!$CK$1:$DO$39),14,0),0)</f>
        <v>0</v>
      </c>
      <c r="CZ85" s="54" cm="1">
        <f t="array" ref="CZ85">IFERROR(VLOOKUP($A85,TRANSPOSE('[1]Fur 4 PLC'!$CK$1:$DO$39),16,0),0)</f>
        <v>0</v>
      </c>
      <c r="DA85" s="54" cm="1">
        <f t="array" ref="DA85">IFERROR(VLOOKUP($A85,TRANSPOSE('[1]Fur 4 PLC'!$CK$1:$DO$39),9,0),0)</f>
        <v>0</v>
      </c>
      <c r="DB85" s="55" cm="1">
        <f t="array" ref="DB85">IFERROR(VLOOKUP($A85,TRANSPOSE('[1]Fur 4 PLC'!$CK$1:$DO$39),17,0),0)</f>
        <v>0</v>
      </c>
      <c r="DC85" s="55" cm="1">
        <f t="array" ref="DC85">IFERROR(VLOOKUP($A85,TRANSPOSE('[1]Fur 4 PLC'!$CK$1:$DO$39),20,0),0)</f>
        <v>0</v>
      </c>
      <c r="DD85" s="54" cm="1">
        <f t="array" ref="DD85">IFERROR(VLOOKUP($A85,TRANSPOSE('[1]Fur 4 PLC'!$CK$1:$DO$39),28,0),0)</f>
        <v>0</v>
      </c>
      <c r="DE85" s="54" cm="1">
        <f t="array" ref="DE85">IFERROR(VLOOKUP($A85,TRANSPOSE('[1]Fur 4 PLC'!$CK$1:$DO$39),13,0),0)</f>
        <v>0</v>
      </c>
      <c r="DF85" s="54" cm="1">
        <f t="array" ref="DF85">IFERROR(VLOOKUP($A85,TRANSPOSE('[1]Fur 4 PLC'!$CK$1:$DO$39),37,0),0)</f>
        <v>0</v>
      </c>
      <c r="DG85" s="54" cm="1">
        <f t="array" ref="DG85">IFERROR(VLOOKUP($A85,TRANSPOSE('[1]Fur 4 PLC'!$CK$1:$DO$39),6,0),0)</f>
        <v>0</v>
      </c>
      <c r="DH85" s="54" cm="1">
        <f t="array" ref="DH85">IFERROR(VLOOKUP($A85,TRANSPOSE('[1]Fur 4 PLC'!$CK$1:$DO$39),21,0),0)</f>
        <v>0</v>
      </c>
      <c r="DI85" s="54" cm="1">
        <f t="array" ref="DI85">IFERROR(VLOOKUP($A85,TRANSPOSE('[1]Fur 4 PLC'!$CK$1:$DO$39),12,0),0)</f>
        <v>0</v>
      </c>
      <c r="DJ85" s="54" cm="1">
        <f t="array" ref="DJ85">IFERROR(VLOOKUP($A85,TRANSPOSE('[1]Fur 4 PLC'!$CK$1:$DO$39),25,0),0)</f>
        <v>0</v>
      </c>
      <c r="DK85" s="54" cm="1">
        <f t="array" ref="DK85">IFERROR(VLOOKUP($A85,TRANSPOSE('[1]Fur 4 PLC'!$CK$1:$DO$39),26,0),0)</f>
        <v>0</v>
      </c>
      <c r="DL85" s="54" cm="1">
        <f t="array" ref="DL85">IFERROR(VLOOKUP($A85,TRANSPOSE('[1]Fur 4 PLC'!$CK$1:$DO$39),27,0),0)</f>
        <v>0</v>
      </c>
      <c r="DM85" s="54" cm="1">
        <f t="array" ref="DM85">IFERROR(VLOOKUP($A85,TRANSPOSE('[1]Fur 4 PLC'!$CK$1:$DO$39),22,0),0)</f>
        <v>0</v>
      </c>
      <c r="DN85" s="54" cm="1">
        <f t="array" ref="DN85">IFERROR(VLOOKUP($A85,TRANSPOSE('[1]Fur 4 PLC'!$CK$1:$DO$39),19,0),0)</f>
        <v>0</v>
      </c>
      <c r="DO85" s="54" cm="1">
        <f t="array" ref="DO85">IFERROR(VLOOKUP($A85,TRANSPOSE('[1]Fur 4 PLC'!$CK$1:$DO$39),29,0),0)</f>
        <v>0</v>
      </c>
      <c r="DP85" s="54" cm="1">
        <f t="array" ref="DP85">IFERROR(VLOOKUP($A85,TRANSPOSE('[1]Fur 4 PLC'!$CK$1:$DO$39),10,0),0)</f>
        <v>0</v>
      </c>
      <c r="DQ85" s="54" cm="1">
        <f t="array" ref="DQ85">IFERROR(VLOOKUP($A85,TRANSPOSE('[1]Fur 4 PLC'!$CK$1:$DO$39),7,0),0)</f>
        <v>0</v>
      </c>
      <c r="DR85" s="54" cm="1">
        <f t="array" ref="DR85">IFERROR(VLOOKUP($A85,TRANSPOSE('[1]Fur 4 PLC'!$CK$1:$DO$39),36,0),0)</f>
        <v>0</v>
      </c>
      <c r="DS85" s="54" cm="1">
        <f t="array" ref="DS85">IFERROR(VLOOKUP($A85,TRANSPOSE('[1]Fur 4 PLC'!$CK$1:$DO$39),11,0),0)</f>
        <v>0</v>
      </c>
      <c r="DT85" s="54" cm="1">
        <f t="array" ref="DT85">IFERROR(VLOOKUP($A85,TRANSPOSE('[1]Fur 4 PLC'!$CK$1:$DO$39),19,0),0)</f>
        <v>0</v>
      </c>
      <c r="DU85" s="54" cm="1">
        <f t="array" ref="DU85">IFERROR(VLOOKUP($A85,TRANSPOSE('[1]Fur 4 PLC'!$CK$1:$DO$39),18,0),0)</f>
        <v>0</v>
      </c>
      <c r="DV85" s="54" cm="1">
        <f t="array" ref="DV85">IFERROR(VLOOKUP($A85,TRANSPOSE('[1]Fur 4 PLC'!$CK$1:$DO$39),15,0),0)</f>
        <v>0</v>
      </c>
      <c r="DW85" t="str">
        <f t="shared" si="101"/>
        <v>Dec-25</v>
      </c>
    </row>
    <row r="86" spans="1:127" x14ac:dyDescent="0.3">
      <c r="A86" s="28" t="str">
        <f t="shared" si="59"/>
        <v>F146013</v>
      </c>
      <c r="B86" s="29" t="s">
        <v>26</v>
      </c>
      <c r="C86" s="30">
        <f>C82+1</f>
        <v>46013</v>
      </c>
      <c r="D86" s="29" t="str">
        <f>VLOOKUP($B86&amp;$C86,'[1]FC1 Prod'!$A$6:$BP$36,[2]Consolidated!D$1)</f>
        <v>Raju Singh</v>
      </c>
      <c r="E86" s="29">
        <f>VLOOKUP($B86&amp;$C86,'[1]FC1 Prod'!$A$6:$BP$36,[2]Consolidated!E$1)</f>
        <v>0</v>
      </c>
      <c r="F86" s="31">
        <f>VLOOKUP($B86&amp;$C86,'[1]FC1 Prod'!$A$6:$BP$36,[2]Consolidated!F$1)</f>
        <v>0</v>
      </c>
      <c r="G86" s="32" t="e">
        <f>VLOOKUP($B86&amp;$C86,'[1]FC1 Prod'!$A$6:$BP$36,[2]Consolidated!G$1)</f>
        <v>#REF!</v>
      </c>
      <c r="H86" s="32">
        <f>VLOOKUP($B86&amp;$C86,'[1]FC1 Prod'!$A$6:$BP$36,[2]Consolidated!H$1)</f>
        <v>0</v>
      </c>
      <c r="I86" s="32">
        <f>VLOOKUP($B86&amp;$C86,'[1]FC1 Prod'!$A$6:$BP$36,[2]Consolidated!I$1)</f>
        <v>0</v>
      </c>
      <c r="J86" s="32">
        <f>VLOOKUP($B86&amp;$C86,'[1]FC1 Prod'!$A$6:$BP$36,[2]Consolidated!J$1)</f>
        <v>0</v>
      </c>
      <c r="K86" s="32">
        <f>VLOOKUP($B86&amp;$C86,'[1]FC1 Prod'!$A$6:$BP$36,[2]Consolidated!K$1)</f>
        <v>0</v>
      </c>
      <c r="L86" s="32">
        <f>VLOOKUP($B86&amp;$C86,'[1]FC1 Prod'!$A$6:$BP$36,[2]Consolidated!L$1)</f>
        <v>0</v>
      </c>
      <c r="M86" s="32">
        <f>VLOOKUP($B86&amp;$C86,'[1]FC1 Prod'!$A$6:$BP$36,[2]Consolidated!M$1)</f>
        <v>0</v>
      </c>
      <c r="N86" s="32">
        <f>VLOOKUP($B86&amp;$C86,'[1]FC1 Prod'!$A$6:$BP$36,[2]Consolidated!N$1)</f>
        <v>0</v>
      </c>
      <c r="O86" s="32">
        <f>VLOOKUP($B86&amp;$C86,'[1]FC1 Prod'!$A$6:$BP$36,[2]Consolidated!O$1)</f>
        <v>0</v>
      </c>
      <c r="P86" s="33">
        <f>VLOOKUP($B86&amp;$C86,'[1]FC1 Prod'!$A$6:$BP$36,[2]Consolidated!P$1)</f>
        <v>8</v>
      </c>
      <c r="Q86" s="29">
        <f>VLOOKUP($B86&amp;$C86,'[1]FC1 Prod'!$A$6:$BP$36,[2]Consolidated!Q$1)</f>
        <v>0</v>
      </c>
      <c r="R86" s="29">
        <f>VLOOKUP($B86&amp;$C86,'[1]FC1 Prod'!$A$6:$BP$36,[2]Consolidated!R$1)</f>
        <v>0</v>
      </c>
      <c r="S86" s="34" t="e">
        <f>VLOOKUP($B86&amp;$C86,'[1]FC1 Prod'!$A$6:$BP$36,[2]Consolidated!S$1)</f>
        <v>#REF!</v>
      </c>
      <c r="T86" s="34" t="e">
        <f>VLOOKUP($B86&amp;$C86,'[1]FC1 Prod'!$A$6:$BP$36,[2]Consolidated!T$1)</f>
        <v>#REF!</v>
      </c>
      <c r="U86" s="34" t="e">
        <f>VLOOKUP($B86&amp;$C86,'[1]FC1 Prod'!$A$6:$BP$36,[2]Consolidated!U$1)</f>
        <v>#REF!</v>
      </c>
      <c r="V86" s="34">
        <f>VLOOKUP($B86&amp;$C86,'[1]FC1 Prod'!$A$6:$BP$36,[2]Consolidated!V$1)</f>
        <v>0</v>
      </c>
      <c r="W86" s="35">
        <f>VLOOKUP($B86&amp;$C86,'[1]FC1 Prod'!$A$6:$BP$36,[2]Consolidated!W$1)</f>
        <v>0</v>
      </c>
      <c r="X86" s="35">
        <f>VLOOKUP($B86&amp;$C86,'[1]FC1 Prod'!$A$6:$BP$36,[2]Consolidated!X$1)</f>
        <v>0</v>
      </c>
      <c r="Y86" s="36">
        <f>VLOOKUP($B86&amp;$C86,'[1]FC1 Prod'!$A$6:$BP$36,[2]Consolidated!Y$1)</f>
        <v>0</v>
      </c>
      <c r="Z86" s="37" t="e">
        <f>VLOOKUP($B86&amp;$C86,'[1]FC1 Prod'!$A$6:$BP$36,[2]Consolidated!Z$1)</f>
        <v>#REF!</v>
      </c>
      <c r="AA86" s="31">
        <f>VLOOKUP($B86&amp;$C86,'[1]FC1 Prod'!$A$6:$BP$36,[2]Consolidated!AA$1)</f>
        <v>0</v>
      </c>
      <c r="AB86" s="31">
        <f>VLOOKUP($B86&amp;$C86,'[1]FC1 Prod'!$A$6:$BP$36,[2]Consolidated!AB$1)</f>
        <v>0</v>
      </c>
      <c r="AC86" s="31">
        <f>VLOOKUP($B86&amp;$C86,'[1]FC1 Prod'!$A$6:$BP$36,[2]Consolidated!AC$1)</f>
        <v>0</v>
      </c>
      <c r="AD86" s="38">
        <f>VLOOKUP($B86&amp;$C86,'[1]FC1 Prod'!$A$6:$BP$36,[2]Consolidated!AD$1)</f>
        <v>0</v>
      </c>
      <c r="AE86" s="38">
        <f>VLOOKUP($B86&amp;$C86,'[1]FC1 Prod'!$A$6:$BP$36,[2]Consolidated!AE$1)</f>
        <v>0</v>
      </c>
      <c r="AF86" s="39">
        <f>VLOOKUP($B86&amp;$C86,'[1]FC1 Prod'!$A$6:$BP$36,[2]Consolidated!AF$1)</f>
        <v>0</v>
      </c>
      <c r="AG86" s="39">
        <f>VLOOKUP($B86&amp;$C86,'[1]FC1 Prod'!$A$6:$BP$36,[2]Consolidated!AG$1)</f>
        <v>0</v>
      </c>
      <c r="AH86" s="34">
        <f>VLOOKUP($B86&amp;$C86,'[1]FC1 Prod'!$A$6:$BP$36,[2]Consolidated!AH$1)</f>
        <v>0</v>
      </c>
      <c r="AI86" s="33">
        <f>VLOOKUP($B86&amp;$C86,'[1]FC1 Prod'!$A$6:$BP$36,[2]Consolidated!AI$1)</f>
        <v>0</v>
      </c>
      <c r="AJ86" s="39">
        <f>VLOOKUP($B86&amp;$C86,'[1]FC1 Prod'!$A$6:$BP$36,[2]Consolidated!AJ$1)</f>
        <v>0</v>
      </c>
      <c r="AK86" s="39">
        <f>VLOOKUP($B86&amp;$C86,'[1]FC1 Prod'!$A$6:$BP$36,[2]Consolidated!AK$1)</f>
        <v>0</v>
      </c>
      <c r="AL86" s="40" t="e">
        <f>VLOOKUP($B86&amp;$C86,'[1]FC1 Prod'!$A$6:$BP$36,[2]Consolidated!AL$1)</f>
        <v>#REF!</v>
      </c>
      <c r="AM86" s="41">
        <f>VLOOKUP($B86&amp;$C86,'[1]FC1 Prod'!$A$6:$BP$36,[2]Consolidated!AM$1)</f>
        <v>0</v>
      </c>
      <c r="AN86" s="42" t="e">
        <f>VLOOKUP($B86&amp;$C86,'[1]FC1 Prod'!$A$6:$BP$36,[2]Consolidated!AN$1)</f>
        <v>#REF!</v>
      </c>
      <c r="AO86" s="43" t="e">
        <f>VLOOKUP($B86&amp;$C86,'[1]FC1 Prod'!$A$6:$BP$36,[2]Consolidated!AO$1)</f>
        <v>#REF!</v>
      </c>
      <c r="AP86" s="44">
        <f>VLOOKUP($B86&amp;$C86,'[1]FC1 Prod'!$A$6:$BP$36,[2]Consolidated!AP$1)</f>
        <v>0</v>
      </c>
      <c r="AQ86" s="44">
        <f>VLOOKUP($B86&amp;$C86,'[1]FC1 Prod'!$A$6:$BP$36,[2]Consolidated!AQ$1)</f>
        <v>0</v>
      </c>
      <c r="AR86" s="45">
        <f>VLOOKUP($B86&amp;$C86,'[1]FC1 Prod'!$A$6:$BP$36,[2]Consolidated!AR$1)</f>
        <v>0</v>
      </c>
      <c r="AS86" s="46">
        <f>VLOOKUP($B86&amp;$C86,'[1]FC1 Prod'!$A$6:$BP$36,[2]Consolidated!AS$1)</f>
        <v>0</v>
      </c>
      <c r="AT86" s="29">
        <f>VLOOKUP($B86&amp;$C86,'[1]FC1 Prod'!$A$6:$BP$36,[2]Consolidated!AT$1)</f>
        <v>0</v>
      </c>
      <c r="AU86" s="34">
        <f>VLOOKUP($B86&amp;$C86,'[1]FC1 Prod'!$A$6:$BP$36,[2]Consolidated!AU$1)</f>
        <v>0</v>
      </c>
      <c r="AV86" s="34">
        <f>VLOOKUP($B86&amp;$C86,'[1]FC1 Prod'!$A$6:$BP$36,[2]Consolidated!AV$1)</f>
        <v>0</v>
      </c>
      <c r="AW86" s="47">
        <f>VLOOKUP($B86&amp;$C86,'[1]FC1 Prod'!$A$6:$BP$36,[2]Consolidated!AW$1)</f>
        <v>0</v>
      </c>
      <c r="AX86" s="47">
        <f>VLOOKUP($B86&amp;$C86,'[1]FC1 Prod'!$A$6:$BP$36,[2]Consolidated!AX$1)</f>
        <v>0</v>
      </c>
      <c r="AY86" s="48">
        <f>VLOOKUP($B86&amp;$C86,'[1]FC1 Prod'!$A$6:$BP$36,[2]Consolidated!AY$1)</f>
        <v>0</v>
      </c>
      <c r="AZ86" s="47">
        <f>VLOOKUP($B86&amp;$C86,'[1]FC1 Prod'!$A$6:$BP$36,[2]Consolidated!AZ$1)</f>
        <v>0</v>
      </c>
      <c r="BA86" s="47">
        <f>VLOOKUP($B86&amp;$C86,'[1]FC1 Prod'!$A$6:$BP$36,[2]Consolidated!BA$1)</f>
        <v>0</v>
      </c>
      <c r="BB86" s="47">
        <f>VLOOKUP($B86&amp;$C86,'[1]FC1 Prod'!$A$6:$BP$36,[2]Consolidated!BB$1)</f>
        <v>0</v>
      </c>
      <c r="BC86" s="47">
        <f>VLOOKUP($B86&amp;$C86,'[1]FC1 Prod'!$A$6:$BP$36,[2]Consolidated!BC$1)</f>
        <v>0</v>
      </c>
      <c r="BD86" s="49">
        <f>VLOOKUP($B86&amp;$C86,'[1]FC1 Prod'!$A$6:$BP$36,[2]Consolidated!BD$1)</f>
        <v>0</v>
      </c>
      <c r="BE86" s="47">
        <f>VLOOKUP($B86&amp;$C86,'[1]FC1 Prod'!$A$6:$BP$36,[2]Consolidated!BE$1)</f>
        <v>0</v>
      </c>
      <c r="BF86" s="47">
        <f>VLOOKUP($B86&amp;$C86,'[1]FC1 Prod'!$A$6:$BP$36,[2]Consolidated!BF$1)</f>
        <v>0</v>
      </c>
      <c r="BG86" s="50">
        <f>VLOOKUP($B86&amp;$C86,'[1]FC1 Prod'!$A$6:$BP$36,[2]Consolidated!BG$1)</f>
        <v>0</v>
      </c>
      <c r="BH86" s="50">
        <f>VLOOKUP($B86&amp;$C86,'[1]FC1 Prod'!$A$6:$BP$36,[2]Consolidated!BH$1)</f>
        <v>0</v>
      </c>
      <c r="BI86" s="50">
        <f>VLOOKUP($B86&amp;$C86,'[1]FC1 Prod'!$A$6:$BP$36,[2]Consolidated!BI$1)</f>
        <v>0</v>
      </c>
      <c r="BJ86" s="37" t="e">
        <f>VLOOKUP($B86&amp;$C86,'[1]FC1 Prod'!$A$6:$BP$36,[2]Consolidated!BJ$1)</f>
        <v>#REF!</v>
      </c>
      <c r="BK86" s="37" t="e">
        <f>VLOOKUP($B86&amp;$C86,'[1]FC1 Prod'!$A$6:$BP$36,[2]Consolidated!BK$1)</f>
        <v>#REF!</v>
      </c>
      <c r="BL86" s="37" t="e">
        <f>VLOOKUP($B86&amp;$C86,'[1]FC1 Prod'!$A$6:$BP$36,[2]Consolidated!BL$1)</f>
        <v>#REF!</v>
      </c>
      <c r="BM86" s="37" t="e">
        <f>VLOOKUP($B86&amp;$C86,'[1]FC1 Prod'!$A$6:$BP$36,[2]Consolidated!BM$1)</f>
        <v>#REF!</v>
      </c>
      <c r="BN86" s="37" t="e">
        <f>VLOOKUP($B86&amp;$C86,'[1]FC1 Prod'!$A$6:$BP$36,[2]Consolidated!BN$1)</f>
        <v>#REF!</v>
      </c>
      <c r="BO86" s="37" t="e">
        <f>VLOOKUP($B86&amp;$C86,'[1]FC1 Prod'!$A$6:$BP$36,[2]Consolidated!BO$1)</f>
        <v>#REF!</v>
      </c>
      <c r="BP86" s="37" t="e">
        <f>VLOOKUP($B86&amp;$C86,'[1]FC1 Prod'!$A$6:$BP$36,[2]Consolidated!BP$1)</f>
        <v>#REF!</v>
      </c>
      <c r="BQ86" s="51" t="e">
        <f>VLOOKUP($B86&amp;$C86,'[1]FC1 Prod'!$A$6:$BP$36,[2]Consolidated!BQ$1)</f>
        <v>#REF!</v>
      </c>
      <c r="BR86" s="51">
        <f>VLOOKUP($B86&amp;$C86,'[1]FC1 Prod'!$A$6:$BQ$36,[2]Consolidated!BR$1)</f>
        <v>69902</v>
      </c>
      <c r="BS86" s="52">
        <f t="shared" ref="BS86:BS88" si="105">BE86+BF86+BG86+BA86</f>
        <v>0</v>
      </c>
      <c r="BT86" s="32">
        <f>BR86-BS86</f>
        <v>69902</v>
      </c>
      <c r="BU86" s="37">
        <f>E86*BT86</f>
        <v>0</v>
      </c>
      <c r="BV86" s="53" t="s">
        <v>133</v>
      </c>
      <c r="BW86" s="54" cm="1">
        <f t="array" ref="BW86">IFERROR(VLOOKUP($A86,TRANSPOSE('[1]Fur 1 PLC'!$AR$1:$BV$38),8,0),0)</f>
        <v>0</v>
      </c>
      <c r="BX86" s="54" cm="1">
        <f t="array" ref="BX86">IFERROR(VLOOKUP($A86,TRANSPOSE('[1]Fur 1 PLC'!$AR$1:$BV$38),30,0),0)</f>
        <v>0</v>
      </c>
      <c r="BY86" s="54" cm="1">
        <f t="array" ref="BY86">IFERROR(VLOOKUP($A86,TRANSPOSE('[1]Fur 1 PLC'!$AR$1:$BV$38),14,0),0)</f>
        <v>0</v>
      </c>
      <c r="BZ86" s="54" cm="1">
        <f t="array" ref="BZ86">IFERROR(VLOOKUP($A86,TRANSPOSE('[1]Fur 1 PLC'!$AR$1:$BV$38),16,0),0)</f>
        <v>0</v>
      </c>
      <c r="CA86" s="54" cm="1">
        <f t="array" ref="CA86">IFERROR(VLOOKUP($A86,TRANSPOSE('[1]Fur 1 PLC'!$AR$1:$BV$38),9,0),0)</f>
        <v>0</v>
      </c>
      <c r="CB86" s="54" cm="1">
        <f t="array" ref="CB86">IFERROR(VLOOKUP($A86,TRANSPOSE('[1]Fur 1 PLC'!$AR$1:$BV$38),17,0),0)</f>
        <v>0</v>
      </c>
      <c r="CC86" s="54" cm="1">
        <f t="array" ref="CC86">IFERROR(VLOOKUP($A86,TRANSPOSE('[1]Fur 1 PLC'!$AR$1:$BV$38),20,0),0)</f>
        <v>0</v>
      </c>
      <c r="CD86" s="54" cm="1">
        <f t="array" ref="CD86">IFERROR(VLOOKUP($A86,TRANSPOSE('[1]Fur 1 PLC'!$AR$1:$BV$38),28,0),0)</f>
        <v>0</v>
      </c>
      <c r="CE86" s="54" cm="1">
        <f t="array" ref="CE86">IFERROR(VLOOKUP($A86,TRANSPOSE('[1]Fur 1 PLC'!$AR$1:$BV$38),13,0),0)</f>
        <v>0</v>
      </c>
      <c r="CF86" s="54" cm="1">
        <f t="array" ref="CF86">IFERROR(VLOOKUP($A86,TRANSPOSE('[1]Fur 1 PLC'!$AR$1:$BV$38),37,0),0)</f>
        <v>0</v>
      </c>
      <c r="CG86" s="54" cm="1">
        <f t="array" ref="CG86">IFERROR(VLOOKUP($A86,TRANSPOSE('[1]Fur 1 PLC'!$AR$1:$BV$38),6,0),0)</f>
        <v>0</v>
      </c>
      <c r="CH86" s="54" cm="1">
        <f t="array" ref="CH86">IFERROR(VLOOKUP($A86,TRANSPOSE('[1]Fur 1 PLC'!$AR$1:$BV$38),21,0),0)</f>
        <v>0</v>
      </c>
      <c r="CI86" s="54" cm="1">
        <f t="array" ref="CI86">IFERROR(VLOOKUP($A86,TRANSPOSE('[1]Fur 1 PLC'!$AR$1:$BV$38),12,0),0)</f>
        <v>0</v>
      </c>
      <c r="CJ86" s="54" cm="1">
        <f t="array" ref="CJ86">IFERROR(VLOOKUP($A86,TRANSPOSE('[1]Fur 1 PLC'!$AR$1:$BV$38),25,0),0)</f>
        <v>0</v>
      </c>
      <c r="CK86" s="54" cm="1">
        <f t="array" ref="CK86">IFERROR(VLOOKUP($A86,TRANSPOSE('[1]Fur 1 PLC'!$AR$1:$BV$38),26,0),0)</f>
        <v>0</v>
      </c>
      <c r="CL86" s="54" cm="1">
        <f t="array" ref="CL86">IFERROR(VLOOKUP($A86,TRANSPOSE('[1]Fur 1 PLC'!$AR$1:$BV$38),27,0),0)</f>
        <v>0</v>
      </c>
      <c r="CM86" s="54" cm="1">
        <f t="array" ref="CM86">IFERROR(VLOOKUP($A86,TRANSPOSE('[1]Fur 1 PLC'!$AR$1:$BV$38),22,0),0)</f>
        <v>0</v>
      </c>
      <c r="CN86" s="54"/>
      <c r="CO86" s="54" cm="1">
        <f t="array" ref="CO86">IFERROR(VLOOKUP($A86,TRANSPOSE('[1]Fur 1 PLC'!$AR$1:$BV$38),29,0),0)</f>
        <v>0</v>
      </c>
      <c r="CP86" s="54" cm="1">
        <f t="array" ref="CP86">IFERROR(VLOOKUP($A86,TRANSPOSE('[1]Fur 1 PLC'!$AR$1:$BV$38),10,0),0)</f>
        <v>0</v>
      </c>
      <c r="CQ86" s="54" cm="1">
        <f t="array" ref="CQ86">IFERROR(VLOOKUP($A86,TRANSPOSE('[1]Fur 1 PLC'!$AR$1:$BV$38),7,0),0)</f>
        <v>0</v>
      </c>
      <c r="CR86" s="54" cm="1">
        <f t="array" ref="CR86">IFERROR(VLOOKUP($A86,TRANSPOSE('[1]Fur 1 PLC'!$AR$1:$BV$38),35,0),0)</f>
        <v>0</v>
      </c>
      <c r="CS86" s="54" cm="1">
        <f t="array" ref="CS86">IFERROR(VLOOKUP($A86,TRANSPOSE('[1]Fur 1 PLC'!$AR$1:$BV$38),11,0),0)</f>
        <v>0</v>
      </c>
      <c r="CT86" s="54" cm="1">
        <f t="array" ref="CT86">IFERROR(VLOOKUP($A86,TRANSPOSE('[1]Fur 1 PLC'!$AR$1:$BV$38),19,0),0)</f>
        <v>0</v>
      </c>
      <c r="CU86" s="54" cm="1">
        <f t="array" ref="CU86">IFERROR(VLOOKUP($A86,TRANSPOSE('[1]Fur 1 PLC'!$AR$1:$BV$38),18,0),0)</f>
        <v>0</v>
      </c>
      <c r="CV86" s="54" cm="1">
        <f t="array" ref="CV86">IFERROR(VLOOKUP($A86,TRANSPOSE('[1]Fur 1 PLC'!$AR$1:$BV$38),15,0),0)</f>
        <v>0</v>
      </c>
      <c r="CW86" s="54" cm="1">
        <f t="array" ref="CW86">IFERROR(VLOOKUP($A86,TRANSPOSE('[1]Fur 1 PLC'!$CL$1:$DP$38),8,0),0)</f>
        <v>0</v>
      </c>
      <c r="CX86" s="54" cm="1">
        <f t="array" ref="CX86">IFERROR(VLOOKUP($A86,TRANSPOSE('[1]Fur 1 PLC'!$CL$1:$DP$38),30,0),0)</f>
        <v>0</v>
      </c>
      <c r="CY86" s="54" cm="1">
        <f t="array" ref="CY86">IFERROR(VLOOKUP($A86,TRANSPOSE('[1]Fur 1 PLC'!$CL$1:$DP$38),14,0),0)</f>
        <v>0</v>
      </c>
      <c r="CZ86" s="54" cm="1">
        <f t="array" ref="CZ86">IFERROR(VLOOKUP($A86,TRANSPOSE('[1]Fur 1 PLC'!$CL$1:$DP$38),16,0),0)</f>
        <v>0</v>
      </c>
      <c r="DA86" s="54" cm="1">
        <f t="array" ref="DA86">IFERROR(VLOOKUP($A86,TRANSPOSE('[1]Fur 1 PLC'!$CL$1:$DP$38),9,0),0)</f>
        <v>0</v>
      </c>
      <c r="DB86" s="55" cm="1">
        <f t="array" ref="DB86">IFERROR(VLOOKUP($A86,TRANSPOSE('[1]Fur 1 PLC'!$CL$1:$DP$38),17,0),0)</f>
        <v>0</v>
      </c>
      <c r="DC86" s="55" cm="1">
        <f t="array" ref="DC86">IFERROR(VLOOKUP($A86,TRANSPOSE('[1]Fur 1 PLC'!$CL$1:$DP$38),20,0),0)</f>
        <v>0</v>
      </c>
      <c r="DD86" s="54" cm="1">
        <f t="array" ref="DD86">IFERROR(VLOOKUP($A86,TRANSPOSE('[1]Fur 1 PLC'!$CL$1:$DP$38),28,0),0)</f>
        <v>0</v>
      </c>
      <c r="DE86" s="54" cm="1">
        <f t="array" ref="DE86">IFERROR(VLOOKUP($A86,TRANSPOSE('[1]Fur 1 PLC'!$CL$1:$DP$38),13,0),0)</f>
        <v>0</v>
      </c>
      <c r="DF86" s="54" cm="1">
        <f t="array" ref="DF86">IFERROR(VLOOKUP($A86,TRANSPOSE('[1]Fur 1 PLC'!$CL$1:$DP$38),37,0),0)</f>
        <v>0</v>
      </c>
      <c r="DG86" s="54" cm="1">
        <f t="array" ref="DG86">IFERROR(VLOOKUP($A86,TRANSPOSE('[1]Fur 1 PLC'!$CL$1:$DP$38),6,0),0)</f>
        <v>0</v>
      </c>
      <c r="DH86" s="54" cm="1">
        <f t="array" ref="DH86">IFERROR(VLOOKUP($A86,TRANSPOSE('[1]Fur 1 PLC'!$CL$1:$DP$38),21,0),0)</f>
        <v>0</v>
      </c>
      <c r="DI86" s="54" cm="1">
        <f t="array" ref="DI86">IFERROR(VLOOKUP($A86,TRANSPOSE('[1]Fur 1 PLC'!$CL$1:$DP$38),12,0),0)</f>
        <v>0</v>
      </c>
      <c r="DJ86" s="54" cm="1">
        <f t="array" ref="DJ86">IFERROR(VLOOKUP($A86,TRANSPOSE('[1]Fur 1 PLC'!$CL$1:$DP$38),25,0),0)</f>
        <v>0</v>
      </c>
      <c r="DK86" s="54" cm="1">
        <f t="array" ref="DK86">IFERROR(VLOOKUP($A86,TRANSPOSE('[1]Fur 1 PLC'!$CL$1:$DP$38),26,0),0)</f>
        <v>0</v>
      </c>
      <c r="DL86" s="54" cm="1">
        <f t="array" ref="DL86">IFERROR(VLOOKUP($A86,TRANSPOSE('[1]Fur 1 PLC'!$CL$1:$DP$38),27,0),0)</f>
        <v>0</v>
      </c>
      <c r="DM86" s="54" cm="1">
        <f t="array" ref="DM86">IFERROR(VLOOKUP($A86,TRANSPOSE('[1]Fur 1 PLC'!$CL$1:$DP$38),22,0),0)</f>
        <v>0</v>
      </c>
      <c r="DN86" s="54" cm="1">
        <f t="array" ref="DN86">IFERROR(VLOOKUP($A86,TRANSPOSE('[1]Fur 1 PLC'!$CL$1:$DP$38),19,0),0)</f>
        <v>0</v>
      </c>
      <c r="DO86" s="54" cm="1">
        <f t="array" ref="DO86">IFERROR(VLOOKUP($A86,TRANSPOSE('[1]Fur 1 PLC'!$CL$1:$DP$38),29,0),0)</f>
        <v>0</v>
      </c>
      <c r="DP86" s="54" cm="1">
        <f t="array" ref="DP86">IFERROR(VLOOKUP($A86,TRANSPOSE('[1]Fur 1 PLC'!$CL$1:$DP$38),10,0),0)</f>
        <v>0</v>
      </c>
      <c r="DQ86" s="54" cm="1">
        <f t="array" ref="DQ86">IFERROR(VLOOKUP($A86,TRANSPOSE('[1]Fur 1 PLC'!$CL$1:$DP$38),7,0),0)</f>
        <v>0</v>
      </c>
      <c r="DR86" s="54" cm="1">
        <f t="array" ref="DR86">IFERROR(VLOOKUP($A86,TRANSPOSE('[1]Fur 1 PLC'!$CL$1:$DP$38),35,0),0)</f>
        <v>0</v>
      </c>
      <c r="DS86" s="54" cm="1">
        <f t="array" ref="DS86">IFERROR(VLOOKUP($A86,TRANSPOSE('[1]Fur 1 PLC'!$CL$1:$DP$38),11,0),0)</f>
        <v>0</v>
      </c>
      <c r="DT86" s="54" cm="1">
        <f t="array" ref="DT86">IFERROR(VLOOKUP($A86,TRANSPOSE('[1]Fur 1 PLC'!$CL$1:$DP$38),19,0),0)</f>
        <v>0</v>
      </c>
      <c r="DU86" s="54" cm="1">
        <f t="array" ref="DU86">IFERROR(VLOOKUP($A86,TRANSPOSE('[1]Fur 1 PLC'!$CL$1:$DP$38),18,0),0)</f>
        <v>0</v>
      </c>
      <c r="DV86" s="54" cm="1">
        <f t="array" ref="DV86">IFERROR(VLOOKUP($A86,TRANSPOSE('[1]Fur 1 PLC'!$CL$1:$DP$38),15,0),0)</f>
        <v>0</v>
      </c>
      <c r="DW86" t="str">
        <f>TEXT(C86,"Mmm-yy")</f>
        <v>Dec-25</v>
      </c>
    </row>
    <row r="87" spans="1:127" x14ac:dyDescent="0.3">
      <c r="A87" s="28" t="str">
        <f t="shared" si="59"/>
        <v>F246013</v>
      </c>
      <c r="B87" s="29" t="s">
        <v>27</v>
      </c>
      <c r="C87" s="30">
        <f>C86</f>
        <v>46013</v>
      </c>
      <c r="D87" s="29" t="str">
        <f>VLOOKUP($B87&amp;$C87,'[1]FC2 Prod'!$A$6:$BP$36,[2]Consolidated!D$1)</f>
        <v>Mr. Girish Malik</v>
      </c>
      <c r="E87" s="29">
        <f>VLOOKUP($B87&amp;$C87,'[1]FC2 Prod'!$A$6:$BP$36,[2]Consolidated!E$1)</f>
        <v>0</v>
      </c>
      <c r="F87" s="29">
        <f>VLOOKUP($B87&amp;$C87,'[1]FC2 Prod'!$A$6:$BP$36,[2]Consolidated!F$1)</f>
        <v>0</v>
      </c>
      <c r="G87" s="29" t="e">
        <f>VLOOKUP($B87&amp;$C87,'[1]FC2 Prod'!$A$6:$BP$36,[2]Consolidated!G$1)</f>
        <v>#REF!</v>
      </c>
      <c r="H87" s="32">
        <f>VLOOKUP($B87&amp;$C87,'[1]FC2 Prod'!$A$6:$BP$36,[2]Consolidated!H$1)</f>
        <v>0</v>
      </c>
      <c r="I87" s="32">
        <f>VLOOKUP($B87&amp;$C87,'[1]FC2 Prod'!$A$6:$BP$36,[2]Consolidated!I$1)</f>
        <v>0</v>
      </c>
      <c r="J87" s="32">
        <f>VLOOKUP($B87&amp;$C87,'[1]FC2 Prod'!$A$6:$BP$36,[2]Consolidated!J$1)</f>
        <v>0</v>
      </c>
      <c r="K87" s="32">
        <f>VLOOKUP($B87&amp;$C87,'[1]FC2 Prod'!$A$6:$BP$36,[2]Consolidated!K$1)</f>
        <v>0</v>
      </c>
      <c r="L87" s="32">
        <f>VLOOKUP($B87&amp;$C87,'[1]FC2 Prod'!$A$6:$BP$36,[2]Consolidated!L$1)</f>
        <v>0</v>
      </c>
      <c r="M87" s="32">
        <f>VLOOKUP($B87&amp;$C87,'[1]FC2 Prod'!$A$6:$BP$36,[2]Consolidated!M$1)</f>
        <v>0</v>
      </c>
      <c r="N87" s="32">
        <f>VLOOKUP($B87&amp;$C87,'[1]FC2 Prod'!$A$6:$BP$36,[2]Consolidated!N$1)</f>
        <v>0</v>
      </c>
      <c r="O87" s="32">
        <f>VLOOKUP($B87&amp;$C87,'[1]FC2 Prod'!$A$6:$BP$36,[2]Consolidated!O$1)</f>
        <v>0</v>
      </c>
      <c r="P87" s="34">
        <f>VLOOKUP($B87&amp;$C87,'[1]FC2 Prod'!$A$6:$BP$36,[2]Consolidated!P$1)</f>
        <v>9</v>
      </c>
      <c r="Q87" s="29">
        <f>VLOOKUP($B87&amp;$C87,'[1]FC2 Prod'!$A$6:$BP$36,[2]Consolidated!Q$1)</f>
        <v>0</v>
      </c>
      <c r="R87" s="29">
        <f>VLOOKUP($B87&amp;$C87,'[1]FC2 Prod'!$A$6:$BP$36,[2]Consolidated!R$1)</f>
        <v>0</v>
      </c>
      <c r="S87" s="34" t="e">
        <f>VLOOKUP($B87&amp;$C87,'[1]FC2 Prod'!$A$6:$BP$36,[2]Consolidated!S$1)</f>
        <v>#REF!</v>
      </c>
      <c r="T87" s="34" t="e">
        <f>VLOOKUP($B87&amp;$C87,'[1]FC2 Prod'!$A$6:$BP$36,[2]Consolidated!T$1)</f>
        <v>#REF!</v>
      </c>
      <c r="U87" s="34" t="e">
        <f>VLOOKUP($B87&amp;$C87,'[1]FC2 Prod'!$A$6:$BP$36,[2]Consolidated!U$1)</f>
        <v>#REF!</v>
      </c>
      <c r="V87" s="34">
        <f>VLOOKUP($B87&amp;$C87,'[1]FC2 Prod'!$A$6:$BP$36,[2]Consolidated!V$1)</f>
        <v>0</v>
      </c>
      <c r="W87" s="29">
        <f>VLOOKUP($B87&amp;$C87,'[1]FC2 Prod'!$A$6:$BP$36,[2]Consolidated!W$1)</f>
        <v>0</v>
      </c>
      <c r="X87" s="35">
        <f>VLOOKUP($B87&amp;$C87,'[1]FC2 Prod'!$A$6:$BP$36,[2]Consolidated!X$1)</f>
        <v>0</v>
      </c>
      <c r="Y87" s="36">
        <f>VLOOKUP($B87&amp;$C87,'[1]FC2 Prod'!$A$6:$BP$36,[2]Consolidated!Y$1)</f>
        <v>0</v>
      </c>
      <c r="Z87" s="37" t="e">
        <f>VLOOKUP($B87&amp;$C87,'[1]FC2 Prod'!$A$6:$BP$36,[2]Consolidated!Z$1)</f>
        <v>#REF!</v>
      </c>
      <c r="AA87" s="31">
        <f>VLOOKUP($B87&amp;$C87,'[1]FC2 Prod'!$A$6:$BP$36,[2]Consolidated!AA$1)</f>
        <v>0</v>
      </c>
      <c r="AB87" s="31">
        <f>VLOOKUP($B87&amp;$C87,'[1]FC2 Prod'!$A$6:$BP$36,[2]Consolidated!AB$1)</f>
        <v>0</v>
      </c>
      <c r="AC87" s="31">
        <f>VLOOKUP($B87&amp;$C87,'[1]FC2 Prod'!$A$6:$BP$36,[2]Consolidated!AC$1)</f>
        <v>0</v>
      </c>
      <c r="AD87" s="38">
        <f>VLOOKUP($B87&amp;$C87,'[1]FC2 Prod'!$A$6:$BP$36,[2]Consolidated!AD$1)</f>
        <v>0</v>
      </c>
      <c r="AE87" s="38">
        <f>VLOOKUP($B87&amp;$C87,'[1]FC2 Prod'!$A$6:$BP$36,[2]Consolidated!AE$1)</f>
        <v>0</v>
      </c>
      <c r="AF87" s="39">
        <f>VLOOKUP($B87&amp;$C87,'[1]FC2 Prod'!$A$6:$BP$36,[2]Consolidated!AF$1)</f>
        <v>0</v>
      </c>
      <c r="AG87" s="39">
        <f>VLOOKUP($B87&amp;$C87,'[1]FC2 Prod'!$A$6:$BP$36,[2]Consolidated!AG$1)</f>
        <v>0</v>
      </c>
      <c r="AH87" s="34">
        <f>VLOOKUP($B87&amp;$C87,'[1]FC2 Prod'!$A$6:$BP$36,[2]Consolidated!AH$1)</f>
        <v>0</v>
      </c>
      <c r="AI87" s="33">
        <f>VLOOKUP($B87&amp;$C87,'[1]FC2 Prod'!$A$6:$BP$36,[2]Consolidated!AI$1)</f>
        <v>0</v>
      </c>
      <c r="AJ87" s="39">
        <f>VLOOKUP($B87&amp;$C87,'[1]FC2 Prod'!$A$6:$BP$36,[2]Consolidated!AJ$1)</f>
        <v>0</v>
      </c>
      <c r="AK87" s="39">
        <f>VLOOKUP($B87&amp;$C87,'[1]FC2 Prod'!$A$6:$BP$36,[2]Consolidated!AK$1)</f>
        <v>0</v>
      </c>
      <c r="AL87" s="40" t="e">
        <f>VLOOKUP($B87&amp;$C87,'[1]FC2 Prod'!$A$6:$BP$36,[2]Consolidated!AL$1)</f>
        <v>#REF!</v>
      </c>
      <c r="AM87" s="41">
        <f>VLOOKUP($B87&amp;$C87,'[1]FC2 Prod'!$A$6:$BP$36,[2]Consolidated!AM$1)</f>
        <v>0</v>
      </c>
      <c r="AN87" s="42" t="e">
        <f>VLOOKUP($B87&amp;$C87,'[1]FC2 Prod'!$A$6:$BP$36,[2]Consolidated!AN$1)</f>
        <v>#REF!</v>
      </c>
      <c r="AO87" s="43" t="e">
        <f>VLOOKUP($B87&amp;$C87,'[1]FC2 Prod'!$A$6:$BP$36,[2]Consolidated!AO$1)</f>
        <v>#REF!</v>
      </c>
      <c r="AP87" s="44">
        <f>VLOOKUP($B87&amp;$C87,'[1]FC2 Prod'!$A$6:$BP$36,[2]Consolidated!AP$1)</f>
        <v>0</v>
      </c>
      <c r="AQ87" s="44">
        <f>VLOOKUP($B87&amp;$C87,'[1]FC2 Prod'!$A$6:$BP$36,[2]Consolidated!AQ$1)</f>
        <v>0</v>
      </c>
      <c r="AR87" s="45">
        <f>VLOOKUP($B87&amp;$C87,'[1]FC2 Prod'!$A$6:$BP$36,[2]Consolidated!AR$1)</f>
        <v>0</v>
      </c>
      <c r="AS87" s="46">
        <f>VLOOKUP($B87&amp;$C87,'[1]FC2 Prod'!$A$6:$BP$36,[2]Consolidated!AS$1)</f>
        <v>0</v>
      </c>
      <c r="AT87" s="29">
        <f>VLOOKUP($B87&amp;$C87,'[1]FC2 Prod'!$A$6:$BP$36,[2]Consolidated!AT$1)</f>
        <v>0</v>
      </c>
      <c r="AU87" s="34">
        <f>VLOOKUP($B87&amp;$C87,'[1]FC2 Prod'!$A$6:$BP$36,[2]Consolidated!AU$1)</f>
        <v>0</v>
      </c>
      <c r="AV87" s="34">
        <f>VLOOKUP($B87&amp;$C87,'[1]FC2 Prod'!$A$6:$BP$36,[2]Consolidated!AV$1)</f>
        <v>0</v>
      </c>
      <c r="AW87" s="47">
        <f>VLOOKUP($B87&amp;$C87,'[1]FC2 Prod'!$A$6:$BP$36,[2]Consolidated!AW$1)</f>
        <v>0</v>
      </c>
      <c r="AX87" s="47">
        <f>VLOOKUP($B87&amp;$C87,'[1]FC2 Prod'!$A$6:$BP$36,[2]Consolidated!AX$1)</f>
        <v>0</v>
      </c>
      <c r="AY87" s="48">
        <f>VLOOKUP($B87&amp;$C87,'[1]FC2 Prod'!$A$6:$BP$36,[2]Consolidated!AY$1)</f>
        <v>0</v>
      </c>
      <c r="AZ87" s="47">
        <f>VLOOKUP($B87&amp;$C87,'[1]FC2 Prod'!$A$6:$BP$36,[2]Consolidated!AZ$1)</f>
        <v>0</v>
      </c>
      <c r="BA87" s="47">
        <f>VLOOKUP($B87&amp;$C87,'[1]FC2 Prod'!$A$6:$BP$36,[2]Consolidated!BA$1)</f>
        <v>0</v>
      </c>
      <c r="BB87" s="47">
        <f>VLOOKUP($B87&amp;$C87,'[1]FC2 Prod'!$A$6:$BP$36,[2]Consolidated!BB$1)</f>
        <v>0</v>
      </c>
      <c r="BC87" s="47">
        <f>VLOOKUP($B87&amp;$C87,'[1]FC2 Prod'!$A$6:$BP$36,[2]Consolidated!BC$1)</f>
        <v>0</v>
      </c>
      <c r="BD87" s="49">
        <f>VLOOKUP($B87&amp;$C87,'[1]FC2 Prod'!$A$6:$BP$36,[2]Consolidated!BD$1)</f>
        <v>0</v>
      </c>
      <c r="BE87" s="47">
        <f>VLOOKUP($B87&amp;$C87,'[1]FC2 Prod'!$A$6:$BP$36,[2]Consolidated!BE$1)</f>
        <v>0</v>
      </c>
      <c r="BF87" s="47">
        <f>VLOOKUP($B87&amp;$C87,'[1]FC2 Prod'!$A$6:$BP$36,[2]Consolidated!BF$1)</f>
        <v>0</v>
      </c>
      <c r="BG87" s="50">
        <f>VLOOKUP($B87&amp;$C87,'[1]FC2 Prod'!$A$6:$BP$36,[2]Consolidated!BG$1)</f>
        <v>0</v>
      </c>
      <c r="BH87" s="50">
        <f>VLOOKUP($B87&amp;$C87,'[1]FC2 Prod'!$A$6:$BP$36,[2]Consolidated!BH$1)</f>
        <v>0</v>
      </c>
      <c r="BI87" s="50">
        <f>VLOOKUP($B87&amp;$C87,'[1]FC2 Prod'!$A$6:$BP$36,[2]Consolidated!BI$1)</f>
        <v>0</v>
      </c>
      <c r="BJ87" s="37" t="e">
        <f>VLOOKUP($B87&amp;$C87,'[1]FC2 Prod'!$A$6:$BP$36,[2]Consolidated!BJ$1)</f>
        <v>#REF!</v>
      </c>
      <c r="BK87" s="37" t="e">
        <f>VLOOKUP($B87&amp;$C87,'[1]FC2 Prod'!$A$6:$BP$36,[2]Consolidated!BK$1)</f>
        <v>#REF!</v>
      </c>
      <c r="BL87" s="37" t="e">
        <f>VLOOKUP($B87&amp;$C87,'[1]FC2 Prod'!$A$6:$BP$36,[2]Consolidated!BL$1)</f>
        <v>#REF!</v>
      </c>
      <c r="BM87" s="37" t="e">
        <f>VLOOKUP($B87&amp;$C87,'[1]FC2 Prod'!$A$6:$BP$36,[2]Consolidated!BM$1)</f>
        <v>#REF!</v>
      </c>
      <c r="BN87" s="37" t="e">
        <f>VLOOKUP($B87&amp;$C87,'[1]FC2 Prod'!$A$6:$BP$36,[2]Consolidated!BN$1)</f>
        <v>#REF!</v>
      </c>
      <c r="BO87" s="37" t="e">
        <f>VLOOKUP($B87&amp;$C87,'[1]FC2 Prod'!$A$6:$BP$36,[2]Consolidated!BO$1)</f>
        <v>#REF!</v>
      </c>
      <c r="BP87" s="37" t="e">
        <f>VLOOKUP($B87&amp;$C87,'[1]FC2 Prod'!$A$6:$BP$36,[2]Consolidated!BP$1)</f>
        <v>#REF!</v>
      </c>
      <c r="BQ87" s="29" t="e">
        <f>VLOOKUP($B87&amp;$C87,'[1]FC2 Prod'!$A$6:$BP$36,[2]Consolidated!BQ$1)</f>
        <v>#REF!</v>
      </c>
      <c r="BR87" s="51">
        <f>VLOOKUP($B87&amp;$C87,'[1]FC2 Prod'!$A$6:$BQ$36,[2]Consolidated!BR$1)</f>
        <v>68163</v>
      </c>
      <c r="BS87" s="52">
        <f t="shared" si="105"/>
        <v>0</v>
      </c>
      <c r="BT87" s="32">
        <f>BR87-BS87</f>
        <v>68163</v>
      </c>
      <c r="BU87" s="37">
        <f>E87*BT87</f>
        <v>0</v>
      </c>
      <c r="BV87" s="53" t="s">
        <v>133</v>
      </c>
      <c r="BW87" s="54" cm="1">
        <f t="array" ref="BW87">IFERROR(VLOOKUP($A87,TRANSPOSE('[1]Fur 2 PLC'!$AR$1:$BV$38),8,0),0)</f>
        <v>0</v>
      </c>
      <c r="BX87" s="54" cm="1">
        <f t="array" ref="BX87">IFERROR(VLOOKUP($A87,TRANSPOSE('[1]Fur 2 PLC'!$AR$1:$BV$38),30,0),0)</f>
        <v>0</v>
      </c>
      <c r="BY87" s="54" cm="1">
        <f t="array" ref="BY87">IFERROR(VLOOKUP($A87,TRANSPOSE('[1]Fur 2 PLC'!$AR$1:$BV$38),14,0),0)</f>
        <v>0</v>
      </c>
      <c r="BZ87" s="54" cm="1">
        <f t="array" ref="BZ87">IFERROR(VLOOKUP($A87,TRANSPOSE('[1]Fur 2 PLC'!$AR$1:$BV$38),16,0),0)</f>
        <v>0</v>
      </c>
      <c r="CA87" s="54" cm="1">
        <f t="array" ref="CA87">IFERROR(VLOOKUP($A87,TRANSPOSE('[1]Fur 2 PLC'!$AR$1:$BV$38),9,0),0)</f>
        <v>0</v>
      </c>
      <c r="CB87" s="54" cm="1">
        <f t="array" ref="CB87">IFERROR(VLOOKUP($A87,TRANSPOSE('[1]Fur 2 PLC'!$AR$1:$BV$38),17,0),0)</f>
        <v>0</v>
      </c>
      <c r="CC87" s="54" cm="1">
        <f t="array" ref="CC87">IFERROR(VLOOKUP($A87,TRANSPOSE('[1]Fur 2 PLC'!$AR$1:$BV$38),20,0),0)</f>
        <v>0</v>
      </c>
      <c r="CD87" s="54" cm="1">
        <f t="array" ref="CD87">IFERROR(VLOOKUP($A87,TRANSPOSE('[1]Fur 2 PLC'!$AR$1:$BV$38),28,0),0)</f>
        <v>0</v>
      </c>
      <c r="CE87" s="54" cm="1">
        <f t="array" ref="CE87">IFERROR(VLOOKUP($A87,TRANSPOSE('[1]Fur 2 PLC'!$AR$1:$BV$38),13,0),0)</f>
        <v>0</v>
      </c>
      <c r="CF87" s="54" cm="1">
        <f t="array" ref="CF87">IFERROR(VLOOKUP($A87,TRANSPOSE('[1]Fur 2 PLC'!$AR$1:$BV$38),37,0),0)</f>
        <v>0</v>
      </c>
      <c r="CG87" s="54" cm="1">
        <f t="array" ref="CG87">IFERROR(VLOOKUP($A87,TRANSPOSE('[1]Fur 2 PLC'!$AR$1:$BV$38),6,0),0)</f>
        <v>0</v>
      </c>
      <c r="CH87" s="54" cm="1">
        <f t="array" ref="CH87">IFERROR(VLOOKUP($A87,TRANSPOSE('[1]Fur 2 PLC'!$AR$1:$BV$38),21,0),0)</f>
        <v>0</v>
      </c>
      <c r="CI87" s="54" cm="1">
        <f t="array" ref="CI87">IFERROR(VLOOKUP($A87,TRANSPOSE('[1]Fur 2 PLC'!$AR$1:$BV$38),12,0),0)</f>
        <v>0</v>
      </c>
      <c r="CJ87" s="54" cm="1">
        <f t="array" ref="CJ87">IFERROR(VLOOKUP($A87,TRANSPOSE('[1]Fur 2 PLC'!$AR$1:$BV$38),25,0),0)</f>
        <v>0</v>
      </c>
      <c r="CK87" s="54" cm="1">
        <f t="array" ref="CK87">IFERROR(VLOOKUP($A87,TRANSPOSE('[1]Fur 2 PLC'!$AR$1:$BV$38),26,0),0)</f>
        <v>0</v>
      </c>
      <c r="CL87" s="54" cm="1">
        <f t="array" ref="CL87">IFERROR(VLOOKUP($A87,TRANSPOSE('[1]Fur 2 PLC'!$AR$1:$BV$38),27,0),0)</f>
        <v>0</v>
      </c>
      <c r="CM87" s="54" cm="1">
        <f t="array" ref="CM87">IFERROR(VLOOKUP($A87,TRANSPOSE('[1]Fur 2 PLC'!$AR$1:$BV$38),22,0),0)</f>
        <v>0</v>
      </c>
      <c r="CN87" s="54"/>
      <c r="CO87" s="54" cm="1">
        <f t="array" ref="CO87">IFERROR(VLOOKUP($A87,TRANSPOSE('[1]Fur 2 PLC'!$AR$1:$BV$38),29,0),0)</f>
        <v>0</v>
      </c>
      <c r="CP87" s="54" cm="1">
        <f t="array" ref="CP87">IFERROR(VLOOKUP($A87,TRANSPOSE('[1]Fur 2 PLC'!$AR$1:$BV$38),10,0),0)</f>
        <v>0</v>
      </c>
      <c r="CQ87" s="54" cm="1">
        <f t="array" ref="CQ87">IFERROR(VLOOKUP($A87,TRANSPOSE('[1]Fur 2 PLC'!$AR$1:$BV$38),7,0),0)</f>
        <v>0</v>
      </c>
      <c r="CR87" s="54" cm="1">
        <f t="array" ref="CR87">IFERROR(VLOOKUP($A87,TRANSPOSE('[1]Fur 2 PLC'!$AR$1:$BV$38),35,0),0)</f>
        <v>0</v>
      </c>
      <c r="CS87" s="54" cm="1">
        <f t="array" ref="CS87">IFERROR(VLOOKUP($A87,TRANSPOSE('[1]Fur 2 PLC'!$AR$1:$BV$38),11,0),0)</f>
        <v>0</v>
      </c>
      <c r="CT87" s="54" cm="1">
        <f t="array" ref="CT87">IFERROR(VLOOKUP($A87,TRANSPOSE('[1]Fur 2 PLC'!$AR$1:$BV$38),19,0),0)</f>
        <v>0</v>
      </c>
      <c r="CU87" s="54" cm="1">
        <f t="array" ref="CU87">IFERROR(VLOOKUP($A87,TRANSPOSE('[1]Fur 2 PLC'!$AR$1:$BV$38),18,0),0)</f>
        <v>0</v>
      </c>
      <c r="CV87" s="54" cm="1">
        <f t="array" ref="CV87">IFERROR(VLOOKUP($A87,TRANSPOSE('[1]Fur 2 PLC'!$AR$1:$BV$38),15,0),0)</f>
        <v>0</v>
      </c>
      <c r="CW87" s="54" cm="1">
        <f t="array" ref="CW87">IFERROR(VLOOKUP($A87,TRANSPOSE('[1]Fur 2 PLC'!$CI$1:$DM$38),8,0),0)</f>
        <v>0</v>
      </c>
      <c r="CX87" s="54" cm="1">
        <f t="array" ref="CX87">IFERROR(VLOOKUP($A87,TRANSPOSE('[1]Fur 2 PLC'!$CI$1:$DM$38),30,0),0)</f>
        <v>0</v>
      </c>
      <c r="CY87" s="54" cm="1">
        <f t="array" ref="CY87">IFERROR(VLOOKUP($A87,TRANSPOSE('[1]Fur 2 PLC'!$CI$1:$DM$38),14,0),0)</f>
        <v>0</v>
      </c>
      <c r="CZ87" s="54" cm="1">
        <f t="array" ref="CZ87">IFERROR(VLOOKUP($A87,TRANSPOSE('[1]Fur 2 PLC'!$CI$1:$DM$38),16,0),0)</f>
        <v>0</v>
      </c>
      <c r="DA87" s="54" cm="1">
        <f t="array" ref="DA87">IFERROR(VLOOKUP($A87,TRANSPOSE('[1]Fur 2 PLC'!$CI$1:$DM$38),9,0),0)</f>
        <v>0</v>
      </c>
      <c r="DB87" s="55" cm="1">
        <f t="array" ref="DB87">IFERROR(VLOOKUP($A87,TRANSPOSE('[1]Fur 2 PLC'!$CI$1:$DM$38),17,0),0)</f>
        <v>0</v>
      </c>
      <c r="DC87" s="55" cm="1">
        <f t="array" ref="DC87">IFERROR(VLOOKUP($A87,TRANSPOSE('[1]Fur 2 PLC'!$CI$1:$DM$38),20,0),0)</f>
        <v>0</v>
      </c>
      <c r="DD87" s="54" cm="1">
        <f t="array" ref="DD87">IFERROR(VLOOKUP($A87,TRANSPOSE('[1]Fur 2 PLC'!$CI$1:$DM$38),28,0),0)</f>
        <v>0</v>
      </c>
      <c r="DE87" s="54" cm="1">
        <f t="array" ref="DE87">IFERROR(VLOOKUP($A87,TRANSPOSE('[1]Fur 2 PLC'!$CI$1:$DM$38),13,0),0)</f>
        <v>0</v>
      </c>
      <c r="DF87" s="54" cm="1">
        <f t="array" ref="DF87">IFERROR(VLOOKUP($A87,TRANSPOSE('[1]Fur 2 PLC'!$CI$1:$DM$38),37,0),0)</f>
        <v>0</v>
      </c>
      <c r="DG87" s="54" cm="1">
        <f t="array" ref="DG87">IFERROR(VLOOKUP($A87,TRANSPOSE('[1]Fur 2 PLC'!$CI$1:$DM$38),6,0),0)</f>
        <v>0</v>
      </c>
      <c r="DH87" s="54" cm="1">
        <f t="array" ref="DH87">IFERROR(VLOOKUP($A87,TRANSPOSE('[1]Fur 2 PLC'!$CI$1:$DM$38),21,0),0)</f>
        <v>0</v>
      </c>
      <c r="DI87" s="54" cm="1">
        <f t="array" ref="DI87">IFERROR(VLOOKUP($A87,TRANSPOSE('[1]Fur 2 PLC'!$CI$1:$DM$38),12,0),0)</f>
        <v>0</v>
      </c>
      <c r="DJ87" s="54" cm="1">
        <f t="array" ref="DJ87">IFERROR(VLOOKUP($A87,TRANSPOSE('[1]Fur 2 PLC'!$CI$1:$DM$38),25,0),0)</f>
        <v>0</v>
      </c>
      <c r="DK87" s="54" cm="1">
        <f t="array" ref="DK87">IFERROR(VLOOKUP($A87,TRANSPOSE('[1]Fur 2 PLC'!$CI$1:$DM$38),26,0),0)</f>
        <v>0</v>
      </c>
      <c r="DL87" s="54" cm="1">
        <f t="array" ref="DL87">IFERROR(VLOOKUP($A87,TRANSPOSE('[1]Fur 2 PLC'!$CI$1:$DM$38),27,0),0)</f>
        <v>0</v>
      </c>
      <c r="DM87" s="54" cm="1">
        <f t="array" ref="DM87">IFERROR(VLOOKUP($A87,TRANSPOSE('[1]Fur 2 PLC'!$CI$1:$DM$38),22,0),0)</f>
        <v>0</v>
      </c>
      <c r="DN87" s="54" cm="1">
        <f t="array" ref="DN87">IFERROR(VLOOKUP($A87,TRANSPOSE('[1]Fur 2 PLC'!$CI$1:$DM$38),19,0),0)</f>
        <v>0</v>
      </c>
      <c r="DO87" s="54" cm="1">
        <f t="array" ref="DO87">IFERROR(VLOOKUP($A87,TRANSPOSE('[1]Fur 2 PLC'!$CI$1:$DM$38),29,0),0)</f>
        <v>0</v>
      </c>
      <c r="DP87" s="54" cm="1">
        <f t="array" ref="DP87">IFERROR(VLOOKUP($A87,TRANSPOSE('[1]Fur 2 PLC'!$CI$1:$DM$38),10,0),0)</f>
        <v>0</v>
      </c>
      <c r="DQ87" s="54" cm="1">
        <f t="array" ref="DQ87">IFERROR(VLOOKUP($A87,TRANSPOSE('[1]Fur 2 PLC'!$CI$1:$DM$38),7,0),0)</f>
        <v>0</v>
      </c>
      <c r="DR87" s="54" cm="1">
        <f t="array" ref="DR87">IFERROR(VLOOKUP($A87,TRANSPOSE('[1]Fur 2 PLC'!$CI$1:$DM$38),35,0),0)</f>
        <v>0</v>
      </c>
      <c r="DS87" s="54" cm="1">
        <f t="array" ref="DS87">IFERROR(VLOOKUP($A87,TRANSPOSE('[1]Fur 2 PLC'!$CI$1:$DM$38),11,0),0)</f>
        <v>0</v>
      </c>
      <c r="DT87" s="54" cm="1">
        <f t="array" ref="DT87">IFERROR(VLOOKUP($A87,TRANSPOSE('[1]Fur 2 PLC'!$CI$1:$DM$38),19,0),0)</f>
        <v>0</v>
      </c>
      <c r="DU87" s="54" cm="1">
        <f t="array" ref="DU87">IFERROR(VLOOKUP($A87,TRANSPOSE('[1]Fur 2 PLC'!$CI$1:$DM$38),18,0),0)</f>
        <v>0</v>
      </c>
      <c r="DV87" s="54" cm="1">
        <f t="array" ref="DV87">IFERROR(VLOOKUP($A87,TRANSPOSE('[1]Fur 2 PLC'!$CI$1:$DM$38),15,0),0)</f>
        <v>0</v>
      </c>
      <c r="DW87" t="str">
        <f t="shared" ref="DW87:DW89" si="106">TEXT(C87,"Mmm-yy")</f>
        <v>Dec-25</v>
      </c>
    </row>
    <row r="88" spans="1:127" x14ac:dyDescent="0.3">
      <c r="A88" s="28" t="str">
        <f t="shared" si="59"/>
        <v>F346013</v>
      </c>
      <c r="B88" s="29" t="s">
        <v>28</v>
      </c>
      <c r="C88" s="30">
        <f>C87</f>
        <v>46013</v>
      </c>
      <c r="D88" s="29" t="str">
        <f>VLOOKUP($B88&amp;$C88,'[1]FC3 Prod'!$A$6:$BP$36,[2]Consolidated!D$1)</f>
        <v>Mr. Ajay Singh</v>
      </c>
      <c r="E88" s="29">
        <f>VLOOKUP($B88&amp;$C88,'[1]FC3 Prod'!$A$6:$BP$36,[2]Consolidated!E$1)</f>
        <v>0</v>
      </c>
      <c r="F88" s="31">
        <f>VLOOKUP($B88&amp;$C88,'[1]FC3 Prod'!$A$6:$BP$36,[2]Consolidated!F$1)</f>
        <v>0</v>
      </c>
      <c r="G88" s="32" t="e">
        <f>VLOOKUP($B88&amp;$C88,'[1]FC3 Prod'!$A$6:$BP$36,[2]Consolidated!G$1)</f>
        <v>#REF!</v>
      </c>
      <c r="H88" s="32">
        <f>VLOOKUP($B88&amp;$C88,'[1]FC3 Prod'!$A$6:$BP$36,[2]Consolidated!H$1)</f>
        <v>0</v>
      </c>
      <c r="I88" s="32">
        <f>VLOOKUP($B88&amp;$C88,'[1]FC3 Prod'!$A$6:$BP$36,[2]Consolidated!I$1)</f>
        <v>0</v>
      </c>
      <c r="J88" s="32">
        <f>VLOOKUP($B88&amp;$C88,'[1]FC3 Prod'!$A$6:$BP$36,[2]Consolidated!J$1)</f>
        <v>0</v>
      </c>
      <c r="K88" s="32">
        <f>VLOOKUP($B88&amp;$C88,'[1]FC3 Prod'!$A$6:$BP$36,[2]Consolidated!K$1)</f>
        <v>0</v>
      </c>
      <c r="L88" s="32">
        <f>VLOOKUP($B88&amp;$C88,'[1]FC3 Prod'!$A$6:$BP$36,[2]Consolidated!L$1)</f>
        <v>0</v>
      </c>
      <c r="M88" s="32">
        <f>VLOOKUP($B88&amp;$C88,'[1]FC3 Prod'!$A$6:$BP$36,[2]Consolidated!M$1)</f>
        <v>0</v>
      </c>
      <c r="N88" s="32">
        <f>VLOOKUP($B88&amp;$C88,'[1]FC3 Prod'!$A$6:$BP$36,[2]Consolidated!N$1)</f>
        <v>0</v>
      </c>
      <c r="O88" s="32">
        <f>VLOOKUP($B88&amp;$C88,'[1]FC3 Prod'!$A$6:$BP$36,[2]Consolidated!O$1)</f>
        <v>0</v>
      </c>
      <c r="P88" s="33">
        <f>VLOOKUP($B88&amp;$C88,'[1]FC3 Prod'!$A$6:$BP$36,[2]Consolidated!P$1)</f>
        <v>8</v>
      </c>
      <c r="Q88" s="29">
        <f>VLOOKUP($B88&amp;$C88,'[1]FC3 Prod'!$A$6:$BP$36,[2]Consolidated!Q$1)</f>
        <v>0</v>
      </c>
      <c r="R88" s="29">
        <f>VLOOKUP($B88&amp;$C88,'[1]FC3 Prod'!$A$6:$BP$36,[2]Consolidated!R$1)</f>
        <v>0</v>
      </c>
      <c r="S88" s="34" t="e">
        <f>VLOOKUP($B88&amp;$C88,'[1]FC3 Prod'!$A$6:$BP$36,[2]Consolidated!S$1)</f>
        <v>#REF!</v>
      </c>
      <c r="T88" s="34" t="e">
        <f>VLOOKUP($B88&amp;$C88,'[1]FC3 Prod'!$A$6:$BP$36,[2]Consolidated!T$1)</f>
        <v>#REF!</v>
      </c>
      <c r="U88" s="34" t="e">
        <f>VLOOKUP($B88&amp;$C88,'[1]FC3 Prod'!$A$6:$BP$36,[2]Consolidated!U$1)</f>
        <v>#REF!</v>
      </c>
      <c r="V88" s="34">
        <f>VLOOKUP($B88&amp;$C88,'[1]FC3 Prod'!$A$6:$BP$36,[2]Consolidated!V$1)</f>
        <v>0</v>
      </c>
      <c r="W88" s="35">
        <f>VLOOKUP($B88&amp;$C88,'[1]FC3 Prod'!$A$6:$BP$36,[2]Consolidated!W$1)</f>
        <v>0</v>
      </c>
      <c r="X88" s="35">
        <f>VLOOKUP($B88&amp;$C88,'[1]FC3 Prod'!$A$6:$BP$36,[2]Consolidated!X$1)</f>
        <v>0</v>
      </c>
      <c r="Y88" s="36">
        <f>VLOOKUP($B88&amp;$C88,'[1]FC3 Prod'!$A$6:$BP$36,[2]Consolidated!Y$1)</f>
        <v>0</v>
      </c>
      <c r="Z88" s="37" t="e">
        <f>VLOOKUP($B88&amp;$C88,'[1]FC3 Prod'!$A$6:$BP$36,[2]Consolidated!Z$1)</f>
        <v>#REF!</v>
      </c>
      <c r="AA88" s="31">
        <f>VLOOKUP($B88&amp;$C88,'[1]FC3 Prod'!$A$6:$BP$36,[2]Consolidated!AA$1)</f>
        <v>0</v>
      </c>
      <c r="AB88" s="31">
        <f>VLOOKUP($B88&amp;$C88,'[1]FC3 Prod'!$A$6:$BP$36,[2]Consolidated!AB$1)</f>
        <v>0</v>
      </c>
      <c r="AC88" s="31" t="e">
        <f>VLOOKUP($B88&amp;$C88,'[1]FC3 Prod'!$A$6:$BP$36,[2]Consolidated!AC$1)</f>
        <v>#REF!</v>
      </c>
      <c r="AD88" s="38">
        <f>VLOOKUP($B88&amp;$C88,'[1]FC3 Prod'!$A$6:$BP$36,[2]Consolidated!AD$1)</f>
        <v>0</v>
      </c>
      <c r="AE88" s="38">
        <f>VLOOKUP($B88&amp;$C88,'[1]FC3 Prod'!$A$6:$BP$36,[2]Consolidated!AE$1)</f>
        <v>0</v>
      </c>
      <c r="AF88" s="39">
        <f>VLOOKUP($B88&amp;$C88,'[1]FC3 Prod'!$A$6:$BP$36,[2]Consolidated!AF$1)</f>
        <v>0</v>
      </c>
      <c r="AG88" s="39">
        <f>VLOOKUP($B88&amp;$C88,'[1]FC3 Prod'!$A$6:$BP$36,[2]Consolidated!AG$1)</f>
        <v>0</v>
      </c>
      <c r="AH88" s="34">
        <f>VLOOKUP($B88&amp;$C88,'[1]FC3 Prod'!$A$6:$BP$36,[2]Consolidated!AH$1)</f>
        <v>0</v>
      </c>
      <c r="AI88" s="33">
        <f>VLOOKUP($B88&amp;$C88,'[1]FC3 Prod'!$A$6:$BP$36,[2]Consolidated!AI$1)</f>
        <v>0</v>
      </c>
      <c r="AJ88" s="39">
        <f>VLOOKUP($B88&amp;$C88,'[1]FC3 Prod'!$A$6:$BP$36,[2]Consolidated!AJ$1)</f>
        <v>0</v>
      </c>
      <c r="AK88" s="39">
        <f>VLOOKUP($B88&amp;$C88,'[1]FC3 Prod'!$A$6:$BP$36,[2]Consolidated!AK$1)</f>
        <v>0</v>
      </c>
      <c r="AL88" s="40" t="e">
        <f>VLOOKUP($B88&amp;$C88,'[1]FC3 Prod'!$A$6:$BP$36,[2]Consolidated!AL$1)</f>
        <v>#REF!</v>
      </c>
      <c r="AM88" s="41">
        <f>VLOOKUP($B88&amp;$C88,'[1]FC3 Prod'!$A$6:$BP$36,[2]Consolidated!AM$1)</f>
        <v>0</v>
      </c>
      <c r="AN88" s="42" t="e">
        <f>VLOOKUP($B88&amp;$C88,'[1]FC3 Prod'!$A$6:$BP$36,[2]Consolidated!AN$1)</f>
        <v>#REF!</v>
      </c>
      <c r="AO88" s="43" t="e">
        <f>VLOOKUP($B88&amp;$C88,'[1]FC3 Prod'!$A$6:$BP$36,[2]Consolidated!AO$1)</f>
        <v>#REF!</v>
      </c>
      <c r="AP88" s="44">
        <f>VLOOKUP($B88&amp;$C88,'[1]FC3 Prod'!$A$6:$BP$36,[2]Consolidated!AP$1)</f>
        <v>0</v>
      </c>
      <c r="AQ88" s="44">
        <f>VLOOKUP($B88&amp;$C88,'[1]FC3 Prod'!$A$6:$BP$36,[2]Consolidated!AQ$1)</f>
        <v>0</v>
      </c>
      <c r="AR88" s="45">
        <f>VLOOKUP($B88&amp;$C88,'[1]FC3 Prod'!$A$6:$BP$36,[2]Consolidated!AR$1)</f>
        <v>0</v>
      </c>
      <c r="AS88" s="46">
        <f>VLOOKUP($B88&amp;$C88,'[1]FC3 Prod'!$A$6:$BP$36,[2]Consolidated!AS$1)</f>
        <v>0</v>
      </c>
      <c r="AT88" s="29">
        <f>VLOOKUP($B88&amp;$C88,'[1]FC3 Prod'!$A$6:$BP$36,[2]Consolidated!AT$1)</f>
        <v>0</v>
      </c>
      <c r="AU88" s="34">
        <f>VLOOKUP($B88&amp;$C88,'[1]FC3 Prod'!$A$6:$BP$36,[2]Consolidated!AU$1)</f>
        <v>0</v>
      </c>
      <c r="AV88" s="34">
        <f>VLOOKUP($B88&amp;$C88,'[1]FC3 Prod'!$A$6:$BP$36,[2]Consolidated!AV$1)</f>
        <v>0</v>
      </c>
      <c r="AW88" s="47">
        <f>VLOOKUP($B88&amp;$C88,'[1]FC3 Prod'!$A$6:$BP$36,[2]Consolidated!AW$1)</f>
        <v>0</v>
      </c>
      <c r="AX88" s="47">
        <f>VLOOKUP($B88&amp;$C88,'[1]FC3 Prod'!$A$6:$BP$36,[2]Consolidated!AX$1)</f>
        <v>0</v>
      </c>
      <c r="AY88" s="48">
        <f>VLOOKUP($B88&amp;$C88,'[1]FC3 Prod'!$A$6:$BP$36,[2]Consolidated!AY$1)</f>
        <v>0</v>
      </c>
      <c r="AZ88" s="47">
        <f>VLOOKUP($B88&amp;$C88,'[1]FC3 Prod'!$A$6:$BP$36,[2]Consolidated!AZ$1)</f>
        <v>0</v>
      </c>
      <c r="BA88" s="47">
        <f>VLOOKUP($B88&amp;$C88,'[1]FC3 Prod'!$A$6:$BP$36,[2]Consolidated!BA$1)</f>
        <v>0</v>
      </c>
      <c r="BB88" s="47">
        <f>VLOOKUP($B88&amp;$C88,'[1]FC3 Prod'!$A$6:$BP$36,[2]Consolidated!BB$1)</f>
        <v>0</v>
      </c>
      <c r="BC88" s="47">
        <f>VLOOKUP($B88&amp;$C88,'[1]FC3 Prod'!$A$6:$BP$36,[2]Consolidated!BC$1)</f>
        <v>0</v>
      </c>
      <c r="BD88" s="49">
        <f>VLOOKUP($B88&amp;$C88,'[1]FC3 Prod'!$A$6:$BP$36,[2]Consolidated!BD$1)</f>
        <v>0</v>
      </c>
      <c r="BE88" s="47">
        <f>VLOOKUP($B88&amp;$C88,'[1]FC3 Prod'!$A$6:$BP$36,[2]Consolidated!BE$1)</f>
        <v>0</v>
      </c>
      <c r="BF88" s="47">
        <f>VLOOKUP($B88&amp;$C88,'[1]FC3 Prod'!$A$6:$BP$36,[2]Consolidated!BF$1)</f>
        <v>0</v>
      </c>
      <c r="BG88" s="50">
        <f>VLOOKUP($B88&amp;$C88,'[1]FC3 Prod'!$A$6:$BP$36,[2]Consolidated!BG$1)</f>
        <v>0</v>
      </c>
      <c r="BH88" s="50">
        <f>VLOOKUP($B88&amp;$C88,'[1]FC3 Prod'!$A$6:$BP$36,[2]Consolidated!BH$1)</f>
        <v>0</v>
      </c>
      <c r="BI88" s="50">
        <f>VLOOKUP($B88&amp;$C88,'[1]FC3 Prod'!$A$6:$BP$36,[2]Consolidated!BI$1)</f>
        <v>0</v>
      </c>
      <c r="BJ88" s="37" t="e">
        <f>VLOOKUP($B88&amp;$C88,'[1]FC3 Prod'!$A$6:$BP$36,[2]Consolidated!BJ$1)</f>
        <v>#REF!</v>
      </c>
      <c r="BK88" s="37" t="e">
        <f>VLOOKUP($B88&amp;$C88,'[1]FC3 Prod'!$A$6:$BP$36,[2]Consolidated!BK$1)</f>
        <v>#REF!</v>
      </c>
      <c r="BL88" s="37" t="e">
        <f>VLOOKUP($B88&amp;$C88,'[1]FC3 Prod'!$A$6:$BP$36,[2]Consolidated!BL$1)</f>
        <v>#REF!</v>
      </c>
      <c r="BM88" s="37" t="e">
        <f>VLOOKUP($B88&amp;$C88,'[1]FC3 Prod'!$A$6:$BP$36,[2]Consolidated!BM$1)</f>
        <v>#REF!</v>
      </c>
      <c r="BN88" s="37" t="e">
        <f>VLOOKUP($B88&amp;$C88,'[1]FC3 Prod'!$A$6:$BP$36,[2]Consolidated!BN$1)</f>
        <v>#REF!</v>
      </c>
      <c r="BO88" s="37" t="e">
        <f>VLOOKUP($B88&amp;$C88,'[1]FC3 Prod'!$A$6:$BP$36,[2]Consolidated!BO$1)</f>
        <v>#REF!</v>
      </c>
      <c r="BP88" s="37" t="e">
        <f>VLOOKUP($B88&amp;$C88,'[1]FC3 Prod'!$A$6:$BP$36,[2]Consolidated!BP$1)</f>
        <v>#REF!</v>
      </c>
      <c r="BQ88" s="51" t="e">
        <f>VLOOKUP($B88&amp;$C88,'[1]FC3 Prod'!$A$6:$BP$36,[2]Consolidated!BQ$1)</f>
        <v>#REF!</v>
      </c>
      <c r="BR88" s="51">
        <f>VLOOKUP($B88&amp;$C88,'[1]FC3 Prod'!$A$6:$BQ$36,[2]Consolidated!BR$1)</f>
        <v>60369</v>
      </c>
      <c r="BS88" s="52">
        <f t="shared" si="105"/>
        <v>0</v>
      </c>
      <c r="BT88" s="32">
        <f t="shared" ref="BT88:BT89" si="107">BR88-BS88</f>
        <v>60369</v>
      </c>
      <c r="BU88" s="37">
        <f t="shared" ref="BU88:BU89" si="108">E88*BT88</f>
        <v>0</v>
      </c>
      <c r="BV88" s="53" t="s">
        <v>133</v>
      </c>
      <c r="BW88" s="54" cm="1">
        <f t="array" ref="BW88">IFERROR(VLOOKUP($A88,TRANSPOSE('[1]Fur 3 PLC'!$AS$1:$BX$38),8,0),0)</f>
        <v>0</v>
      </c>
      <c r="BX88" s="54" cm="1">
        <f t="array" ref="BX88">IFERROR(VLOOKUP($A88,TRANSPOSE('[1]Fur 3 PLC'!$AS$1:$BX$38),30,0),0)</f>
        <v>0</v>
      </c>
      <c r="BY88" s="54" cm="1">
        <f t="array" ref="BY88">IFERROR(VLOOKUP($A88,TRANSPOSE('[1]Fur 3 PLC'!$AS$1:$BX$38),14,0),0)</f>
        <v>0</v>
      </c>
      <c r="BZ88" s="54" cm="1">
        <f t="array" ref="BZ88">IFERROR(VLOOKUP($A88,TRANSPOSE('[1]Fur 3 PLC'!$AS$1:$BX$38),16,0),0)</f>
        <v>0</v>
      </c>
      <c r="CA88" s="54" cm="1">
        <f t="array" ref="CA88">IFERROR(VLOOKUP($A88,TRANSPOSE('[1]Fur 3 PLC'!$AS$1:$BX$38),9,0),0)</f>
        <v>0</v>
      </c>
      <c r="CB88" s="54" cm="1">
        <f t="array" ref="CB88">IFERROR(VLOOKUP($A88,TRANSPOSE('[1]Fur 3 PLC'!$AS$1:$BX$38),17,0),0)</f>
        <v>0</v>
      </c>
      <c r="CC88" s="54" cm="1">
        <f t="array" ref="CC88">IFERROR(VLOOKUP($A88,TRANSPOSE('[1]Fur 3 PLC'!$AS$1:$BX$38),20,0),0)</f>
        <v>0</v>
      </c>
      <c r="CD88" s="54" cm="1">
        <f t="array" ref="CD88">IFERROR(VLOOKUP($A88,TRANSPOSE('[1]Fur 3 PLC'!$AS$1:$BX$38),28,0),0)</f>
        <v>0</v>
      </c>
      <c r="CE88" s="54" cm="1">
        <f t="array" ref="CE88">IFERROR(VLOOKUP($A88,TRANSPOSE('[1]Fur 3 PLC'!$AS$1:$BX$38),13,0),0)</f>
        <v>0</v>
      </c>
      <c r="CF88" s="54" cm="1">
        <f t="array" ref="CF88">IFERROR(VLOOKUP($A88,TRANSPOSE('[1]Fur 3 PLC'!$AS$1:$BX$38),37,0),0)</f>
        <v>0</v>
      </c>
      <c r="CG88" s="54" cm="1">
        <f t="array" ref="CG88">IFERROR(VLOOKUP($A88,TRANSPOSE('[1]Fur 3 PLC'!$AS$1:$BX$38),6,0),0)</f>
        <v>0</v>
      </c>
      <c r="CH88" s="54" cm="1">
        <f t="array" ref="CH88">IFERROR(VLOOKUP($A88,TRANSPOSE('[1]Fur 3 PLC'!$AS$1:$BX$38),21,0),0)</f>
        <v>0</v>
      </c>
      <c r="CI88" s="54" cm="1">
        <f t="array" ref="CI88">IFERROR(VLOOKUP($A88,TRANSPOSE('[1]Fur 3 PLC'!$AS$1:$BX$38),12,0),0)</f>
        <v>0</v>
      </c>
      <c r="CJ88" s="54" cm="1">
        <f t="array" ref="CJ88">IFERROR(VLOOKUP($A88,TRANSPOSE('[1]Fur 3 PLC'!$AS$1:$BX$38),25,0),0)</f>
        <v>0</v>
      </c>
      <c r="CK88" s="54" cm="1">
        <f t="array" ref="CK88">IFERROR(VLOOKUP($A88,TRANSPOSE('[1]Fur 3 PLC'!$AS$1:$BX$38),26,0),0)</f>
        <v>0</v>
      </c>
      <c r="CL88" s="54" cm="1">
        <f t="array" ref="CL88">IFERROR(VLOOKUP($A88,TRANSPOSE('[1]Fur 3 PLC'!$AS$1:$BX$38),27,0),0)</f>
        <v>0</v>
      </c>
      <c r="CM88" s="54" cm="1">
        <f t="array" ref="CM88">IFERROR(VLOOKUP($A88,TRANSPOSE('[1]Fur 3 PLC'!$AS$1:$BX$38),22,0),0)</f>
        <v>0</v>
      </c>
      <c r="CN88" s="54"/>
      <c r="CO88" s="54" cm="1">
        <f t="array" ref="CO88">IFERROR(VLOOKUP($A88,TRANSPOSE('[1]Fur 3 PLC'!$AS$1:$BX$38),29,0),0)</f>
        <v>0</v>
      </c>
      <c r="CP88" s="54" cm="1">
        <f t="array" ref="CP88">IFERROR(VLOOKUP($A88,TRANSPOSE('[1]Fur 3 PLC'!$AS$1:$BX$38),10,0),0)</f>
        <v>0</v>
      </c>
      <c r="CQ88" s="54" cm="1">
        <f t="array" ref="CQ88">IFERROR(VLOOKUP($A88,TRANSPOSE('[1]Fur 3 PLC'!$AS$1:$BX$38),7,0),0)</f>
        <v>0</v>
      </c>
      <c r="CR88" s="54" cm="1">
        <f t="array" ref="CR88">IFERROR(VLOOKUP($A88,TRANSPOSE('[1]Fur 3 PLC'!$AS$1:$BX$38),35,0),0)</f>
        <v>0</v>
      </c>
      <c r="CS88" s="54" cm="1">
        <f t="array" ref="CS88">IFERROR(VLOOKUP($A88,TRANSPOSE('[1]Fur 3 PLC'!$AS$1:$BX$38),11,0),0)</f>
        <v>0</v>
      </c>
      <c r="CT88" s="54" cm="1">
        <f t="array" ref="CT88">IFERROR(VLOOKUP($A88,TRANSPOSE('[1]Fur 3 PLC'!$AS$1:$BX$38),19,0),0)</f>
        <v>0</v>
      </c>
      <c r="CU88" s="54" cm="1">
        <f t="array" ref="CU88">IFERROR(VLOOKUP($A88,TRANSPOSE('[1]Fur 3 PLC'!$AS$1:$BX$38),18,0),0)</f>
        <v>0</v>
      </c>
      <c r="CV88" s="54" cm="1">
        <f t="array" ref="CV88">IFERROR(VLOOKUP($A88,TRANSPOSE('[1]Fur 3 PLC'!$AR$1:$BV$38),15,0),0)</f>
        <v>0</v>
      </c>
      <c r="CW88" s="54" cm="1">
        <f t="array" ref="CW88">IFERROR(VLOOKUP($A88,TRANSPOSE('[1]Fur 3 PLC'!$CK$1:$DO$38),8,0),0)</f>
        <v>0</v>
      </c>
      <c r="CX88" s="54" cm="1">
        <f t="array" ref="CX88">IFERROR(VLOOKUP($A88,TRANSPOSE('[1]Fur 3 PLC'!$CK$1:$DO$38),30,0),0)</f>
        <v>0</v>
      </c>
      <c r="CY88" s="54" cm="1">
        <f t="array" ref="CY88">IFERROR(VLOOKUP($A88,TRANSPOSE('[1]Fur 3 PLC'!$CK$1:$DO$38),14,0),0)</f>
        <v>0</v>
      </c>
      <c r="CZ88" s="54" cm="1">
        <f t="array" ref="CZ88">IFERROR(VLOOKUP($A88,TRANSPOSE('[1]Fur 3 PLC'!$CK$1:$DO$38),16,0),0)</f>
        <v>0</v>
      </c>
      <c r="DA88" s="54" cm="1">
        <f t="array" ref="DA88">IFERROR(VLOOKUP($A88,TRANSPOSE('[1]Fur 3 PLC'!$CK$1:$DO$38),9,0),0)</f>
        <v>0</v>
      </c>
      <c r="DB88" s="55" cm="1">
        <f t="array" ref="DB88">IFERROR(VLOOKUP($A88,TRANSPOSE('[1]Fur 3 PLC'!$CK$1:$DO$38),17,0),0)</f>
        <v>0</v>
      </c>
      <c r="DC88" s="55" cm="1">
        <f t="array" ref="DC88">IFERROR(VLOOKUP($A88,TRANSPOSE('[1]Fur 3 PLC'!$CK$1:$DO$38),20,0),0)</f>
        <v>0</v>
      </c>
      <c r="DD88" s="54" cm="1">
        <f t="array" ref="DD88">IFERROR(VLOOKUP($A88,TRANSPOSE('[1]Fur 3 PLC'!$CK$1:$DO$38),28,0),0)</f>
        <v>0</v>
      </c>
      <c r="DE88" s="54" cm="1">
        <f t="array" ref="DE88">IFERROR(VLOOKUP($A88,TRANSPOSE('[1]Fur 3 PLC'!$CK$1:$DO$38),13,0),0)</f>
        <v>0</v>
      </c>
      <c r="DF88" s="54" cm="1">
        <f t="array" ref="DF88">IFERROR(VLOOKUP($A88,TRANSPOSE('[1]Fur 3 PLC'!$CK$1:$DO$38),37,0),0)</f>
        <v>0</v>
      </c>
      <c r="DG88" s="54" cm="1">
        <f t="array" ref="DG88">IFERROR(VLOOKUP($A88,TRANSPOSE('[1]Fur 3 PLC'!$CK$1:$DO$38),6,0),0)</f>
        <v>0</v>
      </c>
      <c r="DH88" s="54" cm="1">
        <f t="array" ref="DH88">IFERROR(VLOOKUP($A88,TRANSPOSE('[1]Fur 3 PLC'!$CK$1:$DO$38),21,0),0)</f>
        <v>0</v>
      </c>
      <c r="DI88" s="54" cm="1">
        <f t="array" ref="DI88">IFERROR(VLOOKUP($A88,TRANSPOSE('[1]Fur 3 PLC'!$CK$1:$DO$38),12,0),0)</f>
        <v>0</v>
      </c>
      <c r="DJ88" s="54" cm="1">
        <f t="array" ref="DJ88">IFERROR(VLOOKUP($A88,TRANSPOSE('[1]Fur 3 PLC'!$CK$1:$DO$38),25,0),0)</f>
        <v>0</v>
      </c>
      <c r="DK88" s="54" cm="1">
        <f t="array" ref="DK88">IFERROR(VLOOKUP($A88,TRANSPOSE('[1]Fur 3 PLC'!$CK$1:$DO$38),26,0),0)</f>
        <v>0</v>
      </c>
      <c r="DL88" s="54" cm="1">
        <f t="array" ref="DL88">IFERROR(VLOOKUP($A88,TRANSPOSE('[1]Fur 3 PLC'!$CK$1:$DO$38),27,0),0)</f>
        <v>0</v>
      </c>
      <c r="DM88" s="54" cm="1">
        <f t="array" ref="DM88">IFERROR(VLOOKUP($A88,TRANSPOSE('[1]Fur 3 PLC'!$CK$1:$DO$38),22,0),0)</f>
        <v>0</v>
      </c>
      <c r="DN88" s="54" cm="1">
        <f t="array" ref="DN88">IFERROR(VLOOKUP($A88,TRANSPOSE('[1]Fur 3 PLC'!$CK$1:$DO$38),19,0),0)</f>
        <v>0</v>
      </c>
      <c r="DO88" s="54" cm="1">
        <f t="array" ref="DO88">IFERROR(VLOOKUP($A88,TRANSPOSE('[1]Fur 3 PLC'!$CK$1:$DO$38),29,0),0)</f>
        <v>0</v>
      </c>
      <c r="DP88" s="54" cm="1">
        <f t="array" ref="DP88">IFERROR(VLOOKUP($A88,TRANSPOSE('[1]Fur 3 PLC'!$CK$1:$DO$38),10,0),0)</f>
        <v>0</v>
      </c>
      <c r="DQ88" s="54" cm="1">
        <f t="array" ref="DQ88">IFERROR(VLOOKUP($A88,TRANSPOSE('[1]Fur 3 PLC'!$CK$1:$DO$38),7,0),0)</f>
        <v>0</v>
      </c>
      <c r="DR88" s="54" cm="1">
        <f t="array" ref="DR88">IFERROR(VLOOKUP($A88,TRANSPOSE('[1]Fur 3 PLC'!$CK$1:$DO$38),35,0),0)</f>
        <v>0</v>
      </c>
      <c r="DS88" s="54" cm="1">
        <f t="array" ref="DS88">IFERROR(VLOOKUP($A88,TRANSPOSE('[1]Fur 3 PLC'!$CK$1:$DO$38),11,0),0)</f>
        <v>0</v>
      </c>
      <c r="DT88" s="54" cm="1">
        <f t="array" ref="DT88">IFERROR(VLOOKUP($A88,TRANSPOSE('[1]Fur 3 PLC'!$CK$1:$DO$38),19,0),0)</f>
        <v>0</v>
      </c>
      <c r="DU88" s="54" cm="1">
        <f t="array" ref="DU88">IFERROR(VLOOKUP($A88,TRANSPOSE('[1]Fur 3 PLC'!$CK$1:$DO$38),18,0),0)</f>
        <v>0</v>
      </c>
      <c r="DV88" s="54" cm="1">
        <f t="array" ref="DV88">IFERROR(VLOOKUP($A88,TRANSPOSE('[1]Fur 3 PLC'!$CK$1:$DO$38),15,0),0)</f>
        <v>0</v>
      </c>
      <c r="DW88" t="str">
        <f t="shared" si="106"/>
        <v>Dec-25</v>
      </c>
    </row>
    <row r="89" spans="1:127" x14ac:dyDescent="0.3">
      <c r="A89" s="28" t="str">
        <f t="shared" si="59"/>
        <v>F446013</v>
      </c>
      <c r="B89" s="29" t="s">
        <v>29</v>
      </c>
      <c r="C89" s="30">
        <f>C88</f>
        <v>46013</v>
      </c>
      <c r="D89" s="29" t="str">
        <f>VLOOKUP($B89&amp;$C89,'[1]FC4 Prod'!$A$6:$BP$36,[2]Consolidated!D$1)</f>
        <v>Mr.Ganesh Ghosh Ji</v>
      </c>
      <c r="E89" s="29">
        <f>VLOOKUP($B89&amp;$C89,'[1]FC4 Prod'!$A$6:$BP$36,[2]Consolidated!E$1)</f>
        <v>0</v>
      </c>
      <c r="F89" s="31">
        <f>VLOOKUP($B89&amp;$C89,'[1]FC4 Prod'!$A$6:$BP$36,[2]Consolidated!F$1)</f>
        <v>0</v>
      </c>
      <c r="G89" s="32" t="e">
        <f>VLOOKUP($B89&amp;$C89,'[1]FC4 Prod'!$A$6:$BP$36,[2]Consolidated!G$1)</f>
        <v>#REF!</v>
      </c>
      <c r="H89" s="32">
        <f>VLOOKUP($B89&amp;$C89,'[1]FC4 Prod'!$A$6:$BP$36,[2]Consolidated!H$1)</f>
        <v>0</v>
      </c>
      <c r="I89" s="32">
        <f>VLOOKUP($B89&amp;$C89,'[1]FC4 Prod'!$A$6:$BP$36,[2]Consolidated!I$1)</f>
        <v>0</v>
      </c>
      <c r="J89" s="32">
        <f>VLOOKUP($B89&amp;$C89,'[1]FC4 Prod'!$A$6:$BP$36,[2]Consolidated!J$1)</f>
        <v>0</v>
      </c>
      <c r="K89" s="32">
        <f>VLOOKUP($B89&amp;$C89,'[1]FC4 Prod'!$A$6:$BP$36,[2]Consolidated!K$1)</f>
        <v>0</v>
      </c>
      <c r="L89" s="32">
        <f>VLOOKUP($B89&amp;$C89,'[1]FC4 Prod'!$A$6:$BP$36,[2]Consolidated!L$1)</f>
        <v>0</v>
      </c>
      <c r="M89" s="32">
        <f>VLOOKUP($B89&amp;$C89,'[1]FC4 Prod'!$A$6:$BP$36,[2]Consolidated!M$1)</f>
        <v>0</v>
      </c>
      <c r="N89" s="32">
        <f>VLOOKUP($B89&amp;$C89,'[1]FC4 Prod'!$A$6:$BP$36,[2]Consolidated!N$1)</f>
        <v>0</v>
      </c>
      <c r="O89" s="32">
        <f>VLOOKUP($B89&amp;$C89,'[1]FC4 Prod'!$A$6:$BP$36,[2]Consolidated!O$1)</f>
        <v>0</v>
      </c>
      <c r="P89" s="33">
        <f>VLOOKUP($B89&amp;$C89,'[1]FC4 Prod'!$A$6:$BP$36,[2]Consolidated!P$1)</f>
        <v>8</v>
      </c>
      <c r="Q89" s="29">
        <f>VLOOKUP($B89&amp;$C89,'[1]FC4 Prod'!$A$6:$BP$36,[2]Consolidated!Q$1)</f>
        <v>0</v>
      </c>
      <c r="R89" s="29">
        <f>VLOOKUP($B89&amp;$C89,'[1]FC4 Prod'!$A$6:$BP$36,[2]Consolidated!R$1)</f>
        <v>0</v>
      </c>
      <c r="S89" s="34" t="e">
        <f>VLOOKUP($B89&amp;$C89,'[1]FC4 Prod'!$A$6:$BP$36,[2]Consolidated!S$1)</f>
        <v>#REF!</v>
      </c>
      <c r="T89" s="34" t="e">
        <f>VLOOKUP($B89&amp;$C89,'[1]FC4 Prod'!$A$6:$BP$36,[2]Consolidated!T$1)</f>
        <v>#REF!</v>
      </c>
      <c r="U89" s="34" t="e">
        <f>VLOOKUP($B89&amp;$C89,'[1]FC4 Prod'!$A$6:$BP$36,[2]Consolidated!U$1)</f>
        <v>#REF!</v>
      </c>
      <c r="V89" s="34">
        <f>VLOOKUP($B89&amp;$C89,'[1]FC4 Prod'!$A$6:$BP$36,[2]Consolidated!V$1)</f>
        <v>0</v>
      </c>
      <c r="W89" s="35">
        <f>VLOOKUP($B89&amp;$C89,'[1]FC4 Prod'!$A$6:$BP$36,[2]Consolidated!W$1)</f>
        <v>0</v>
      </c>
      <c r="X89" s="35">
        <f>VLOOKUP($B89&amp;$C89,'[1]FC4 Prod'!$A$6:$BP$36,[2]Consolidated!X$1)</f>
        <v>0</v>
      </c>
      <c r="Y89" s="36">
        <f>VLOOKUP($B89&amp;$C89,'[1]FC4 Prod'!$A$6:$BP$36,[2]Consolidated!Y$1)</f>
        <v>0</v>
      </c>
      <c r="Z89" s="37" t="e">
        <f>VLOOKUP($B89&amp;$C89,'[1]FC4 Prod'!$A$6:$BP$36,[2]Consolidated!Z$1)</f>
        <v>#REF!</v>
      </c>
      <c r="AA89" s="31">
        <f>VLOOKUP($B89&amp;$C89,'[1]FC4 Prod'!$A$6:$BP$36,[2]Consolidated!AA$1)</f>
        <v>0</v>
      </c>
      <c r="AB89" s="31">
        <f>VLOOKUP($B89&amp;$C89,'[1]FC4 Prod'!$A$6:$BP$36,[2]Consolidated!AB$1)</f>
        <v>0</v>
      </c>
      <c r="AC89" s="31">
        <f>VLOOKUP($B89&amp;$C89,'[1]FC4 Prod'!$A$6:$BP$36,[2]Consolidated!AC$1)</f>
        <v>0</v>
      </c>
      <c r="AD89" s="38">
        <f>VLOOKUP($B89&amp;$C89,'[1]FC4 Prod'!$A$6:$BP$36,[2]Consolidated!AD$1)</f>
        <v>0</v>
      </c>
      <c r="AE89" s="38">
        <f>VLOOKUP($B89&amp;$C89,'[1]FC4 Prod'!$A$6:$BP$36,[2]Consolidated!AE$1)</f>
        <v>0</v>
      </c>
      <c r="AF89" s="39">
        <f>VLOOKUP($B89&amp;$C89,'[1]FC4 Prod'!$A$6:$BP$36,[2]Consolidated!AF$1)</f>
        <v>0</v>
      </c>
      <c r="AG89" s="39">
        <f>VLOOKUP($B89&amp;$C89,'[1]FC4 Prod'!$A$6:$BP$36,[2]Consolidated!AG$1)</f>
        <v>0</v>
      </c>
      <c r="AH89" s="34">
        <f>VLOOKUP($B89&amp;$C89,'[1]FC4 Prod'!$A$6:$BP$36,[2]Consolidated!AH$1)</f>
        <v>0</v>
      </c>
      <c r="AI89" s="33">
        <f>VLOOKUP($B89&amp;$C89,'[1]FC4 Prod'!$A$6:$BP$36,[2]Consolidated!AI$1)</f>
        <v>0</v>
      </c>
      <c r="AJ89" s="39">
        <f>VLOOKUP($B89&amp;$C89,'[1]FC4 Prod'!$A$6:$BP$36,[2]Consolidated!AJ$1)</f>
        <v>0</v>
      </c>
      <c r="AK89" s="39">
        <f>VLOOKUP($B89&amp;$C89,'[1]FC4 Prod'!$A$6:$BP$36,[2]Consolidated!AK$1)</f>
        <v>0</v>
      </c>
      <c r="AL89" s="40" t="e">
        <f>VLOOKUP($B89&amp;$C89,'[1]FC4 Prod'!$A$6:$BP$36,[2]Consolidated!AL$1)</f>
        <v>#REF!</v>
      </c>
      <c r="AM89" s="41">
        <f>VLOOKUP($B89&amp;$C89,'[1]FC4 Prod'!$A$6:$BP$36,[2]Consolidated!AM$1)</f>
        <v>0</v>
      </c>
      <c r="AN89" s="42" t="e">
        <f>VLOOKUP($B89&amp;$C89,'[1]FC4 Prod'!$A$6:$BP$36,[2]Consolidated!AN$1)</f>
        <v>#REF!</v>
      </c>
      <c r="AO89" s="43" t="e">
        <f>VLOOKUP($B89&amp;$C89,'[1]FC4 Prod'!$A$6:$BP$36,[2]Consolidated!AO$1)</f>
        <v>#REF!</v>
      </c>
      <c r="AP89" s="44">
        <f>VLOOKUP($B89&amp;$C89,'[1]FC4 Prod'!$A$6:$BP$36,[2]Consolidated!AP$1)</f>
        <v>0</v>
      </c>
      <c r="AQ89" s="44">
        <f>VLOOKUP($B89&amp;$C89,'[1]FC4 Prod'!$A$6:$BP$36,[2]Consolidated!AQ$1)</f>
        <v>0</v>
      </c>
      <c r="AR89" s="45">
        <f>VLOOKUP($B89&amp;$C89,'[1]FC4 Prod'!$A$6:$BP$36,[2]Consolidated!AR$1)</f>
        <v>0</v>
      </c>
      <c r="AS89" s="46">
        <f>VLOOKUP($B89&amp;$C89,'[1]FC4 Prod'!$A$6:$BP$36,[2]Consolidated!AS$1)</f>
        <v>0</v>
      </c>
      <c r="AT89" s="29">
        <f>VLOOKUP($B89&amp;$C89,'[1]FC4 Prod'!$A$6:$BP$36,[2]Consolidated!AT$1)</f>
        <v>0</v>
      </c>
      <c r="AU89" s="34">
        <f>VLOOKUP($B89&amp;$C89,'[1]FC4 Prod'!$A$6:$BP$36,[2]Consolidated!AU$1)</f>
        <v>0</v>
      </c>
      <c r="AV89" s="34">
        <f>VLOOKUP($B89&amp;$C89,'[1]FC4 Prod'!$A$6:$BP$36,[2]Consolidated!AV$1)</f>
        <v>0</v>
      </c>
      <c r="AW89" s="47">
        <f>VLOOKUP($B89&amp;$C89,'[1]FC4 Prod'!$A$6:$BP$36,[2]Consolidated!AW$1)</f>
        <v>0</v>
      </c>
      <c r="AX89" s="47">
        <f>VLOOKUP($B89&amp;$C89,'[1]FC4 Prod'!$A$6:$BP$36,[2]Consolidated!AX$1)</f>
        <v>0</v>
      </c>
      <c r="AY89" s="48">
        <f>VLOOKUP($B89&amp;$C89,'[1]FC4 Prod'!$A$6:$BP$36,[2]Consolidated!AY$1)</f>
        <v>0</v>
      </c>
      <c r="AZ89" s="47">
        <f>VLOOKUP($B89&amp;$C89,'[1]FC4 Prod'!$A$6:$BP$36,[2]Consolidated!AZ$1)</f>
        <v>0</v>
      </c>
      <c r="BA89" s="47">
        <f>VLOOKUP($B89&amp;$C89,'[1]FC4 Prod'!$A$6:$BP$36,[2]Consolidated!BA$1)</f>
        <v>0</v>
      </c>
      <c r="BB89" s="47">
        <f>VLOOKUP($B89&amp;$C89,'[1]FC4 Prod'!$A$6:$BP$36,[2]Consolidated!BB$1)</f>
        <v>0</v>
      </c>
      <c r="BC89" s="47">
        <f>VLOOKUP($B89&amp;$C89,'[1]FC4 Prod'!$A$6:$BP$36,[2]Consolidated!BC$1)</f>
        <v>0</v>
      </c>
      <c r="BD89" s="49">
        <f>VLOOKUP($B89&amp;$C89,'[1]FC4 Prod'!$A$6:$BP$36,[2]Consolidated!BD$1)</f>
        <v>0</v>
      </c>
      <c r="BE89" s="47">
        <f>VLOOKUP($B89&amp;$C89,'[1]FC4 Prod'!$A$6:$BP$36,[2]Consolidated!BE$1)</f>
        <v>0</v>
      </c>
      <c r="BF89" s="47">
        <f>VLOOKUP($B89&amp;$C89,'[1]FC4 Prod'!$A$6:$BP$36,[2]Consolidated!BF$1)</f>
        <v>0</v>
      </c>
      <c r="BG89" s="50">
        <f>VLOOKUP($B89&amp;$C89,'[1]FC4 Prod'!$A$6:$BP$36,[2]Consolidated!BG$1)</f>
        <v>0</v>
      </c>
      <c r="BH89" s="50">
        <f>VLOOKUP($B89&amp;$C89,'[1]FC4 Prod'!$A$6:$BP$36,[2]Consolidated!BH$1)</f>
        <v>0</v>
      </c>
      <c r="BI89" s="50">
        <f>VLOOKUP($B89&amp;$C89,'[1]FC4 Prod'!$A$6:$BP$36,[2]Consolidated!BI$1)</f>
        <v>0</v>
      </c>
      <c r="BJ89" s="37" t="e">
        <f>VLOOKUP($B89&amp;$C89,'[1]FC4 Prod'!$A$6:$BP$36,[2]Consolidated!BJ$1)</f>
        <v>#REF!</v>
      </c>
      <c r="BK89" s="37" t="e">
        <f>VLOOKUP($B89&amp;$C89,'[1]FC4 Prod'!$A$6:$BP$36,[2]Consolidated!BK$1)</f>
        <v>#REF!</v>
      </c>
      <c r="BL89" s="37" t="e">
        <f>VLOOKUP($B89&amp;$C89,'[1]FC4 Prod'!$A$6:$BP$36,[2]Consolidated!BL$1)</f>
        <v>#REF!</v>
      </c>
      <c r="BM89" s="37" t="e">
        <f>VLOOKUP($B89&amp;$C89,'[1]FC4 Prod'!$A$6:$BP$36,[2]Consolidated!BM$1)</f>
        <v>#REF!</v>
      </c>
      <c r="BN89" s="37" t="e">
        <f>VLOOKUP($B89&amp;$C89,'[1]FC4 Prod'!$A$6:$BP$36,[2]Consolidated!BN$1)</f>
        <v>#REF!</v>
      </c>
      <c r="BO89" s="37" t="e">
        <f>VLOOKUP($B89&amp;$C89,'[1]FC4 Prod'!$A$6:$BP$36,[2]Consolidated!BO$1)</f>
        <v>#REF!</v>
      </c>
      <c r="BP89" s="37" t="e">
        <f>VLOOKUP($B89&amp;$C89,'[1]FC4 Prod'!$A$6:$BP$36,[2]Consolidated!BP$1)</f>
        <v>#REF!</v>
      </c>
      <c r="BQ89" s="51" t="e">
        <f>VLOOKUP($B89&amp;$C89,'[1]FC4 Prod'!$A$6:$BP$36,[2]Consolidated!BQ$1)</f>
        <v>#REF!</v>
      </c>
      <c r="BR89" s="51">
        <f>VLOOKUP($B89&amp;$C89,'[1]FC4 Prod'!$A$6:$BQ$36,[2]Consolidated!BR$1)</f>
        <v>41644</v>
      </c>
      <c r="BS89" s="52">
        <f t="shared" ref="BS89" si="109">BE89+BF89*110%+BG89+BA89</f>
        <v>0</v>
      </c>
      <c r="BT89" s="32">
        <f t="shared" si="107"/>
        <v>41644</v>
      </c>
      <c r="BU89" s="37">
        <f t="shared" si="108"/>
        <v>0</v>
      </c>
      <c r="BV89" s="53" t="s">
        <v>133</v>
      </c>
      <c r="BW89" s="54" cm="1">
        <f t="array" ref="BW89">IFERROR(VLOOKUP($A89,TRANSPOSE('[1]Fur 4 PLC'!$AR$1:$BV$39),8,0),0)</f>
        <v>0</v>
      </c>
      <c r="BX89" s="54" cm="1">
        <f t="array" ref="BX89">IFERROR(VLOOKUP($A89,TRANSPOSE('[1]Fur 4 PLC'!$AR$1:$BV$39),30,0),0)</f>
        <v>0</v>
      </c>
      <c r="BY89" s="54" cm="1">
        <f t="array" ref="BY89">IFERROR(VLOOKUP($A89,TRANSPOSE('[1]Fur 4 PLC'!$AR$1:$BV$39),14,0),0)</f>
        <v>0</v>
      </c>
      <c r="BZ89" s="54" cm="1">
        <f t="array" ref="BZ89">IFERROR(VLOOKUP($A89,TRANSPOSE('[1]Fur 4 PLC'!$AR$1:$BV$39),16,0),0)</f>
        <v>0</v>
      </c>
      <c r="CA89" s="54" cm="1">
        <f t="array" ref="CA89">IFERROR(VLOOKUP($A89,TRANSPOSE('[1]Fur 4 PLC'!$AR$1:$BV$39),9,0),0)</f>
        <v>0</v>
      </c>
      <c r="CB89" s="54" cm="1">
        <f t="array" ref="CB89">IFERROR(VLOOKUP($A89,TRANSPOSE('[1]Fur 4 PLC'!$AR$1:$BV$39),17,0),0)</f>
        <v>0</v>
      </c>
      <c r="CC89" s="54" cm="1">
        <f t="array" ref="CC89">IFERROR(VLOOKUP($A89,TRANSPOSE('[1]Fur 4 PLC'!$AR$1:$BV$39),20,0),0)</f>
        <v>0</v>
      </c>
      <c r="CD89" s="54" cm="1">
        <f t="array" ref="CD89">IFERROR(VLOOKUP($A89,TRANSPOSE('[1]Fur 4 PLC'!$AR$1:$BV$39),28,0),0)</f>
        <v>0</v>
      </c>
      <c r="CE89" s="54" cm="1">
        <f t="array" ref="CE89">IFERROR(VLOOKUP($A89,TRANSPOSE('[1]Fur 4 PLC'!$AR$1:$BV$39),13,0),0)</f>
        <v>0</v>
      </c>
      <c r="CF89" s="54" cm="1">
        <f t="array" ref="CF89">IFERROR(VLOOKUP($A89,TRANSPOSE('[1]Fur 4 PLC'!$AR$1:$BV$39),37,0),0)</f>
        <v>0</v>
      </c>
      <c r="CG89" s="54" cm="1">
        <f t="array" ref="CG89">IFERROR(VLOOKUP($A89,TRANSPOSE('[1]Fur 4 PLC'!$AR$1:$BV$39),6,0),0)</f>
        <v>0</v>
      </c>
      <c r="CH89" s="54" cm="1">
        <f t="array" ref="CH89">IFERROR(VLOOKUP($A89,TRANSPOSE('[1]Fur 4 PLC'!$AR$1:$BV$39),21,0),0)</f>
        <v>0</v>
      </c>
      <c r="CI89" s="54" cm="1">
        <f t="array" ref="CI89">IFERROR(VLOOKUP($A89,TRANSPOSE('[1]Fur 4 PLC'!$AR$1:$BV$39),12,0),0)</f>
        <v>0</v>
      </c>
      <c r="CJ89" s="54" cm="1">
        <f t="array" ref="CJ89">IFERROR(VLOOKUP($A89,TRANSPOSE('[1]Fur 4 PLC'!$AR$1:$BV$39),25,0),0)</f>
        <v>0</v>
      </c>
      <c r="CK89" s="54" cm="1">
        <f t="array" ref="CK89">IFERROR(VLOOKUP($A89,TRANSPOSE('[1]Fur 4 PLC'!$AR$1:$BV$39),26,0),0)</f>
        <v>0</v>
      </c>
      <c r="CL89" s="54" cm="1">
        <f t="array" ref="CL89">IFERROR(VLOOKUP($A89,TRANSPOSE('[1]Fur 4 PLC'!$AR$1:$BV$39),27,0),0)</f>
        <v>0</v>
      </c>
      <c r="CM89" s="54" cm="1">
        <f t="array" ref="CM89">IFERROR(VLOOKUP($A89,TRANSPOSE('[1]Fur 4 PLC'!$AR$1:$BV$39),22,0),0)</f>
        <v>0</v>
      </c>
      <c r="CN89" s="54"/>
      <c r="CO89" s="54" cm="1">
        <f t="array" ref="CO89">IFERROR(VLOOKUP($A89,TRANSPOSE('[1]Fur 4 PLC'!$AR$1:$BV$39),29,0),0)</f>
        <v>0</v>
      </c>
      <c r="CP89" s="54" cm="1">
        <f t="array" ref="CP89">IFERROR(VLOOKUP($A89,TRANSPOSE('[1]Fur 4 PLC'!$AR$1:$BV$39),10,0),0)</f>
        <v>0</v>
      </c>
      <c r="CQ89" s="54" cm="1">
        <f t="array" ref="CQ89">IFERROR(VLOOKUP($A89,TRANSPOSE('[1]Fur 4 PLC'!$AR$1:$BV$39),7,0),0)</f>
        <v>0</v>
      </c>
      <c r="CR89" s="54" cm="1">
        <f t="array" ref="CR89">IFERROR(VLOOKUP($A89,TRANSPOSE('[1]Fur 4 PLC'!$AR$1:$BV$39),36,0),0)</f>
        <v>0</v>
      </c>
      <c r="CS89" s="54" cm="1">
        <f t="array" ref="CS89">IFERROR(VLOOKUP($A89,TRANSPOSE('[1]Fur 4 PLC'!$AR$1:$BV$39),11,0),0)</f>
        <v>0</v>
      </c>
      <c r="CT89" s="54" cm="1">
        <f t="array" ref="CT89">IFERROR(VLOOKUP($A89,TRANSPOSE('[1]Fur 4 PLC'!$AR$1:$BV$39),19,0),0)</f>
        <v>0</v>
      </c>
      <c r="CU89" s="54" cm="1">
        <f t="array" ref="CU89">IFERROR(VLOOKUP($A89,TRANSPOSE('[1]Fur 4 PLC'!$AR$1:$BV$39),18,0),0)</f>
        <v>0</v>
      </c>
      <c r="CV89" s="54" cm="1">
        <f t="array" ref="CV89">IFERROR(VLOOKUP($A89,TRANSPOSE('[1]Fur 4 PLC'!$AR$1:$BV$38),15,0),0)</f>
        <v>0</v>
      </c>
      <c r="CW89" s="54" cm="1">
        <f t="array" ref="CW89">IFERROR(VLOOKUP($A89,TRANSPOSE('[1]Fur 4 PLC'!$CK$1:$DO$39),8,0),0)</f>
        <v>0</v>
      </c>
      <c r="CX89" s="54" cm="1">
        <f t="array" ref="CX89">IFERROR(VLOOKUP($A89,TRANSPOSE('[1]Fur 4 PLC'!$CK$1:$DO$39),30,0),0)</f>
        <v>0</v>
      </c>
      <c r="CY89" s="54" cm="1">
        <f t="array" ref="CY89">IFERROR(VLOOKUP($A89,TRANSPOSE('[1]Fur 4 PLC'!$CK$1:$DO$39),14,0),0)</f>
        <v>0</v>
      </c>
      <c r="CZ89" s="54" cm="1">
        <f t="array" ref="CZ89">IFERROR(VLOOKUP($A89,TRANSPOSE('[1]Fur 4 PLC'!$CK$1:$DO$39),16,0),0)</f>
        <v>0</v>
      </c>
      <c r="DA89" s="54" cm="1">
        <f t="array" ref="DA89">IFERROR(VLOOKUP($A89,TRANSPOSE('[1]Fur 4 PLC'!$CK$1:$DO$39),9,0),0)</f>
        <v>0</v>
      </c>
      <c r="DB89" s="55" cm="1">
        <f t="array" ref="DB89">IFERROR(VLOOKUP($A89,TRANSPOSE('[1]Fur 4 PLC'!$CK$1:$DO$39),17,0),0)</f>
        <v>0</v>
      </c>
      <c r="DC89" s="55" cm="1">
        <f t="array" ref="DC89">IFERROR(VLOOKUP($A89,TRANSPOSE('[1]Fur 4 PLC'!$CK$1:$DO$39),20,0),0)</f>
        <v>0</v>
      </c>
      <c r="DD89" s="54" cm="1">
        <f t="array" ref="DD89">IFERROR(VLOOKUP($A89,TRANSPOSE('[1]Fur 4 PLC'!$CK$1:$DO$39),28,0),0)</f>
        <v>0</v>
      </c>
      <c r="DE89" s="54" cm="1">
        <f t="array" ref="DE89">IFERROR(VLOOKUP($A89,TRANSPOSE('[1]Fur 4 PLC'!$CK$1:$DO$39),13,0),0)</f>
        <v>0</v>
      </c>
      <c r="DF89" s="54" cm="1">
        <f t="array" ref="DF89">IFERROR(VLOOKUP($A89,TRANSPOSE('[1]Fur 4 PLC'!$CK$1:$DO$39),37,0),0)</f>
        <v>0</v>
      </c>
      <c r="DG89" s="54" cm="1">
        <f t="array" ref="DG89">IFERROR(VLOOKUP($A89,TRANSPOSE('[1]Fur 4 PLC'!$CK$1:$DO$39),6,0),0)</f>
        <v>0</v>
      </c>
      <c r="DH89" s="54" cm="1">
        <f t="array" ref="DH89">IFERROR(VLOOKUP($A89,TRANSPOSE('[1]Fur 4 PLC'!$CK$1:$DO$39),21,0),0)</f>
        <v>0</v>
      </c>
      <c r="DI89" s="54" cm="1">
        <f t="array" ref="DI89">IFERROR(VLOOKUP($A89,TRANSPOSE('[1]Fur 4 PLC'!$CK$1:$DO$39),12,0),0)</f>
        <v>0</v>
      </c>
      <c r="DJ89" s="54" cm="1">
        <f t="array" ref="DJ89">IFERROR(VLOOKUP($A89,TRANSPOSE('[1]Fur 4 PLC'!$CK$1:$DO$39),25,0),0)</f>
        <v>0</v>
      </c>
      <c r="DK89" s="54" cm="1">
        <f t="array" ref="DK89">IFERROR(VLOOKUP($A89,TRANSPOSE('[1]Fur 4 PLC'!$CK$1:$DO$39),26,0),0)</f>
        <v>0</v>
      </c>
      <c r="DL89" s="54" cm="1">
        <f t="array" ref="DL89">IFERROR(VLOOKUP($A89,TRANSPOSE('[1]Fur 4 PLC'!$CK$1:$DO$39),27,0),0)</f>
        <v>0</v>
      </c>
      <c r="DM89" s="54" cm="1">
        <f t="array" ref="DM89">IFERROR(VLOOKUP($A89,TRANSPOSE('[1]Fur 4 PLC'!$CK$1:$DO$39),22,0),0)</f>
        <v>0</v>
      </c>
      <c r="DN89" s="54" cm="1">
        <f t="array" ref="DN89">IFERROR(VLOOKUP($A89,TRANSPOSE('[1]Fur 4 PLC'!$CK$1:$DO$39),19,0),0)</f>
        <v>0</v>
      </c>
      <c r="DO89" s="54" cm="1">
        <f t="array" ref="DO89">IFERROR(VLOOKUP($A89,TRANSPOSE('[1]Fur 4 PLC'!$CK$1:$DO$39),29,0),0)</f>
        <v>0</v>
      </c>
      <c r="DP89" s="54" cm="1">
        <f t="array" ref="DP89">IFERROR(VLOOKUP($A89,TRANSPOSE('[1]Fur 4 PLC'!$CK$1:$DO$39),10,0),0)</f>
        <v>0</v>
      </c>
      <c r="DQ89" s="54" cm="1">
        <f t="array" ref="DQ89">IFERROR(VLOOKUP($A89,TRANSPOSE('[1]Fur 4 PLC'!$CK$1:$DO$39),7,0),0)</f>
        <v>0</v>
      </c>
      <c r="DR89" s="54" cm="1">
        <f t="array" ref="DR89">IFERROR(VLOOKUP($A89,TRANSPOSE('[1]Fur 4 PLC'!$CK$1:$DO$39),36,0),0)</f>
        <v>0</v>
      </c>
      <c r="DS89" s="54" cm="1">
        <f t="array" ref="DS89">IFERROR(VLOOKUP($A89,TRANSPOSE('[1]Fur 4 PLC'!$CK$1:$DO$39),11,0),0)</f>
        <v>0</v>
      </c>
      <c r="DT89" s="54" cm="1">
        <f t="array" ref="DT89">IFERROR(VLOOKUP($A89,TRANSPOSE('[1]Fur 4 PLC'!$CK$1:$DO$39),19,0),0)</f>
        <v>0</v>
      </c>
      <c r="DU89" s="54" cm="1">
        <f t="array" ref="DU89">IFERROR(VLOOKUP($A89,TRANSPOSE('[1]Fur 4 PLC'!$CK$1:$DO$39),18,0),0)</f>
        <v>0</v>
      </c>
      <c r="DV89" s="54" cm="1">
        <f t="array" ref="DV89">IFERROR(VLOOKUP($A89,TRANSPOSE('[1]Fur 4 PLC'!$CK$1:$DO$39),15,0),0)</f>
        <v>0</v>
      </c>
      <c r="DW89" t="str">
        <f t="shared" si="106"/>
        <v>Dec-25</v>
      </c>
    </row>
    <row r="90" spans="1:127" x14ac:dyDescent="0.3">
      <c r="A90" s="28" t="str">
        <f t="shared" si="59"/>
        <v>F146014</v>
      </c>
      <c r="B90" s="29" t="s">
        <v>26</v>
      </c>
      <c r="C90" s="30">
        <f>C86+1</f>
        <v>46014</v>
      </c>
      <c r="D90" s="29" t="str">
        <f>VLOOKUP($B90&amp;$C90,'[1]FC1 Prod'!$A$6:$BP$36,[2]Consolidated!D$1)</f>
        <v>Raju Singh</v>
      </c>
      <c r="E90" s="29">
        <f>VLOOKUP($B90&amp;$C90,'[1]FC1 Prod'!$A$6:$BP$36,[2]Consolidated!E$1)</f>
        <v>0</v>
      </c>
      <c r="F90" s="31">
        <f>VLOOKUP($B90&amp;$C90,'[1]FC1 Prod'!$A$6:$BP$36,[2]Consolidated!F$1)</f>
        <v>0</v>
      </c>
      <c r="G90" s="32" t="e">
        <f>VLOOKUP($B90&amp;$C90,'[1]FC1 Prod'!$A$6:$BP$36,[2]Consolidated!G$1)</f>
        <v>#REF!</v>
      </c>
      <c r="H90" s="32">
        <f>VLOOKUP($B90&amp;$C90,'[1]FC1 Prod'!$A$6:$BP$36,[2]Consolidated!H$1)</f>
        <v>0</v>
      </c>
      <c r="I90" s="32">
        <f>VLOOKUP($B90&amp;$C90,'[1]FC1 Prod'!$A$6:$BP$36,[2]Consolidated!I$1)</f>
        <v>0</v>
      </c>
      <c r="J90" s="32">
        <f>VLOOKUP($B90&amp;$C90,'[1]FC1 Prod'!$A$6:$BP$36,[2]Consolidated!J$1)</f>
        <v>0</v>
      </c>
      <c r="K90" s="32">
        <f>VLOOKUP($B90&amp;$C90,'[1]FC1 Prod'!$A$6:$BP$36,[2]Consolidated!K$1)</f>
        <v>0</v>
      </c>
      <c r="L90" s="32">
        <f>VLOOKUP($B90&amp;$C90,'[1]FC1 Prod'!$A$6:$BP$36,[2]Consolidated!L$1)</f>
        <v>0</v>
      </c>
      <c r="M90" s="32">
        <f>VLOOKUP($B90&amp;$C90,'[1]FC1 Prod'!$A$6:$BP$36,[2]Consolidated!M$1)</f>
        <v>0</v>
      </c>
      <c r="N90" s="32">
        <f>VLOOKUP($B90&amp;$C90,'[1]FC1 Prod'!$A$6:$BP$36,[2]Consolidated!N$1)</f>
        <v>0</v>
      </c>
      <c r="O90" s="32">
        <f>VLOOKUP($B90&amp;$C90,'[1]FC1 Prod'!$A$6:$BP$36,[2]Consolidated!O$1)</f>
        <v>0</v>
      </c>
      <c r="P90" s="33">
        <f>VLOOKUP($B90&amp;$C90,'[1]FC1 Prod'!$A$6:$BP$36,[2]Consolidated!P$1)</f>
        <v>8</v>
      </c>
      <c r="Q90" s="29">
        <f>VLOOKUP($B90&amp;$C90,'[1]FC1 Prod'!$A$6:$BP$36,[2]Consolidated!Q$1)</f>
        <v>0</v>
      </c>
      <c r="R90" s="29">
        <f>VLOOKUP($B90&amp;$C90,'[1]FC1 Prod'!$A$6:$BP$36,[2]Consolidated!R$1)</f>
        <v>0</v>
      </c>
      <c r="S90" s="34" t="e">
        <f>VLOOKUP($B90&amp;$C90,'[1]FC1 Prod'!$A$6:$BP$36,[2]Consolidated!S$1)</f>
        <v>#REF!</v>
      </c>
      <c r="T90" s="34" t="e">
        <f>VLOOKUP($B90&amp;$C90,'[1]FC1 Prod'!$A$6:$BP$36,[2]Consolidated!T$1)</f>
        <v>#REF!</v>
      </c>
      <c r="U90" s="34" t="e">
        <f>VLOOKUP($B90&amp;$C90,'[1]FC1 Prod'!$A$6:$BP$36,[2]Consolidated!U$1)</f>
        <v>#REF!</v>
      </c>
      <c r="V90" s="34">
        <f>VLOOKUP($B90&amp;$C90,'[1]FC1 Prod'!$A$6:$BP$36,[2]Consolidated!V$1)</f>
        <v>0</v>
      </c>
      <c r="W90" s="35">
        <f>VLOOKUP($B90&amp;$C90,'[1]FC1 Prod'!$A$6:$BP$36,[2]Consolidated!W$1)</f>
        <v>0</v>
      </c>
      <c r="X90" s="35">
        <f>VLOOKUP($B90&amp;$C90,'[1]FC1 Prod'!$A$6:$BP$36,[2]Consolidated!X$1)</f>
        <v>0</v>
      </c>
      <c r="Y90" s="36">
        <f>VLOOKUP($B90&amp;$C90,'[1]FC1 Prod'!$A$6:$BP$36,[2]Consolidated!Y$1)</f>
        <v>0</v>
      </c>
      <c r="Z90" s="37" t="e">
        <f>VLOOKUP($B90&amp;$C90,'[1]FC1 Prod'!$A$6:$BP$36,[2]Consolidated!Z$1)</f>
        <v>#REF!</v>
      </c>
      <c r="AA90" s="31">
        <f>VLOOKUP($B90&amp;$C90,'[1]FC1 Prod'!$A$6:$BP$36,[2]Consolidated!AA$1)</f>
        <v>0</v>
      </c>
      <c r="AB90" s="31">
        <f>VLOOKUP($B90&amp;$C90,'[1]FC1 Prod'!$A$6:$BP$36,[2]Consolidated!AB$1)</f>
        <v>0</v>
      </c>
      <c r="AC90" s="31">
        <f>VLOOKUP($B90&amp;$C90,'[1]FC1 Prod'!$A$6:$BP$36,[2]Consolidated!AC$1)</f>
        <v>0</v>
      </c>
      <c r="AD90" s="38">
        <f>VLOOKUP($B90&amp;$C90,'[1]FC1 Prod'!$A$6:$BP$36,[2]Consolidated!AD$1)</f>
        <v>0</v>
      </c>
      <c r="AE90" s="38">
        <f>VLOOKUP($B90&amp;$C90,'[1]FC1 Prod'!$A$6:$BP$36,[2]Consolidated!AE$1)</f>
        <v>0</v>
      </c>
      <c r="AF90" s="39">
        <f>VLOOKUP($B90&amp;$C90,'[1]FC1 Prod'!$A$6:$BP$36,[2]Consolidated!AF$1)</f>
        <v>0</v>
      </c>
      <c r="AG90" s="39">
        <f>VLOOKUP($B90&amp;$C90,'[1]FC1 Prod'!$A$6:$BP$36,[2]Consolidated!AG$1)</f>
        <v>0</v>
      </c>
      <c r="AH90" s="34">
        <f>VLOOKUP($B90&amp;$C90,'[1]FC1 Prod'!$A$6:$BP$36,[2]Consolidated!AH$1)</f>
        <v>0</v>
      </c>
      <c r="AI90" s="33">
        <f>VLOOKUP($B90&amp;$C90,'[1]FC1 Prod'!$A$6:$BP$36,[2]Consolidated!AI$1)</f>
        <v>0</v>
      </c>
      <c r="AJ90" s="39">
        <f>VLOOKUP($B90&amp;$C90,'[1]FC1 Prod'!$A$6:$BP$36,[2]Consolidated!AJ$1)</f>
        <v>0</v>
      </c>
      <c r="AK90" s="39">
        <f>VLOOKUP($B90&amp;$C90,'[1]FC1 Prod'!$A$6:$BP$36,[2]Consolidated!AK$1)</f>
        <v>0</v>
      </c>
      <c r="AL90" s="40" t="e">
        <f>VLOOKUP($B90&amp;$C90,'[1]FC1 Prod'!$A$6:$BP$36,[2]Consolidated!AL$1)</f>
        <v>#REF!</v>
      </c>
      <c r="AM90" s="41">
        <f>VLOOKUP($B90&amp;$C90,'[1]FC1 Prod'!$A$6:$BP$36,[2]Consolidated!AM$1)</f>
        <v>0</v>
      </c>
      <c r="AN90" s="42" t="e">
        <f>VLOOKUP($B90&amp;$C90,'[1]FC1 Prod'!$A$6:$BP$36,[2]Consolidated!AN$1)</f>
        <v>#REF!</v>
      </c>
      <c r="AO90" s="43" t="e">
        <f>VLOOKUP($B90&amp;$C90,'[1]FC1 Prod'!$A$6:$BP$36,[2]Consolidated!AO$1)</f>
        <v>#REF!</v>
      </c>
      <c r="AP90" s="44">
        <f>VLOOKUP($B90&amp;$C90,'[1]FC1 Prod'!$A$6:$BP$36,[2]Consolidated!AP$1)</f>
        <v>0</v>
      </c>
      <c r="AQ90" s="44">
        <f>VLOOKUP($B90&amp;$C90,'[1]FC1 Prod'!$A$6:$BP$36,[2]Consolidated!AQ$1)</f>
        <v>0</v>
      </c>
      <c r="AR90" s="45">
        <f>VLOOKUP($B90&amp;$C90,'[1]FC1 Prod'!$A$6:$BP$36,[2]Consolidated!AR$1)</f>
        <v>0</v>
      </c>
      <c r="AS90" s="46">
        <f>VLOOKUP($B90&amp;$C90,'[1]FC1 Prod'!$A$6:$BP$36,[2]Consolidated!AS$1)</f>
        <v>0</v>
      </c>
      <c r="AT90" s="29">
        <f>VLOOKUP($B90&amp;$C90,'[1]FC1 Prod'!$A$6:$BP$36,[2]Consolidated!AT$1)</f>
        <v>0</v>
      </c>
      <c r="AU90" s="34">
        <f>VLOOKUP($B90&amp;$C90,'[1]FC1 Prod'!$A$6:$BP$36,[2]Consolidated!AU$1)</f>
        <v>0</v>
      </c>
      <c r="AV90" s="34">
        <f>VLOOKUP($B90&amp;$C90,'[1]FC1 Prod'!$A$6:$BP$36,[2]Consolidated!AV$1)</f>
        <v>0</v>
      </c>
      <c r="AW90" s="47">
        <f>VLOOKUP($B90&amp;$C90,'[1]FC1 Prod'!$A$6:$BP$36,[2]Consolidated!AW$1)</f>
        <v>0</v>
      </c>
      <c r="AX90" s="47">
        <f>VLOOKUP($B90&amp;$C90,'[1]FC1 Prod'!$A$6:$BP$36,[2]Consolidated!AX$1)</f>
        <v>0</v>
      </c>
      <c r="AY90" s="48">
        <f>VLOOKUP($B90&amp;$C90,'[1]FC1 Prod'!$A$6:$BP$36,[2]Consolidated!AY$1)</f>
        <v>0</v>
      </c>
      <c r="AZ90" s="47">
        <f>VLOOKUP($B90&amp;$C90,'[1]FC1 Prod'!$A$6:$BP$36,[2]Consolidated!AZ$1)</f>
        <v>0</v>
      </c>
      <c r="BA90" s="47">
        <f>VLOOKUP($B90&amp;$C90,'[1]FC1 Prod'!$A$6:$BP$36,[2]Consolidated!BA$1)</f>
        <v>0</v>
      </c>
      <c r="BB90" s="47">
        <f>VLOOKUP($B90&amp;$C90,'[1]FC1 Prod'!$A$6:$BP$36,[2]Consolidated!BB$1)</f>
        <v>0</v>
      </c>
      <c r="BC90" s="47">
        <f>VLOOKUP($B90&amp;$C90,'[1]FC1 Prod'!$A$6:$BP$36,[2]Consolidated!BC$1)</f>
        <v>0</v>
      </c>
      <c r="BD90" s="49">
        <f>VLOOKUP($B90&amp;$C90,'[1]FC1 Prod'!$A$6:$BP$36,[2]Consolidated!BD$1)</f>
        <v>0</v>
      </c>
      <c r="BE90" s="47">
        <f>VLOOKUP($B90&amp;$C90,'[1]FC1 Prod'!$A$6:$BP$36,[2]Consolidated!BE$1)</f>
        <v>0</v>
      </c>
      <c r="BF90" s="47">
        <f>VLOOKUP($B90&amp;$C90,'[1]FC1 Prod'!$A$6:$BP$36,[2]Consolidated!BF$1)</f>
        <v>0</v>
      </c>
      <c r="BG90" s="50">
        <f>VLOOKUP($B90&amp;$C90,'[1]FC1 Prod'!$A$6:$BP$36,[2]Consolidated!BG$1)</f>
        <v>0</v>
      </c>
      <c r="BH90" s="50">
        <f>VLOOKUP($B90&amp;$C90,'[1]FC1 Prod'!$A$6:$BP$36,[2]Consolidated!BH$1)</f>
        <v>0</v>
      </c>
      <c r="BI90" s="50">
        <f>VLOOKUP($B90&amp;$C90,'[1]FC1 Prod'!$A$6:$BP$36,[2]Consolidated!BI$1)</f>
        <v>0</v>
      </c>
      <c r="BJ90" s="37" t="e">
        <f>VLOOKUP($B90&amp;$C90,'[1]FC1 Prod'!$A$6:$BP$36,[2]Consolidated!BJ$1)</f>
        <v>#REF!</v>
      </c>
      <c r="BK90" s="37" t="e">
        <f>VLOOKUP($B90&amp;$C90,'[1]FC1 Prod'!$A$6:$BP$36,[2]Consolidated!BK$1)</f>
        <v>#REF!</v>
      </c>
      <c r="BL90" s="37" t="e">
        <f>VLOOKUP($B90&amp;$C90,'[1]FC1 Prod'!$A$6:$BP$36,[2]Consolidated!BL$1)</f>
        <v>#REF!</v>
      </c>
      <c r="BM90" s="37" t="e">
        <f>VLOOKUP($B90&amp;$C90,'[1]FC1 Prod'!$A$6:$BP$36,[2]Consolidated!BM$1)</f>
        <v>#REF!</v>
      </c>
      <c r="BN90" s="37" t="e">
        <f>VLOOKUP($B90&amp;$C90,'[1]FC1 Prod'!$A$6:$BP$36,[2]Consolidated!BN$1)</f>
        <v>#REF!</v>
      </c>
      <c r="BO90" s="37" t="e">
        <f>VLOOKUP($B90&amp;$C90,'[1]FC1 Prod'!$A$6:$BP$36,[2]Consolidated!BO$1)</f>
        <v>#REF!</v>
      </c>
      <c r="BP90" s="37" t="e">
        <f>VLOOKUP($B90&amp;$C90,'[1]FC1 Prod'!$A$6:$BP$36,[2]Consolidated!BP$1)</f>
        <v>#REF!</v>
      </c>
      <c r="BQ90" s="51" t="e">
        <f>VLOOKUP($B90&amp;$C90,'[1]FC1 Prod'!$A$6:$BP$36,[2]Consolidated!BQ$1)</f>
        <v>#REF!</v>
      </c>
      <c r="BR90" s="51">
        <f>VLOOKUP($B90&amp;$C90,'[1]FC1 Prod'!$A$6:$BQ$36,[2]Consolidated!BR$1)</f>
        <v>69902</v>
      </c>
      <c r="BS90" s="52">
        <f t="shared" ref="BS90:BS92" si="110">BE90+BF90+BG90+BA90</f>
        <v>0</v>
      </c>
      <c r="BT90" s="32">
        <f>BR90-BS90</f>
        <v>69902</v>
      </c>
      <c r="BU90" s="37">
        <f>E90*BT90</f>
        <v>0</v>
      </c>
      <c r="BV90" s="53" t="s">
        <v>133</v>
      </c>
      <c r="BW90" s="54" cm="1">
        <f t="array" ref="BW90">IFERROR(VLOOKUP($A90,TRANSPOSE('[1]Fur 1 PLC'!$AR$1:$BV$38),8,0),0)</f>
        <v>0</v>
      </c>
      <c r="BX90" s="54" cm="1">
        <f t="array" ref="BX90">IFERROR(VLOOKUP($A90,TRANSPOSE('[1]Fur 1 PLC'!$AR$1:$BV$38),30,0),0)</f>
        <v>0</v>
      </c>
      <c r="BY90" s="54" cm="1">
        <f t="array" ref="BY90">IFERROR(VLOOKUP($A90,TRANSPOSE('[1]Fur 1 PLC'!$AR$1:$BV$38),14,0),0)</f>
        <v>0</v>
      </c>
      <c r="BZ90" s="54" cm="1">
        <f t="array" ref="BZ90">IFERROR(VLOOKUP($A90,TRANSPOSE('[1]Fur 1 PLC'!$AR$1:$BV$38),16,0),0)</f>
        <v>0</v>
      </c>
      <c r="CA90" s="54" cm="1">
        <f t="array" ref="CA90">IFERROR(VLOOKUP($A90,TRANSPOSE('[1]Fur 1 PLC'!$AR$1:$BV$38),9,0),0)</f>
        <v>0</v>
      </c>
      <c r="CB90" s="54" cm="1">
        <f t="array" ref="CB90">IFERROR(VLOOKUP($A90,TRANSPOSE('[1]Fur 1 PLC'!$AR$1:$BV$38),17,0),0)</f>
        <v>0</v>
      </c>
      <c r="CC90" s="54" cm="1">
        <f t="array" ref="CC90">IFERROR(VLOOKUP($A90,TRANSPOSE('[1]Fur 1 PLC'!$AR$1:$BV$38),20,0),0)</f>
        <v>0</v>
      </c>
      <c r="CD90" s="54" cm="1">
        <f t="array" ref="CD90">IFERROR(VLOOKUP($A90,TRANSPOSE('[1]Fur 1 PLC'!$AR$1:$BV$38),28,0),0)</f>
        <v>0</v>
      </c>
      <c r="CE90" s="54" cm="1">
        <f t="array" ref="CE90">IFERROR(VLOOKUP($A90,TRANSPOSE('[1]Fur 1 PLC'!$AR$1:$BV$38),13,0),0)</f>
        <v>0</v>
      </c>
      <c r="CF90" s="54" cm="1">
        <f t="array" ref="CF90">IFERROR(VLOOKUP($A90,TRANSPOSE('[1]Fur 1 PLC'!$AR$1:$BV$38),37,0),0)</f>
        <v>0</v>
      </c>
      <c r="CG90" s="54" cm="1">
        <f t="array" ref="CG90">IFERROR(VLOOKUP($A90,TRANSPOSE('[1]Fur 1 PLC'!$AR$1:$BV$38),6,0),0)</f>
        <v>0</v>
      </c>
      <c r="CH90" s="54" cm="1">
        <f t="array" ref="CH90">IFERROR(VLOOKUP($A90,TRANSPOSE('[1]Fur 1 PLC'!$AR$1:$BV$38),21,0),0)</f>
        <v>0</v>
      </c>
      <c r="CI90" s="54" cm="1">
        <f t="array" ref="CI90">IFERROR(VLOOKUP($A90,TRANSPOSE('[1]Fur 1 PLC'!$AR$1:$BV$38),12,0),0)</f>
        <v>0</v>
      </c>
      <c r="CJ90" s="54" cm="1">
        <f t="array" ref="CJ90">IFERROR(VLOOKUP($A90,TRANSPOSE('[1]Fur 1 PLC'!$AR$1:$BV$38),25,0),0)</f>
        <v>0</v>
      </c>
      <c r="CK90" s="54" cm="1">
        <f t="array" ref="CK90">IFERROR(VLOOKUP($A90,TRANSPOSE('[1]Fur 1 PLC'!$AR$1:$BV$38),26,0),0)</f>
        <v>0</v>
      </c>
      <c r="CL90" s="54" cm="1">
        <f t="array" ref="CL90">IFERROR(VLOOKUP($A90,TRANSPOSE('[1]Fur 1 PLC'!$AR$1:$BV$38),27,0),0)</f>
        <v>0</v>
      </c>
      <c r="CM90" s="54" cm="1">
        <f t="array" ref="CM90">IFERROR(VLOOKUP($A90,TRANSPOSE('[1]Fur 1 PLC'!$AR$1:$BV$38),22,0),0)</f>
        <v>0</v>
      </c>
      <c r="CN90" s="54"/>
      <c r="CO90" s="54" cm="1">
        <f t="array" ref="CO90">IFERROR(VLOOKUP($A90,TRANSPOSE('[1]Fur 1 PLC'!$AR$1:$BV$38),29,0),0)</f>
        <v>0</v>
      </c>
      <c r="CP90" s="54" cm="1">
        <f t="array" ref="CP90">IFERROR(VLOOKUP($A90,TRANSPOSE('[1]Fur 1 PLC'!$AR$1:$BV$38),10,0),0)</f>
        <v>0</v>
      </c>
      <c r="CQ90" s="54" cm="1">
        <f t="array" ref="CQ90">IFERROR(VLOOKUP($A90,TRANSPOSE('[1]Fur 1 PLC'!$AR$1:$BV$38),7,0),0)</f>
        <v>0</v>
      </c>
      <c r="CR90" s="54" cm="1">
        <f t="array" ref="CR90">IFERROR(VLOOKUP($A90,TRANSPOSE('[1]Fur 1 PLC'!$AR$1:$BV$38),35,0),0)</f>
        <v>0</v>
      </c>
      <c r="CS90" s="54" cm="1">
        <f t="array" ref="CS90">IFERROR(VLOOKUP($A90,TRANSPOSE('[1]Fur 1 PLC'!$AR$1:$BV$38),11,0),0)</f>
        <v>0</v>
      </c>
      <c r="CT90" s="54" cm="1">
        <f t="array" ref="CT90">IFERROR(VLOOKUP($A90,TRANSPOSE('[1]Fur 1 PLC'!$AR$1:$BV$38),19,0),0)</f>
        <v>0</v>
      </c>
      <c r="CU90" s="54" cm="1">
        <f t="array" ref="CU90">IFERROR(VLOOKUP($A90,TRANSPOSE('[1]Fur 1 PLC'!$AR$1:$BV$38),18,0),0)</f>
        <v>0</v>
      </c>
      <c r="CV90" s="54" cm="1">
        <f t="array" ref="CV90">IFERROR(VLOOKUP($A90,TRANSPOSE('[1]Fur 1 PLC'!$AR$1:$BV$38),15,0),0)</f>
        <v>0</v>
      </c>
      <c r="CW90" s="54" cm="1">
        <f t="array" ref="CW90">IFERROR(VLOOKUP($A90,TRANSPOSE('[1]Fur 1 PLC'!$CL$1:$DP$38),8,0),0)</f>
        <v>0</v>
      </c>
      <c r="CX90" s="54" cm="1">
        <f t="array" ref="CX90">IFERROR(VLOOKUP($A90,TRANSPOSE('[1]Fur 1 PLC'!$CL$1:$DP$38),30,0),0)</f>
        <v>0</v>
      </c>
      <c r="CY90" s="54" cm="1">
        <f t="array" ref="CY90">IFERROR(VLOOKUP($A90,TRANSPOSE('[1]Fur 1 PLC'!$CL$1:$DP$38),14,0),0)</f>
        <v>0</v>
      </c>
      <c r="CZ90" s="54" cm="1">
        <f t="array" ref="CZ90">IFERROR(VLOOKUP($A90,TRANSPOSE('[1]Fur 1 PLC'!$CL$1:$DP$38),16,0),0)</f>
        <v>0</v>
      </c>
      <c r="DA90" s="54" cm="1">
        <f t="array" ref="DA90">IFERROR(VLOOKUP($A90,TRANSPOSE('[1]Fur 1 PLC'!$CL$1:$DP$38),9,0),0)</f>
        <v>0</v>
      </c>
      <c r="DB90" s="55" cm="1">
        <f t="array" ref="DB90">IFERROR(VLOOKUP($A90,TRANSPOSE('[1]Fur 1 PLC'!$CL$1:$DP$38),17,0),0)</f>
        <v>0</v>
      </c>
      <c r="DC90" s="55" cm="1">
        <f t="array" ref="DC90">IFERROR(VLOOKUP($A90,TRANSPOSE('[1]Fur 1 PLC'!$CL$1:$DP$38),20,0),0)</f>
        <v>0</v>
      </c>
      <c r="DD90" s="54" cm="1">
        <f t="array" ref="DD90">IFERROR(VLOOKUP($A90,TRANSPOSE('[1]Fur 1 PLC'!$CL$1:$DP$38),28,0),0)</f>
        <v>0</v>
      </c>
      <c r="DE90" s="54" cm="1">
        <f t="array" ref="DE90">IFERROR(VLOOKUP($A90,TRANSPOSE('[1]Fur 1 PLC'!$CL$1:$DP$38),13,0),0)</f>
        <v>0</v>
      </c>
      <c r="DF90" s="54" cm="1">
        <f t="array" ref="DF90">IFERROR(VLOOKUP($A90,TRANSPOSE('[1]Fur 1 PLC'!$CL$1:$DP$38),37,0),0)</f>
        <v>0</v>
      </c>
      <c r="DG90" s="54" cm="1">
        <f t="array" ref="DG90">IFERROR(VLOOKUP($A90,TRANSPOSE('[1]Fur 1 PLC'!$CL$1:$DP$38),6,0),0)</f>
        <v>0</v>
      </c>
      <c r="DH90" s="54" cm="1">
        <f t="array" ref="DH90">IFERROR(VLOOKUP($A90,TRANSPOSE('[1]Fur 1 PLC'!$CL$1:$DP$38),21,0),0)</f>
        <v>0</v>
      </c>
      <c r="DI90" s="54" cm="1">
        <f t="array" ref="DI90">IFERROR(VLOOKUP($A90,TRANSPOSE('[1]Fur 1 PLC'!$CL$1:$DP$38),12,0),0)</f>
        <v>0</v>
      </c>
      <c r="DJ90" s="54" cm="1">
        <f t="array" ref="DJ90">IFERROR(VLOOKUP($A90,TRANSPOSE('[1]Fur 1 PLC'!$CL$1:$DP$38),25,0),0)</f>
        <v>0</v>
      </c>
      <c r="DK90" s="54" cm="1">
        <f t="array" ref="DK90">IFERROR(VLOOKUP($A90,TRANSPOSE('[1]Fur 1 PLC'!$CL$1:$DP$38),26,0),0)</f>
        <v>0</v>
      </c>
      <c r="DL90" s="54" cm="1">
        <f t="array" ref="DL90">IFERROR(VLOOKUP($A90,TRANSPOSE('[1]Fur 1 PLC'!$CL$1:$DP$38),27,0),0)</f>
        <v>0</v>
      </c>
      <c r="DM90" s="54" cm="1">
        <f t="array" ref="DM90">IFERROR(VLOOKUP($A90,TRANSPOSE('[1]Fur 1 PLC'!$CL$1:$DP$38),22,0),0)</f>
        <v>0</v>
      </c>
      <c r="DN90" s="54" cm="1">
        <f t="array" ref="DN90">IFERROR(VLOOKUP($A90,TRANSPOSE('[1]Fur 1 PLC'!$CL$1:$DP$38),19,0),0)</f>
        <v>0</v>
      </c>
      <c r="DO90" s="54" cm="1">
        <f t="array" ref="DO90">IFERROR(VLOOKUP($A90,TRANSPOSE('[1]Fur 1 PLC'!$CL$1:$DP$38),29,0),0)</f>
        <v>0</v>
      </c>
      <c r="DP90" s="54" cm="1">
        <f t="array" ref="DP90">IFERROR(VLOOKUP($A90,TRANSPOSE('[1]Fur 1 PLC'!$CL$1:$DP$38),10,0),0)</f>
        <v>0</v>
      </c>
      <c r="DQ90" s="54" cm="1">
        <f t="array" ref="DQ90">IFERROR(VLOOKUP($A90,TRANSPOSE('[1]Fur 1 PLC'!$CL$1:$DP$38),7,0),0)</f>
        <v>0</v>
      </c>
      <c r="DR90" s="54" cm="1">
        <f t="array" ref="DR90">IFERROR(VLOOKUP($A90,TRANSPOSE('[1]Fur 1 PLC'!$CL$1:$DP$38),35,0),0)</f>
        <v>0</v>
      </c>
      <c r="DS90" s="54" cm="1">
        <f t="array" ref="DS90">IFERROR(VLOOKUP($A90,TRANSPOSE('[1]Fur 1 PLC'!$CL$1:$DP$38),11,0),0)</f>
        <v>0</v>
      </c>
      <c r="DT90" s="54" cm="1">
        <f t="array" ref="DT90">IFERROR(VLOOKUP($A90,TRANSPOSE('[1]Fur 1 PLC'!$CL$1:$DP$38),19,0),0)</f>
        <v>0</v>
      </c>
      <c r="DU90" s="54" cm="1">
        <f t="array" ref="DU90">IFERROR(VLOOKUP($A90,TRANSPOSE('[1]Fur 1 PLC'!$CL$1:$DP$38),18,0),0)</f>
        <v>0</v>
      </c>
      <c r="DV90" s="54" cm="1">
        <f t="array" ref="DV90">IFERROR(VLOOKUP($A90,TRANSPOSE('[1]Fur 1 PLC'!$CL$1:$DP$38),15,0),0)</f>
        <v>0</v>
      </c>
      <c r="DW90" t="str">
        <f>TEXT(C90,"Mmm-yy")</f>
        <v>Dec-25</v>
      </c>
    </row>
    <row r="91" spans="1:127" x14ac:dyDescent="0.3">
      <c r="A91" s="28" t="str">
        <f t="shared" si="59"/>
        <v>F246014</v>
      </c>
      <c r="B91" s="29" t="s">
        <v>27</v>
      </c>
      <c r="C91" s="30">
        <f>C90</f>
        <v>46014</v>
      </c>
      <c r="D91" s="29" t="str">
        <f>VLOOKUP($B91&amp;$C91,'[1]FC2 Prod'!$A$6:$BP$36,[2]Consolidated!D$1)</f>
        <v>Mr. Girish Malik</v>
      </c>
      <c r="E91" s="29">
        <f>VLOOKUP($B91&amp;$C91,'[1]FC2 Prod'!$A$6:$BP$36,[2]Consolidated!E$1)</f>
        <v>0</v>
      </c>
      <c r="F91" s="29">
        <f>VLOOKUP($B91&amp;$C91,'[1]FC2 Prod'!$A$6:$BP$36,[2]Consolidated!F$1)</f>
        <v>0</v>
      </c>
      <c r="G91" s="29" t="e">
        <f>VLOOKUP($B91&amp;$C91,'[1]FC2 Prod'!$A$6:$BP$36,[2]Consolidated!G$1)</f>
        <v>#REF!</v>
      </c>
      <c r="H91" s="32">
        <f>VLOOKUP($B91&amp;$C91,'[1]FC2 Prod'!$A$6:$BP$36,[2]Consolidated!H$1)</f>
        <v>0</v>
      </c>
      <c r="I91" s="32">
        <f>VLOOKUP($B91&amp;$C91,'[1]FC2 Prod'!$A$6:$BP$36,[2]Consolidated!I$1)</f>
        <v>0</v>
      </c>
      <c r="J91" s="32">
        <f>VLOOKUP($B91&amp;$C91,'[1]FC2 Prod'!$A$6:$BP$36,[2]Consolidated!J$1)</f>
        <v>0</v>
      </c>
      <c r="K91" s="32">
        <f>VLOOKUP($B91&amp;$C91,'[1]FC2 Prod'!$A$6:$BP$36,[2]Consolidated!K$1)</f>
        <v>0</v>
      </c>
      <c r="L91" s="32">
        <f>VLOOKUP($B91&amp;$C91,'[1]FC2 Prod'!$A$6:$BP$36,[2]Consolidated!L$1)</f>
        <v>0</v>
      </c>
      <c r="M91" s="32">
        <f>VLOOKUP($B91&amp;$C91,'[1]FC2 Prod'!$A$6:$BP$36,[2]Consolidated!M$1)</f>
        <v>0</v>
      </c>
      <c r="N91" s="32">
        <f>VLOOKUP($B91&amp;$C91,'[1]FC2 Prod'!$A$6:$BP$36,[2]Consolidated!N$1)</f>
        <v>0</v>
      </c>
      <c r="O91" s="32">
        <f>VLOOKUP($B91&amp;$C91,'[1]FC2 Prod'!$A$6:$BP$36,[2]Consolidated!O$1)</f>
        <v>0</v>
      </c>
      <c r="P91" s="34">
        <f>VLOOKUP($B91&amp;$C91,'[1]FC2 Prod'!$A$6:$BP$36,[2]Consolidated!P$1)</f>
        <v>9</v>
      </c>
      <c r="Q91" s="29">
        <f>VLOOKUP($B91&amp;$C91,'[1]FC2 Prod'!$A$6:$BP$36,[2]Consolidated!Q$1)</f>
        <v>0</v>
      </c>
      <c r="R91" s="29">
        <f>VLOOKUP($B91&amp;$C91,'[1]FC2 Prod'!$A$6:$BP$36,[2]Consolidated!R$1)</f>
        <v>0</v>
      </c>
      <c r="S91" s="34" t="e">
        <f>VLOOKUP($B91&amp;$C91,'[1]FC2 Prod'!$A$6:$BP$36,[2]Consolidated!S$1)</f>
        <v>#REF!</v>
      </c>
      <c r="T91" s="34" t="e">
        <f>VLOOKUP($B91&amp;$C91,'[1]FC2 Prod'!$A$6:$BP$36,[2]Consolidated!T$1)</f>
        <v>#REF!</v>
      </c>
      <c r="U91" s="34" t="e">
        <f>VLOOKUP($B91&amp;$C91,'[1]FC2 Prod'!$A$6:$BP$36,[2]Consolidated!U$1)</f>
        <v>#REF!</v>
      </c>
      <c r="V91" s="34">
        <f>VLOOKUP($B91&amp;$C91,'[1]FC2 Prod'!$A$6:$BP$36,[2]Consolidated!V$1)</f>
        <v>0</v>
      </c>
      <c r="W91" s="29">
        <f>VLOOKUP($B91&amp;$C91,'[1]FC2 Prod'!$A$6:$BP$36,[2]Consolidated!W$1)</f>
        <v>0</v>
      </c>
      <c r="X91" s="35">
        <f>VLOOKUP($B91&amp;$C91,'[1]FC2 Prod'!$A$6:$BP$36,[2]Consolidated!X$1)</f>
        <v>0</v>
      </c>
      <c r="Y91" s="36">
        <f>VLOOKUP($B91&amp;$C91,'[1]FC2 Prod'!$A$6:$BP$36,[2]Consolidated!Y$1)</f>
        <v>0</v>
      </c>
      <c r="Z91" s="37" t="e">
        <f>VLOOKUP($B91&amp;$C91,'[1]FC2 Prod'!$A$6:$BP$36,[2]Consolidated!Z$1)</f>
        <v>#REF!</v>
      </c>
      <c r="AA91" s="31">
        <f>VLOOKUP($B91&amp;$C91,'[1]FC2 Prod'!$A$6:$BP$36,[2]Consolidated!AA$1)</f>
        <v>0</v>
      </c>
      <c r="AB91" s="31">
        <f>VLOOKUP($B91&amp;$C91,'[1]FC2 Prod'!$A$6:$BP$36,[2]Consolidated!AB$1)</f>
        <v>0</v>
      </c>
      <c r="AC91" s="31">
        <f>VLOOKUP($B91&amp;$C91,'[1]FC2 Prod'!$A$6:$BP$36,[2]Consolidated!AC$1)</f>
        <v>0</v>
      </c>
      <c r="AD91" s="38">
        <f>VLOOKUP($B91&amp;$C91,'[1]FC2 Prod'!$A$6:$BP$36,[2]Consolidated!AD$1)</f>
        <v>0</v>
      </c>
      <c r="AE91" s="38">
        <f>VLOOKUP($B91&amp;$C91,'[1]FC2 Prod'!$A$6:$BP$36,[2]Consolidated!AE$1)</f>
        <v>0</v>
      </c>
      <c r="AF91" s="39">
        <f>VLOOKUP($B91&amp;$C91,'[1]FC2 Prod'!$A$6:$BP$36,[2]Consolidated!AF$1)</f>
        <v>0</v>
      </c>
      <c r="AG91" s="39">
        <f>VLOOKUP($B91&amp;$C91,'[1]FC2 Prod'!$A$6:$BP$36,[2]Consolidated!AG$1)</f>
        <v>0</v>
      </c>
      <c r="AH91" s="34">
        <f>VLOOKUP($B91&amp;$C91,'[1]FC2 Prod'!$A$6:$BP$36,[2]Consolidated!AH$1)</f>
        <v>0</v>
      </c>
      <c r="AI91" s="33">
        <f>VLOOKUP($B91&amp;$C91,'[1]FC2 Prod'!$A$6:$BP$36,[2]Consolidated!AI$1)</f>
        <v>0</v>
      </c>
      <c r="AJ91" s="39">
        <f>VLOOKUP($B91&amp;$C91,'[1]FC2 Prod'!$A$6:$BP$36,[2]Consolidated!AJ$1)</f>
        <v>0</v>
      </c>
      <c r="AK91" s="39">
        <f>VLOOKUP($B91&amp;$C91,'[1]FC2 Prod'!$A$6:$BP$36,[2]Consolidated!AK$1)</f>
        <v>0</v>
      </c>
      <c r="AL91" s="40" t="e">
        <f>VLOOKUP($B91&amp;$C91,'[1]FC2 Prod'!$A$6:$BP$36,[2]Consolidated!AL$1)</f>
        <v>#REF!</v>
      </c>
      <c r="AM91" s="41">
        <f>VLOOKUP($B91&amp;$C91,'[1]FC2 Prod'!$A$6:$BP$36,[2]Consolidated!AM$1)</f>
        <v>0</v>
      </c>
      <c r="AN91" s="42" t="e">
        <f>VLOOKUP($B91&amp;$C91,'[1]FC2 Prod'!$A$6:$BP$36,[2]Consolidated!AN$1)</f>
        <v>#REF!</v>
      </c>
      <c r="AO91" s="43" t="e">
        <f>VLOOKUP($B91&amp;$C91,'[1]FC2 Prod'!$A$6:$BP$36,[2]Consolidated!AO$1)</f>
        <v>#REF!</v>
      </c>
      <c r="AP91" s="44">
        <f>VLOOKUP($B91&amp;$C91,'[1]FC2 Prod'!$A$6:$BP$36,[2]Consolidated!AP$1)</f>
        <v>0</v>
      </c>
      <c r="AQ91" s="44">
        <f>VLOOKUP($B91&amp;$C91,'[1]FC2 Prod'!$A$6:$BP$36,[2]Consolidated!AQ$1)</f>
        <v>0</v>
      </c>
      <c r="AR91" s="45">
        <f>VLOOKUP($B91&amp;$C91,'[1]FC2 Prod'!$A$6:$BP$36,[2]Consolidated!AR$1)</f>
        <v>0</v>
      </c>
      <c r="AS91" s="46">
        <f>VLOOKUP($B91&amp;$C91,'[1]FC2 Prod'!$A$6:$BP$36,[2]Consolidated!AS$1)</f>
        <v>0</v>
      </c>
      <c r="AT91" s="29">
        <f>VLOOKUP($B91&amp;$C91,'[1]FC2 Prod'!$A$6:$BP$36,[2]Consolidated!AT$1)</f>
        <v>0</v>
      </c>
      <c r="AU91" s="34">
        <f>VLOOKUP($B91&amp;$C91,'[1]FC2 Prod'!$A$6:$BP$36,[2]Consolidated!AU$1)</f>
        <v>0</v>
      </c>
      <c r="AV91" s="34">
        <f>VLOOKUP($B91&amp;$C91,'[1]FC2 Prod'!$A$6:$BP$36,[2]Consolidated!AV$1)</f>
        <v>0</v>
      </c>
      <c r="AW91" s="47">
        <f>VLOOKUP($B91&amp;$C91,'[1]FC2 Prod'!$A$6:$BP$36,[2]Consolidated!AW$1)</f>
        <v>0</v>
      </c>
      <c r="AX91" s="47">
        <f>VLOOKUP($B91&amp;$C91,'[1]FC2 Prod'!$A$6:$BP$36,[2]Consolidated!AX$1)</f>
        <v>0</v>
      </c>
      <c r="AY91" s="48">
        <f>VLOOKUP($B91&amp;$C91,'[1]FC2 Prod'!$A$6:$BP$36,[2]Consolidated!AY$1)</f>
        <v>0</v>
      </c>
      <c r="AZ91" s="47">
        <f>VLOOKUP($B91&amp;$C91,'[1]FC2 Prod'!$A$6:$BP$36,[2]Consolidated!AZ$1)</f>
        <v>0</v>
      </c>
      <c r="BA91" s="47">
        <f>VLOOKUP($B91&amp;$C91,'[1]FC2 Prod'!$A$6:$BP$36,[2]Consolidated!BA$1)</f>
        <v>0</v>
      </c>
      <c r="BB91" s="47">
        <f>VLOOKUP($B91&amp;$C91,'[1]FC2 Prod'!$A$6:$BP$36,[2]Consolidated!BB$1)</f>
        <v>0</v>
      </c>
      <c r="BC91" s="47">
        <f>VLOOKUP($B91&amp;$C91,'[1]FC2 Prod'!$A$6:$BP$36,[2]Consolidated!BC$1)</f>
        <v>0</v>
      </c>
      <c r="BD91" s="49">
        <f>VLOOKUP($B91&amp;$C91,'[1]FC2 Prod'!$A$6:$BP$36,[2]Consolidated!BD$1)</f>
        <v>0</v>
      </c>
      <c r="BE91" s="47">
        <f>VLOOKUP($B91&amp;$C91,'[1]FC2 Prod'!$A$6:$BP$36,[2]Consolidated!BE$1)</f>
        <v>0</v>
      </c>
      <c r="BF91" s="47">
        <f>VLOOKUP($B91&amp;$C91,'[1]FC2 Prod'!$A$6:$BP$36,[2]Consolidated!BF$1)</f>
        <v>0</v>
      </c>
      <c r="BG91" s="50">
        <f>VLOOKUP($B91&amp;$C91,'[1]FC2 Prod'!$A$6:$BP$36,[2]Consolidated!BG$1)</f>
        <v>0</v>
      </c>
      <c r="BH91" s="50">
        <f>VLOOKUP($B91&amp;$C91,'[1]FC2 Prod'!$A$6:$BP$36,[2]Consolidated!BH$1)</f>
        <v>0</v>
      </c>
      <c r="BI91" s="50">
        <f>VLOOKUP($B91&amp;$C91,'[1]FC2 Prod'!$A$6:$BP$36,[2]Consolidated!BI$1)</f>
        <v>0</v>
      </c>
      <c r="BJ91" s="37" t="e">
        <f>VLOOKUP($B91&amp;$C91,'[1]FC2 Prod'!$A$6:$BP$36,[2]Consolidated!BJ$1)</f>
        <v>#REF!</v>
      </c>
      <c r="BK91" s="37" t="e">
        <f>VLOOKUP($B91&amp;$C91,'[1]FC2 Prod'!$A$6:$BP$36,[2]Consolidated!BK$1)</f>
        <v>#REF!</v>
      </c>
      <c r="BL91" s="37" t="e">
        <f>VLOOKUP($B91&amp;$C91,'[1]FC2 Prod'!$A$6:$BP$36,[2]Consolidated!BL$1)</f>
        <v>#REF!</v>
      </c>
      <c r="BM91" s="37" t="e">
        <f>VLOOKUP($B91&amp;$C91,'[1]FC2 Prod'!$A$6:$BP$36,[2]Consolidated!BM$1)</f>
        <v>#REF!</v>
      </c>
      <c r="BN91" s="37" t="e">
        <f>VLOOKUP($B91&amp;$C91,'[1]FC2 Prod'!$A$6:$BP$36,[2]Consolidated!BN$1)</f>
        <v>#REF!</v>
      </c>
      <c r="BO91" s="37" t="e">
        <f>VLOOKUP($B91&amp;$C91,'[1]FC2 Prod'!$A$6:$BP$36,[2]Consolidated!BO$1)</f>
        <v>#REF!</v>
      </c>
      <c r="BP91" s="37" t="e">
        <f>VLOOKUP($B91&amp;$C91,'[1]FC2 Prod'!$A$6:$BP$36,[2]Consolidated!BP$1)</f>
        <v>#REF!</v>
      </c>
      <c r="BQ91" s="29" t="e">
        <f>VLOOKUP($B91&amp;$C91,'[1]FC2 Prod'!$A$6:$BP$36,[2]Consolidated!BQ$1)</f>
        <v>#REF!</v>
      </c>
      <c r="BR91" s="51">
        <f>VLOOKUP($B91&amp;$C91,'[1]FC2 Prod'!$A$6:$BQ$36,[2]Consolidated!BR$1)</f>
        <v>68163</v>
      </c>
      <c r="BS91" s="52">
        <f t="shared" si="110"/>
        <v>0</v>
      </c>
      <c r="BT91" s="32">
        <f>BR91-BS91</f>
        <v>68163</v>
      </c>
      <c r="BU91" s="37">
        <f>E91*BT91</f>
        <v>0</v>
      </c>
      <c r="BV91" s="53" t="s">
        <v>133</v>
      </c>
      <c r="BW91" s="54" cm="1">
        <f t="array" ref="BW91">IFERROR(VLOOKUP($A91,TRANSPOSE('[1]Fur 2 PLC'!$AR$1:$BV$38),8,0),0)</f>
        <v>0</v>
      </c>
      <c r="BX91" s="54" cm="1">
        <f t="array" ref="BX91">IFERROR(VLOOKUP($A91,TRANSPOSE('[1]Fur 2 PLC'!$AR$1:$BV$38),30,0),0)</f>
        <v>0</v>
      </c>
      <c r="BY91" s="54" cm="1">
        <f t="array" ref="BY91">IFERROR(VLOOKUP($A91,TRANSPOSE('[1]Fur 2 PLC'!$AR$1:$BV$38),14,0),0)</f>
        <v>0</v>
      </c>
      <c r="BZ91" s="54" cm="1">
        <f t="array" ref="BZ91">IFERROR(VLOOKUP($A91,TRANSPOSE('[1]Fur 2 PLC'!$AR$1:$BV$38),16,0),0)</f>
        <v>0</v>
      </c>
      <c r="CA91" s="54" cm="1">
        <f t="array" ref="CA91">IFERROR(VLOOKUP($A91,TRANSPOSE('[1]Fur 2 PLC'!$AR$1:$BV$38),9,0),0)</f>
        <v>0</v>
      </c>
      <c r="CB91" s="54" cm="1">
        <f t="array" ref="CB91">IFERROR(VLOOKUP($A91,TRANSPOSE('[1]Fur 2 PLC'!$AR$1:$BV$38),17,0),0)</f>
        <v>0</v>
      </c>
      <c r="CC91" s="54" cm="1">
        <f t="array" ref="CC91">IFERROR(VLOOKUP($A91,TRANSPOSE('[1]Fur 2 PLC'!$AR$1:$BV$38),20,0),0)</f>
        <v>0</v>
      </c>
      <c r="CD91" s="54" cm="1">
        <f t="array" ref="CD91">IFERROR(VLOOKUP($A91,TRANSPOSE('[1]Fur 2 PLC'!$AR$1:$BV$38),28,0),0)</f>
        <v>0</v>
      </c>
      <c r="CE91" s="54" cm="1">
        <f t="array" ref="CE91">IFERROR(VLOOKUP($A91,TRANSPOSE('[1]Fur 2 PLC'!$AR$1:$BV$38),13,0),0)</f>
        <v>0</v>
      </c>
      <c r="CF91" s="54" cm="1">
        <f t="array" ref="CF91">IFERROR(VLOOKUP($A91,TRANSPOSE('[1]Fur 2 PLC'!$AR$1:$BV$38),37,0),0)</f>
        <v>0</v>
      </c>
      <c r="CG91" s="54" cm="1">
        <f t="array" ref="CG91">IFERROR(VLOOKUP($A91,TRANSPOSE('[1]Fur 2 PLC'!$AR$1:$BV$38),6,0),0)</f>
        <v>0</v>
      </c>
      <c r="CH91" s="54" cm="1">
        <f t="array" ref="CH91">IFERROR(VLOOKUP($A91,TRANSPOSE('[1]Fur 2 PLC'!$AR$1:$BV$38),21,0),0)</f>
        <v>0</v>
      </c>
      <c r="CI91" s="54" cm="1">
        <f t="array" ref="CI91">IFERROR(VLOOKUP($A91,TRANSPOSE('[1]Fur 2 PLC'!$AR$1:$BV$38),12,0),0)</f>
        <v>0</v>
      </c>
      <c r="CJ91" s="54" cm="1">
        <f t="array" ref="CJ91">IFERROR(VLOOKUP($A91,TRANSPOSE('[1]Fur 2 PLC'!$AR$1:$BV$38),25,0),0)</f>
        <v>0</v>
      </c>
      <c r="CK91" s="54" cm="1">
        <f t="array" ref="CK91">IFERROR(VLOOKUP($A91,TRANSPOSE('[1]Fur 2 PLC'!$AR$1:$BV$38),26,0),0)</f>
        <v>0</v>
      </c>
      <c r="CL91" s="54" cm="1">
        <f t="array" ref="CL91">IFERROR(VLOOKUP($A91,TRANSPOSE('[1]Fur 2 PLC'!$AR$1:$BV$38),27,0),0)</f>
        <v>0</v>
      </c>
      <c r="CM91" s="54" cm="1">
        <f t="array" ref="CM91">IFERROR(VLOOKUP($A91,TRANSPOSE('[1]Fur 2 PLC'!$AR$1:$BV$38),22,0),0)</f>
        <v>0</v>
      </c>
      <c r="CN91" s="54"/>
      <c r="CO91" s="54" cm="1">
        <f t="array" ref="CO91">IFERROR(VLOOKUP($A91,TRANSPOSE('[1]Fur 2 PLC'!$AR$1:$BV$38),29,0),0)</f>
        <v>0</v>
      </c>
      <c r="CP91" s="54" cm="1">
        <f t="array" ref="CP91">IFERROR(VLOOKUP($A91,TRANSPOSE('[1]Fur 2 PLC'!$AR$1:$BV$38),10,0),0)</f>
        <v>0</v>
      </c>
      <c r="CQ91" s="54" cm="1">
        <f t="array" ref="CQ91">IFERROR(VLOOKUP($A91,TRANSPOSE('[1]Fur 2 PLC'!$AR$1:$BV$38),7,0),0)</f>
        <v>0</v>
      </c>
      <c r="CR91" s="54" cm="1">
        <f t="array" ref="CR91">IFERROR(VLOOKUP($A91,TRANSPOSE('[1]Fur 2 PLC'!$AR$1:$BV$38),35,0),0)</f>
        <v>0</v>
      </c>
      <c r="CS91" s="54" cm="1">
        <f t="array" ref="CS91">IFERROR(VLOOKUP($A91,TRANSPOSE('[1]Fur 2 PLC'!$AR$1:$BV$38),11,0),0)</f>
        <v>0</v>
      </c>
      <c r="CT91" s="54" cm="1">
        <f t="array" ref="CT91">IFERROR(VLOOKUP($A91,TRANSPOSE('[1]Fur 2 PLC'!$AR$1:$BV$38),19,0),0)</f>
        <v>0</v>
      </c>
      <c r="CU91" s="54" cm="1">
        <f t="array" ref="CU91">IFERROR(VLOOKUP($A91,TRANSPOSE('[1]Fur 2 PLC'!$AR$1:$BV$38),18,0),0)</f>
        <v>0</v>
      </c>
      <c r="CV91" s="54" cm="1">
        <f t="array" ref="CV91">IFERROR(VLOOKUP($A91,TRANSPOSE('[1]Fur 2 PLC'!$AR$1:$BV$38),15,0),0)</f>
        <v>0</v>
      </c>
      <c r="CW91" s="54" cm="1">
        <f t="array" ref="CW91">IFERROR(VLOOKUP($A91,TRANSPOSE('[1]Fur 2 PLC'!$CI$1:$DM$38),8,0),0)</f>
        <v>0</v>
      </c>
      <c r="CX91" s="54" cm="1">
        <f t="array" ref="CX91">IFERROR(VLOOKUP($A91,TRANSPOSE('[1]Fur 2 PLC'!$CI$1:$DM$38),30,0),0)</f>
        <v>0</v>
      </c>
      <c r="CY91" s="54" cm="1">
        <f t="array" ref="CY91">IFERROR(VLOOKUP($A91,TRANSPOSE('[1]Fur 2 PLC'!$CI$1:$DM$38),14,0),0)</f>
        <v>0</v>
      </c>
      <c r="CZ91" s="54" cm="1">
        <f t="array" ref="CZ91">IFERROR(VLOOKUP($A91,TRANSPOSE('[1]Fur 2 PLC'!$CI$1:$DM$38),16,0),0)</f>
        <v>0</v>
      </c>
      <c r="DA91" s="54" cm="1">
        <f t="array" ref="DA91">IFERROR(VLOOKUP($A91,TRANSPOSE('[1]Fur 2 PLC'!$CI$1:$DM$38),9,0),0)</f>
        <v>0</v>
      </c>
      <c r="DB91" s="55" cm="1">
        <f t="array" ref="DB91">IFERROR(VLOOKUP($A91,TRANSPOSE('[1]Fur 2 PLC'!$CI$1:$DM$38),17,0),0)</f>
        <v>0</v>
      </c>
      <c r="DC91" s="55" cm="1">
        <f t="array" ref="DC91">IFERROR(VLOOKUP($A91,TRANSPOSE('[1]Fur 2 PLC'!$CI$1:$DM$38),20,0),0)</f>
        <v>0</v>
      </c>
      <c r="DD91" s="54" cm="1">
        <f t="array" ref="DD91">IFERROR(VLOOKUP($A91,TRANSPOSE('[1]Fur 2 PLC'!$CI$1:$DM$38),28,0),0)</f>
        <v>0</v>
      </c>
      <c r="DE91" s="54" cm="1">
        <f t="array" ref="DE91">IFERROR(VLOOKUP($A91,TRANSPOSE('[1]Fur 2 PLC'!$CI$1:$DM$38),13,0),0)</f>
        <v>0</v>
      </c>
      <c r="DF91" s="54" cm="1">
        <f t="array" ref="DF91">IFERROR(VLOOKUP($A91,TRANSPOSE('[1]Fur 2 PLC'!$CI$1:$DM$38),37,0),0)</f>
        <v>0</v>
      </c>
      <c r="DG91" s="54" cm="1">
        <f t="array" ref="DG91">IFERROR(VLOOKUP($A91,TRANSPOSE('[1]Fur 2 PLC'!$CI$1:$DM$38),6,0),0)</f>
        <v>0</v>
      </c>
      <c r="DH91" s="54" cm="1">
        <f t="array" ref="DH91">IFERROR(VLOOKUP($A91,TRANSPOSE('[1]Fur 2 PLC'!$CI$1:$DM$38),21,0),0)</f>
        <v>0</v>
      </c>
      <c r="DI91" s="54" cm="1">
        <f t="array" ref="DI91">IFERROR(VLOOKUP($A91,TRANSPOSE('[1]Fur 2 PLC'!$CI$1:$DM$38),12,0),0)</f>
        <v>0</v>
      </c>
      <c r="DJ91" s="54" cm="1">
        <f t="array" ref="DJ91">IFERROR(VLOOKUP($A91,TRANSPOSE('[1]Fur 2 PLC'!$CI$1:$DM$38),25,0),0)</f>
        <v>0</v>
      </c>
      <c r="DK91" s="54" cm="1">
        <f t="array" ref="DK91">IFERROR(VLOOKUP($A91,TRANSPOSE('[1]Fur 2 PLC'!$CI$1:$DM$38),26,0),0)</f>
        <v>0</v>
      </c>
      <c r="DL91" s="54" cm="1">
        <f t="array" ref="DL91">IFERROR(VLOOKUP($A91,TRANSPOSE('[1]Fur 2 PLC'!$CI$1:$DM$38),27,0),0)</f>
        <v>0</v>
      </c>
      <c r="DM91" s="54" cm="1">
        <f t="array" ref="DM91">IFERROR(VLOOKUP($A91,TRANSPOSE('[1]Fur 2 PLC'!$CI$1:$DM$38),22,0),0)</f>
        <v>0</v>
      </c>
      <c r="DN91" s="54" cm="1">
        <f t="array" ref="DN91">IFERROR(VLOOKUP($A91,TRANSPOSE('[1]Fur 2 PLC'!$CI$1:$DM$38),19,0),0)</f>
        <v>0</v>
      </c>
      <c r="DO91" s="54" cm="1">
        <f t="array" ref="DO91">IFERROR(VLOOKUP($A91,TRANSPOSE('[1]Fur 2 PLC'!$CI$1:$DM$38),29,0),0)</f>
        <v>0</v>
      </c>
      <c r="DP91" s="54" cm="1">
        <f t="array" ref="DP91">IFERROR(VLOOKUP($A91,TRANSPOSE('[1]Fur 2 PLC'!$CI$1:$DM$38),10,0),0)</f>
        <v>0</v>
      </c>
      <c r="DQ91" s="54" cm="1">
        <f t="array" ref="DQ91">IFERROR(VLOOKUP($A91,TRANSPOSE('[1]Fur 2 PLC'!$CI$1:$DM$38),7,0),0)</f>
        <v>0</v>
      </c>
      <c r="DR91" s="54" cm="1">
        <f t="array" ref="DR91">IFERROR(VLOOKUP($A91,TRANSPOSE('[1]Fur 2 PLC'!$CI$1:$DM$38),35,0),0)</f>
        <v>0</v>
      </c>
      <c r="DS91" s="54" cm="1">
        <f t="array" ref="DS91">IFERROR(VLOOKUP($A91,TRANSPOSE('[1]Fur 2 PLC'!$CI$1:$DM$38),11,0),0)</f>
        <v>0</v>
      </c>
      <c r="DT91" s="54" cm="1">
        <f t="array" ref="DT91">IFERROR(VLOOKUP($A91,TRANSPOSE('[1]Fur 2 PLC'!$CI$1:$DM$38),19,0),0)</f>
        <v>0</v>
      </c>
      <c r="DU91" s="54" cm="1">
        <f t="array" ref="DU91">IFERROR(VLOOKUP($A91,TRANSPOSE('[1]Fur 2 PLC'!$CI$1:$DM$38),18,0),0)</f>
        <v>0</v>
      </c>
      <c r="DV91" s="54" cm="1">
        <f t="array" ref="DV91">IFERROR(VLOOKUP($A91,TRANSPOSE('[1]Fur 2 PLC'!$CI$1:$DM$38),15,0),0)</f>
        <v>0</v>
      </c>
      <c r="DW91" t="str">
        <f t="shared" ref="DW91:DW93" si="111">TEXT(C91,"Mmm-yy")</f>
        <v>Dec-25</v>
      </c>
    </row>
    <row r="92" spans="1:127" x14ac:dyDescent="0.3">
      <c r="A92" s="28" t="str">
        <f t="shared" si="59"/>
        <v>F346014</v>
      </c>
      <c r="B92" s="29" t="s">
        <v>28</v>
      </c>
      <c r="C92" s="30">
        <f>C91</f>
        <v>46014</v>
      </c>
      <c r="D92" s="29" t="str">
        <f>VLOOKUP($B92&amp;$C92,'[1]FC3 Prod'!$A$6:$BP$36,[2]Consolidated!D$1)</f>
        <v>Mr. Ajay Singh</v>
      </c>
      <c r="E92" s="29">
        <f>VLOOKUP($B92&amp;$C92,'[1]FC3 Prod'!$A$6:$BP$36,[2]Consolidated!E$1)</f>
        <v>0</v>
      </c>
      <c r="F92" s="31">
        <f>VLOOKUP($B92&amp;$C92,'[1]FC3 Prod'!$A$6:$BP$36,[2]Consolidated!F$1)</f>
        <v>0</v>
      </c>
      <c r="G92" s="32" t="e">
        <f>VLOOKUP($B92&amp;$C92,'[1]FC3 Prod'!$A$6:$BP$36,[2]Consolidated!G$1)</f>
        <v>#REF!</v>
      </c>
      <c r="H92" s="32">
        <f>VLOOKUP($B92&amp;$C92,'[1]FC3 Prod'!$A$6:$BP$36,[2]Consolidated!H$1)</f>
        <v>0</v>
      </c>
      <c r="I92" s="32">
        <f>VLOOKUP($B92&amp;$C92,'[1]FC3 Prod'!$A$6:$BP$36,[2]Consolidated!I$1)</f>
        <v>0</v>
      </c>
      <c r="J92" s="32">
        <f>VLOOKUP($B92&amp;$C92,'[1]FC3 Prod'!$A$6:$BP$36,[2]Consolidated!J$1)</f>
        <v>0</v>
      </c>
      <c r="K92" s="32">
        <f>VLOOKUP($B92&amp;$C92,'[1]FC3 Prod'!$A$6:$BP$36,[2]Consolidated!K$1)</f>
        <v>0</v>
      </c>
      <c r="L92" s="32">
        <f>VLOOKUP($B92&amp;$C92,'[1]FC3 Prod'!$A$6:$BP$36,[2]Consolidated!L$1)</f>
        <v>0</v>
      </c>
      <c r="M92" s="32">
        <f>VLOOKUP($B92&amp;$C92,'[1]FC3 Prod'!$A$6:$BP$36,[2]Consolidated!M$1)</f>
        <v>0</v>
      </c>
      <c r="N92" s="32">
        <f>VLOOKUP($B92&amp;$C92,'[1]FC3 Prod'!$A$6:$BP$36,[2]Consolidated!N$1)</f>
        <v>0</v>
      </c>
      <c r="O92" s="32">
        <f>VLOOKUP($B92&amp;$C92,'[1]FC3 Prod'!$A$6:$BP$36,[2]Consolidated!O$1)</f>
        <v>0</v>
      </c>
      <c r="P92" s="33">
        <f>VLOOKUP($B92&amp;$C92,'[1]FC3 Prod'!$A$6:$BP$36,[2]Consolidated!P$1)</f>
        <v>8</v>
      </c>
      <c r="Q92" s="29">
        <f>VLOOKUP($B92&amp;$C92,'[1]FC3 Prod'!$A$6:$BP$36,[2]Consolidated!Q$1)</f>
        <v>0</v>
      </c>
      <c r="R92" s="29">
        <f>VLOOKUP($B92&amp;$C92,'[1]FC3 Prod'!$A$6:$BP$36,[2]Consolidated!R$1)</f>
        <v>0</v>
      </c>
      <c r="S92" s="34" t="e">
        <f>VLOOKUP($B92&amp;$C92,'[1]FC3 Prod'!$A$6:$BP$36,[2]Consolidated!S$1)</f>
        <v>#REF!</v>
      </c>
      <c r="T92" s="34" t="e">
        <f>VLOOKUP($B92&amp;$C92,'[1]FC3 Prod'!$A$6:$BP$36,[2]Consolidated!T$1)</f>
        <v>#REF!</v>
      </c>
      <c r="U92" s="34" t="e">
        <f>VLOOKUP($B92&amp;$C92,'[1]FC3 Prod'!$A$6:$BP$36,[2]Consolidated!U$1)</f>
        <v>#REF!</v>
      </c>
      <c r="V92" s="34">
        <f>VLOOKUP($B92&amp;$C92,'[1]FC3 Prod'!$A$6:$BP$36,[2]Consolidated!V$1)</f>
        <v>0</v>
      </c>
      <c r="W92" s="35">
        <f>VLOOKUP($B92&amp;$C92,'[1]FC3 Prod'!$A$6:$BP$36,[2]Consolidated!W$1)</f>
        <v>0</v>
      </c>
      <c r="X92" s="35">
        <f>VLOOKUP($B92&amp;$C92,'[1]FC3 Prod'!$A$6:$BP$36,[2]Consolidated!X$1)</f>
        <v>0</v>
      </c>
      <c r="Y92" s="36">
        <f>VLOOKUP($B92&amp;$C92,'[1]FC3 Prod'!$A$6:$BP$36,[2]Consolidated!Y$1)</f>
        <v>0</v>
      </c>
      <c r="Z92" s="37" t="e">
        <f>VLOOKUP($B92&amp;$C92,'[1]FC3 Prod'!$A$6:$BP$36,[2]Consolidated!Z$1)</f>
        <v>#REF!</v>
      </c>
      <c r="AA92" s="31">
        <f>VLOOKUP($B92&amp;$C92,'[1]FC3 Prod'!$A$6:$BP$36,[2]Consolidated!AA$1)</f>
        <v>0</v>
      </c>
      <c r="AB92" s="31">
        <f>VLOOKUP($B92&amp;$C92,'[1]FC3 Prod'!$A$6:$BP$36,[2]Consolidated!AB$1)</f>
        <v>0</v>
      </c>
      <c r="AC92" s="31" t="e">
        <f>VLOOKUP($B92&amp;$C92,'[1]FC3 Prod'!$A$6:$BP$36,[2]Consolidated!AC$1)</f>
        <v>#REF!</v>
      </c>
      <c r="AD92" s="38">
        <f>VLOOKUP($B92&amp;$C92,'[1]FC3 Prod'!$A$6:$BP$36,[2]Consolidated!AD$1)</f>
        <v>0</v>
      </c>
      <c r="AE92" s="38">
        <f>VLOOKUP($B92&amp;$C92,'[1]FC3 Prod'!$A$6:$BP$36,[2]Consolidated!AE$1)</f>
        <v>0</v>
      </c>
      <c r="AF92" s="39">
        <f>VLOOKUP($B92&amp;$C92,'[1]FC3 Prod'!$A$6:$BP$36,[2]Consolidated!AF$1)</f>
        <v>0</v>
      </c>
      <c r="AG92" s="39">
        <f>VLOOKUP($B92&amp;$C92,'[1]FC3 Prod'!$A$6:$BP$36,[2]Consolidated!AG$1)</f>
        <v>0</v>
      </c>
      <c r="AH92" s="34">
        <f>VLOOKUP($B92&amp;$C92,'[1]FC3 Prod'!$A$6:$BP$36,[2]Consolidated!AH$1)</f>
        <v>0</v>
      </c>
      <c r="AI92" s="33">
        <f>VLOOKUP($B92&amp;$C92,'[1]FC3 Prod'!$A$6:$BP$36,[2]Consolidated!AI$1)</f>
        <v>0</v>
      </c>
      <c r="AJ92" s="39">
        <f>VLOOKUP($B92&amp;$C92,'[1]FC3 Prod'!$A$6:$BP$36,[2]Consolidated!AJ$1)</f>
        <v>0</v>
      </c>
      <c r="AK92" s="39">
        <f>VLOOKUP($B92&amp;$C92,'[1]FC3 Prod'!$A$6:$BP$36,[2]Consolidated!AK$1)</f>
        <v>0</v>
      </c>
      <c r="AL92" s="40" t="e">
        <f>VLOOKUP($B92&amp;$C92,'[1]FC3 Prod'!$A$6:$BP$36,[2]Consolidated!AL$1)</f>
        <v>#REF!</v>
      </c>
      <c r="AM92" s="41">
        <f>VLOOKUP($B92&amp;$C92,'[1]FC3 Prod'!$A$6:$BP$36,[2]Consolidated!AM$1)</f>
        <v>0</v>
      </c>
      <c r="AN92" s="42" t="e">
        <f>VLOOKUP($B92&amp;$C92,'[1]FC3 Prod'!$A$6:$BP$36,[2]Consolidated!AN$1)</f>
        <v>#REF!</v>
      </c>
      <c r="AO92" s="43" t="e">
        <f>VLOOKUP($B92&amp;$C92,'[1]FC3 Prod'!$A$6:$BP$36,[2]Consolidated!AO$1)</f>
        <v>#REF!</v>
      </c>
      <c r="AP92" s="44">
        <f>VLOOKUP($B92&amp;$C92,'[1]FC3 Prod'!$A$6:$BP$36,[2]Consolidated!AP$1)</f>
        <v>0</v>
      </c>
      <c r="AQ92" s="44">
        <f>VLOOKUP($B92&amp;$C92,'[1]FC3 Prod'!$A$6:$BP$36,[2]Consolidated!AQ$1)</f>
        <v>0</v>
      </c>
      <c r="AR92" s="45">
        <f>VLOOKUP($B92&amp;$C92,'[1]FC3 Prod'!$A$6:$BP$36,[2]Consolidated!AR$1)</f>
        <v>0</v>
      </c>
      <c r="AS92" s="46">
        <f>VLOOKUP($B92&amp;$C92,'[1]FC3 Prod'!$A$6:$BP$36,[2]Consolidated!AS$1)</f>
        <v>0</v>
      </c>
      <c r="AT92" s="29">
        <f>VLOOKUP($B92&amp;$C92,'[1]FC3 Prod'!$A$6:$BP$36,[2]Consolidated!AT$1)</f>
        <v>0</v>
      </c>
      <c r="AU92" s="34">
        <f>VLOOKUP($B92&amp;$C92,'[1]FC3 Prod'!$A$6:$BP$36,[2]Consolidated!AU$1)</f>
        <v>0</v>
      </c>
      <c r="AV92" s="34">
        <f>VLOOKUP($B92&amp;$C92,'[1]FC3 Prod'!$A$6:$BP$36,[2]Consolidated!AV$1)</f>
        <v>0</v>
      </c>
      <c r="AW92" s="47">
        <f>VLOOKUP($B92&amp;$C92,'[1]FC3 Prod'!$A$6:$BP$36,[2]Consolidated!AW$1)</f>
        <v>0</v>
      </c>
      <c r="AX92" s="47">
        <f>VLOOKUP($B92&amp;$C92,'[1]FC3 Prod'!$A$6:$BP$36,[2]Consolidated!AX$1)</f>
        <v>0</v>
      </c>
      <c r="AY92" s="48">
        <f>VLOOKUP($B92&amp;$C92,'[1]FC3 Prod'!$A$6:$BP$36,[2]Consolidated!AY$1)</f>
        <v>0</v>
      </c>
      <c r="AZ92" s="47">
        <f>VLOOKUP($B92&amp;$C92,'[1]FC3 Prod'!$A$6:$BP$36,[2]Consolidated!AZ$1)</f>
        <v>0</v>
      </c>
      <c r="BA92" s="47">
        <f>VLOOKUP($B92&amp;$C92,'[1]FC3 Prod'!$A$6:$BP$36,[2]Consolidated!BA$1)</f>
        <v>0</v>
      </c>
      <c r="BB92" s="47">
        <f>VLOOKUP($B92&amp;$C92,'[1]FC3 Prod'!$A$6:$BP$36,[2]Consolidated!BB$1)</f>
        <v>0</v>
      </c>
      <c r="BC92" s="47">
        <f>VLOOKUP($B92&amp;$C92,'[1]FC3 Prod'!$A$6:$BP$36,[2]Consolidated!BC$1)</f>
        <v>0</v>
      </c>
      <c r="BD92" s="49">
        <f>VLOOKUP($B92&amp;$C92,'[1]FC3 Prod'!$A$6:$BP$36,[2]Consolidated!BD$1)</f>
        <v>0</v>
      </c>
      <c r="BE92" s="47">
        <f>VLOOKUP($B92&amp;$C92,'[1]FC3 Prod'!$A$6:$BP$36,[2]Consolidated!BE$1)</f>
        <v>0</v>
      </c>
      <c r="BF92" s="47">
        <f>VLOOKUP($B92&amp;$C92,'[1]FC3 Prod'!$A$6:$BP$36,[2]Consolidated!BF$1)</f>
        <v>0</v>
      </c>
      <c r="BG92" s="50">
        <f>VLOOKUP($B92&amp;$C92,'[1]FC3 Prod'!$A$6:$BP$36,[2]Consolidated!BG$1)</f>
        <v>0</v>
      </c>
      <c r="BH92" s="50">
        <f>VLOOKUP($B92&amp;$C92,'[1]FC3 Prod'!$A$6:$BP$36,[2]Consolidated!BH$1)</f>
        <v>0</v>
      </c>
      <c r="BI92" s="50">
        <f>VLOOKUP($B92&amp;$C92,'[1]FC3 Prod'!$A$6:$BP$36,[2]Consolidated!BI$1)</f>
        <v>0</v>
      </c>
      <c r="BJ92" s="37" t="e">
        <f>VLOOKUP($B92&amp;$C92,'[1]FC3 Prod'!$A$6:$BP$36,[2]Consolidated!BJ$1)</f>
        <v>#REF!</v>
      </c>
      <c r="BK92" s="37" t="e">
        <f>VLOOKUP($B92&amp;$C92,'[1]FC3 Prod'!$A$6:$BP$36,[2]Consolidated!BK$1)</f>
        <v>#REF!</v>
      </c>
      <c r="BL92" s="37" t="e">
        <f>VLOOKUP($B92&amp;$C92,'[1]FC3 Prod'!$A$6:$BP$36,[2]Consolidated!BL$1)</f>
        <v>#REF!</v>
      </c>
      <c r="BM92" s="37" t="e">
        <f>VLOOKUP($B92&amp;$C92,'[1]FC3 Prod'!$A$6:$BP$36,[2]Consolidated!BM$1)</f>
        <v>#REF!</v>
      </c>
      <c r="BN92" s="37" t="e">
        <f>VLOOKUP($B92&amp;$C92,'[1]FC3 Prod'!$A$6:$BP$36,[2]Consolidated!BN$1)</f>
        <v>#REF!</v>
      </c>
      <c r="BO92" s="37" t="e">
        <f>VLOOKUP($B92&amp;$C92,'[1]FC3 Prod'!$A$6:$BP$36,[2]Consolidated!BO$1)</f>
        <v>#REF!</v>
      </c>
      <c r="BP92" s="37" t="e">
        <f>VLOOKUP($B92&amp;$C92,'[1]FC3 Prod'!$A$6:$BP$36,[2]Consolidated!BP$1)</f>
        <v>#REF!</v>
      </c>
      <c r="BQ92" s="51" t="e">
        <f>VLOOKUP($B92&amp;$C92,'[1]FC3 Prod'!$A$6:$BP$36,[2]Consolidated!BQ$1)</f>
        <v>#REF!</v>
      </c>
      <c r="BR92" s="51">
        <f>VLOOKUP($B92&amp;$C92,'[1]FC3 Prod'!$A$6:$BQ$36,[2]Consolidated!BR$1)</f>
        <v>60369</v>
      </c>
      <c r="BS92" s="52">
        <f t="shared" si="110"/>
        <v>0</v>
      </c>
      <c r="BT92" s="32">
        <f t="shared" ref="BT92:BT93" si="112">BR92-BS92</f>
        <v>60369</v>
      </c>
      <c r="BU92" s="37">
        <f t="shared" ref="BU92:BU93" si="113">E92*BT92</f>
        <v>0</v>
      </c>
      <c r="BV92" s="53" t="s">
        <v>133</v>
      </c>
      <c r="BW92" s="54" cm="1">
        <f t="array" ref="BW92">IFERROR(VLOOKUP($A92,TRANSPOSE('[1]Fur 3 PLC'!$AS$1:$BX$38),8,0),0)</f>
        <v>0</v>
      </c>
      <c r="BX92" s="54" cm="1">
        <f t="array" ref="BX92">IFERROR(VLOOKUP($A92,TRANSPOSE('[1]Fur 3 PLC'!$AS$1:$BX$38),30,0),0)</f>
        <v>0</v>
      </c>
      <c r="BY92" s="54" cm="1">
        <f t="array" ref="BY92">IFERROR(VLOOKUP($A92,TRANSPOSE('[1]Fur 3 PLC'!$AS$1:$BX$38),14,0),0)</f>
        <v>0</v>
      </c>
      <c r="BZ92" s="54" cm="1">
        <f t="array" ref="BZ92">IFERROR(VLOOKUP($A92,TRANSPOSE('[1]Fur 3 PLC'!$AS$1:$BX$38),16,0),0)</f>
        <v>0</v>
      </c>
      <c r="CA92" s="54" cm="1">
        <f t="array" ref="CA92">IFERROR(VLOOKUP($A92,TRANSPOSE('[1]Fur 3 PLC'!$AS$1:$BX$38),9,0),0)</f>
        <v>0</v>
      </c>
      <c r="CB92" s="54" cm="1">
        <f t="array" ref="CB92">IFERROR(VLOOKUP($A92,TRANSPOSE('[1]Fur 3 PLC'!$AS$1:$BX$38),17,0),0)</f>
        <v>0</v>
      </c>
      <c r="CC92" s="54" cm="1">
        <f t="array" ref="CC92">IFERROR(VLOOKUP($A92,TRANSPOSE('[1]Fur 3 PLC'!$AS$1:$BX$38),20,0),0)</f>
        <v>0</v>
      </c>
      <c r="CD92" s="54" cm="1">
        <f t="array" ref="CD92">IFERROR(VLOOKUP($A92,TRANSPOSE('[1]Fur 3 PLC'!$AS$1:$BX$38),28,0),0)</f>
        <v>0</v>
      </c>
      <c r="CE92" s="54" cm="1">
        <f t="array" ref="CE92">IFERROR(VLOOKUP($A92,TRANSPOSE('[1]Fur 3 PLC'!$AS$1:$BX$38),13,0),0)</f>
        <v>0</v>
      </c>
      <c r="CF92" s="54" cm="1">
        <f t="array" ref="CF92">IFERROR(VLOOKUP($A92,TRANSPOSE('[1]Fur 3 PLC'!$AS$1:$BX$38),37,0),0)</f>
        <v>0</v>
      </c>
      <c r="CG92" s="54" cm="1">
        <f t="array" ref="CG92">IFERROR(VLOOKUP($A92,TRANSPOSE('[1]Fur 3 PLC'!$AS$1:$BX$38),6,0),0)</f>
        <v>0</v>
      </c>
      <c r="CH92" s="54" cm="1">
        <f t="array" ref="CH92">IFERROR(VLOOKUP($A92,TRANSPOSE('[1]Fur 3 PLC'!$AS$1:$BX$38),21,0),0)</f>
        <v>0</v>
      </c>
      <c r="CI92" s="54" cm="1">
        <f t="array" ref="CI92">IFERROR(VLOOKUP($A92,TRANSPOSE('[1]Fur 3 PLC'!$AS$1:$BX$38),12,0),0)</f>
        <v>0</v>
      </c>
      <c r="CJ92" s="54" cm="1">
        <f t="array" ref="CJ92">IFERROR(VLOOKUP($A92,TRANSPOSE('[1]Fur 3 PLC'!$AS$1:$BX$38),25,0),0)</f>
        <v>0</v>
      </c>
      <c r="CK92" s="54" cm="1">
        <f t="array" ref="CK92">IFERROR(VLOOKUP($A92,TRANSPOSE('[1]Fur 3 PLC'!$AS$1:$BX$38),26,0),0)</f>
        <v>0</v>
      </c>
      <c r="CL92" s="54" cm="1">
        <f t="array" ref="CL92">IFERROR(VLOOKUP($A92,TRANSPOSE('[1]Fur 3 PLC'!$AS$1:$BX$38),27,0),0)</f>
        <v>0</v>
      </c>
      <c r="CM92" s="54" cm="1">
        <f t="array" ref="CM92">IFERROR(VLOOKUP($A92,TRANSPOSE('[1]Fur 3 PLC'!$AS$1:$BX$38),22,0),0)</f>
        <v>0</v>
      </c>
      <c r="CN92" s="54"/>
      <c r="CO92" s="54" cm="1">
        <f t="array" ref="CO92">IFERROR(VLOOKUP($A92,TRANSPOSE('[1]Fur 3 PLC'!$AS$1:$BX$38),29,0),0)</f>
        <v>0</v>
      </c>
      <c r="CP92" s="54" cm="1">
        <f t="array" ref="CP92">IFERROR(VLOOKUP($A92,TRANSPOSE('[1]Fur 3 PLC'!$AS$1:$BX$38),10,0),0)</f>
        <v>0</v>
      </c>
      <c r="CQ92" s="54" cm="1">
        <f t="array" ref="CQ92">IFERROR(VLOOKUP($A92,TRANSPOSE('[1]Fur 3 PLC'!$AS$1:$BX$38),7,0),0)</f>
        <v>0</v>
      </c>
      <c r="CR92" s="54" cm="1">
        <f t="array" ref="CR92">IFERROR(VLOOKUP($A92,TRANSPOSE('[1]Fur 3 PLC'!$AS$1:$BX$38),35,0),0)</f>
        <v>0</v>
      </c>
      <c r="CS92" s="54" cm="1">
        <f t="array" ref="CS92">IFERROR(VLOOKUP($A92,TRANSPOSE('[1]Fur 3 PLC'!$AS$1:$BX$38),11,0),0)</f>
        <v>0</v>
      </c>
      <c r="CT92" s="54" cm="1">
        <f t="array" ref="CT92">IFERROR(VLOOKUP($A92,TRANSPOSE('[1]Fur 3 PLC'!$AS$1:$BX$38),19,0),0)</f>
        <v>0</v>
      </c>
      <c r="CU92" s="54" cm="1">
        <f t="array" ref="CU92">IFERROR(VLOOKUP($A92,TRANSPOSE('[1]Fur 3 PLC'!$AS$1:$BX$38),18,0),0)</f>
        <v>0</v>
      </c>
      <c r="CV92" s="54" cm="1">
        <f t="array" ref="CV92">IFERROR(VLOOKUP($A92,TRANSPOSE('[1]Fur 3 PLC'!$AR$1:$BV$38),15,0),0)</f>
        <v>0</v>
      </c>
      <c r="CW92" s="54" cm="1">
        <f t="array" ref="CW92">IFERROR(VLOOKUP($A92,TRANSPOSE('[1]Fur 3 PLC'!$CK$1:$DO$38),8,0),0)</f>
        <v>0</v>
      </c>
      <c r="CX92" s="54" cm="1">
        <f t="array" ref="CX92">IFERROR(VLOOKUP($A92,TRANSPOSE('[1]Fur 3 PLC'!$CK$1:$DO$38),30,0),0)</f>
        <v>0</v>
      </c>
      <c r="CY92" s="54" cm="1">
        <f t="array" ref="CY92">IFERROR(VLOOKUP($A92,TRANSPOSE('[1]Fur 3 PLC'!$CK$1:$DO$38),14,0),0)</f>
        <v>0</v>
      </c>
      <c r="CZ92" s="54" cm="1">
        <f t="array" ref="CZ92">IFERROR(VLOOKUP($A92,TRANSPOSE('[1]Fur 3 PLC'!$CK$1:$DO$38),16,0),0)</f>
        <v>0</v>
      </c>
      <c r="DA92" s="54" cm="1">
        <f t="array" ref="DA92">IFERROR(VLOOKUP($A92,TRANSPOSE('[1]Fur 3 PLC'!$CK$1:$DO$38),9,0),0)</f>
        <v>0</v>
      </c>
      <c r="DB92" s="55" cm="1">
        <f t="array" ref="DB92">IFERROR(VLOOKUP($A92,TRANSPOSE('[1]Fur 3 PLC'!$CK$1:$DO$38),17,0),0)</f>
        <v>0</v>
      </c>
      <c r="DC92" s="55" cm="1">
        <f t="array" ref="DC92">IFERROR(VLOOKUP($A92,TRANSPOSE('[1]Fur 3 PLC'!$CK$1:$DO$38),20,0),0)</f>
        <v>0</v>
      </c>
      <c r="DD92" s="54" cm="1">
        <f t="array" ref="DD92">IFERROR(VLOOKUP($A92,TRANSPOSE('[1]Fur 3 PLC'!$CK$1:$DO$38),28,0),0)</f>
        <v>0</v>
      </c>
      <c r="DE92" s="54" cm="1">
        <f t="array" ref="DE92">IFERROR(VLOOKUP($A92,TRANSPOSE('[1]Fur 3 PLC'!$CK$1:$DO$38),13,0),0)</f>
        <v>0</v>
      </c>
      <c r="DF92" s="54" cm="1">
        <f t="array" ref="DF92">IFERROR(VLOOKUP($A92,TRANSPOSE('[1]Fur 3 PLC'!$CK$1:$DO$38),37,0),0)</f>
        <v>0</v>
      </c>
      <c r="DG92" s="54" cm="1">
        <f t="array" ref="DG92">IFERROR(VLOOKUP($A92,TRANSPOSE('[1]Fur 3 PLC'!$CK$1:$DO$38),6,0),0)</f>
        <v>0</v>
      </c>
      <c r="DH92" s="54" cm="1">
        <f t="array" ref="DH92">IFERROR(VLOOKUP($A92,TRANSPOSE('[1]Fur 3 PLC'!$CK$1:$DO$38),21,0),0)</f>
        <v>0</v>
      </c>
      <c r="DI92" s="54" cm="1">
        <f t="array" ref="DI92">IFERROR(VLOOKUP($A92,TRANSPOSE('[1]Fur 3 PLC'!$CK$1:$DO$38),12,0),0)</f>
        <v>0</v>
      </c>
      <c r="DJ92" s="54" cm="1">
        <f t="array" ref="DJ92">IFERROR(VLOOKUP($A92,TRANSPOSE('[1]Fur 3 PLC'!$CK$1:$DO$38),25,0),0)</f>
        <v>0</v>
      </c>
      <c r="DK92" s="54" cm="1">
        <f t="array" ref="DK92">IFERROR(VLOOKUP($A92,TRANSPOSE('[1]Fur 3 PLC'!$CK$1:$DO$38),26,0),0)</f>
        <v>0</v>
      </c>
      <c r="DL92" s="54" cm="1">
        <f t="array" ref="DL92">IFERROR(VLOOKUP($A92,TRANSPOSE('[1]Fur 3 PLC'!$CK$1:$DO$38),27,0),0)</f>
        <v>0</v>
      </c>
      <c r="DM92" s="54" cm="1">
        <f t="array" ref="DM92">IFERROR(VLOOKUP($A92,TRANSPOSE('[1]Fur 3 PLC'!$CK$1:$DO$38),22,0),0)</f>
        <v>0</v>
      </c>
      <c r="DN92" s="54" cm="1">
        <f t="array" ref="DN92">IFERROR(VLOOKUP($A92,TRANSPOSE('[1]Fur 3 PLC'!$CK$1:$DO$38),19,0),0)</f>
        <v>0</v>
      </c>
      <c r="DO92" s="54" cm="1">
        <f t="array" ref="DO92">IFERROR(VLOOKUP($A92,TRANSPOSE('[1]Fur 3 PLC'!$CK$1:$DO$38),29,0),0)</f>
        <v>0</v>
      </c>
      <c r="DP92" s="54" cm="1">
        <f t="array" ref="DP92">IFERROR(VLOOKUP($A92,TRANSPOSE('[1]Fur 3 PLC'!$CK$1:$DO$38),10,0),0)</f>
        <v>0</v>
      </c>
      <c r="DQ92" s="54" cm="1">
        <f t="array" ref="DQ92">IFERROR(VLOOKUP($A92,TRANSPOSE('[1]Fur 3 PLC'!$CK$1:$DO$38),7,0),0)</f>
        <v>0</v>
      </c>
      <c r="DR92" s="54" cm="1">
        <f t="array" ref="DR92">IFERROR(VLOOKUP($A92,TRANSPOSE('[1]Fur 3 PLC'!$CK$1:$DO$38),35,0),0)</f>
        <v>0</v>
      </c>
      <c r="DS92" s="54" cm="1">
        <f t="array" ref="DS92">IFERROR(VLOOKUP($A92,TRANSPOSE('[1]Fur 3 PLC'!$CK$1:$DO$38),11,0),0)</f>
        <v>0</v>
      </c>
      <c r="DT92" s="54" cm="1">
        <f t="array" ref="DT92">IFERROR(VLOOKUP($A92,TRANSPOSE('[1]Fur 3 PLC'!$CK$1:$DO$38),19,0),0)</f>
        <v>0</v>
      </c>
      <c r="DU92" s="54" cm="1">
        <f t="array" ref="DU92">IFERROR(VLOOKUP($A92,TRANSPOSE('[1]Fur 3 PLC'!$CK$1:$DO$38),18,0),0)</f>
        <v>0</v>
      </c>
      <c r="DV92" s="54" cm="1">
        <f t="array" ref="DV92">IFERROR(VLOOKUP($A92,TRANSPOSE('[1]Fur 3 PLC'!$CK$1:$DO$38),15,0),0)</f>
        <v>0</v>
      </c>
      <c r="DW92" t="str">
        <f t="shared" si="111"/>
        <v>Dec-25</v>
      </c>
    </row>
    <row r="93" spans="1:127" x14ac:dyDescent="0.3">
      <c r="A93" s="28" t="str">
        <f t="shared" si="59"/>
        <v>F446014</v>
      </c>
      <c r="B93" s="29" t="s">
        <v>29</v>
      </c>
      <c r="C93" s="30">
        <f>C92</f>
        <v>46014</v>
      </c>
      <c r="D93" s="29" t="str">
        <f>VLOOKUP($B93&amp;$C93,'[1]FC4 Prod'!$A$6:$BP$36,[2]Consolidated!D$1)</f>
        <v>Mr.Ganesh Ghosh Ji</v>
      </c>
      <c r="E93" s="29">
        <f>VLOOKUP($B93&amp;$C93,'[1]FC4 Prod'!$A$6:$BP$36,[2]Consolidated!E$1)</f>
        <v>0</v>
      </c>
      <c r="F93" s="31">
        <f>VLOOKUP($B93&amp;$C93,'[1]FC4 Prod'!$A$6:$BP$36,[2]Consolidated!F$1)</f>
        <v>0</v>
      </c>
      <c r="G93" s="32" t="e">
        <f>VLOOKUP($B93&amp;$C93,'[1]FC4 Prod'!$A$6:$BP$36,[2]Consolidated!G$1)</f>
        <v>#REF!</v>
      </c>
      <c r="H93" s="32">
        <f>VLOOKUP($B93&amp;$C93,'[1]FC4 Prod'!$A$6:$BP$36,[2]Consolidated!H$1)</f>
        <v>0</v>
      </c>
      <c r="I93" s="32">
        <f>VLOOKUP($B93&amp;$C93,'[1]FC4 Prod'!$A$6:$BP$36,[2]Consolidated!I$1)</f>
        <v>0</v>
      </c>
      <c r="J93" s="32">
        <f>VLOOKUP($B93&amp;$C93,'[1]FC4 Prod'!$A$6:$BP$36,[2]Consolidated!J$1)</f>
        <v>0</v>
      </c>
      <c r="K93" s="32">
        <f>VLOOKUP($B93&amp;$C93,'[1]FC4 Prod'!$A$6:$BP$36,[2]Consolidated!K$1)</f>
        <v>0</v>
      </c>
      <c r="L93" s="32">
        <f>VLOOKUP($B93&amp;$C93,'[1]FC4 Prod'!$A$6:$BP$36,[2]Consolidated!L$1)</f>
        <v>0</v>
      </c>
      <c r="M93" s="32">
        <f>VLOOKUP($B93&amp;$C93,'[1]FC4 Prod'!$A$6:$BP$36,[2]Consolidated!M$1)</f>
        <v>0</v>
      </c>
      <c r="N93" s="32">
        <f>VLOOKUP($B93&amp;$C93,'[1]FC4 Prod'!$A$6:$BP$36,[2]Consolidated!N$1)</f>
        <v>0</v>
      </c>
      <c r="O93" s="32">
        <f>VLOOKUP($B93&amp;$C93,'[1]FC4 Prod'!$A$6:$BP$36,[2]Consolidated!O$1)</f>
        <v>0</v>
      </c>
      <c r="P93" s="33">
        <f>VLOOKUP($B93&amp;$C93,'[1]FC4 Prod'!$A$6:$BP$36,[2]Consolidated!P$1)</f>
        <v>8</v>
      </c>
      <c r="Q93" s="29">
        <f>VLOOKUP($B93&amp;$C93,'[1]FC4 Prod'!$A$6:$BP$36,[2]Consolidated!Q$1)</f>
        <v>0</v>
      </c>
      <c r="R93" s="29">
        <f>VLOOKUP($B93&amp;$C93,'[1]FC4 Prod'!$A$6:$BP$36,[2]Consolidated!R$1)</f>
        <v>0</v>
      </c>
      <c r="S93" s="34" t="e">
        <f>VLOOKUP($B93&amp;$C93,'[1]FC4 Prod'!$A$6:$BP$36,[2]Consolidated!S$1)</f>
        <v>#REF!</v>
      </c>
      <c r="T93" s="34" t="e">
        <f>VLOOKUP($B93&amp;$C93,'[1]FC4 Prod'!$A$6:$BP$36,[2]Consolidated!T$1)</f>
        <v>#REF!</v>
      </c>
      <c r="U93" s="34" t="e">
        <f>VLOOKUP($B93&amp;$C93,'[1]FC4 Prod'!$A$6:$BP$36,[2]Consolidated!U$1)</f>
        <v>#REF!</v>
      </c>
      <c r="V93" s="34">
        <f>VLOOKUP($B93&amp;$C93,'[1]FC4 Prod'!$A$6:$BP$36,[2]Consolidated!V$1)</f>
        <v>0</v>
      </c>
      <c r="W93" s="35">
        <f>VLOOKUP($B93&amp;$C93,'[1]FC4 Prod'!$A$6:$BP$36,[2]Consolidated!W$1)</f>
        <v>0</v>
      </c>
      <c r="X93" s="35">
        <f>VLOOKUP($B93&amp;$C93,'[1]FC4 Prod'!$A$6:$BP$36,[2]Consolidated!X$1)</f>
        <v>0</v>
      </c>
      <c r="Y93" s="36">
        <f>VLOOKUP($B93&amp;$C93,'[1]FC4 Prod'!$A$6:$BP$36,[2]Consolidated!Y$1)</f>
        <v>0</v>
      </c>
      <c r="Z93" s="37" t="e">
        <f>VLOOKUP($B93&amp;$C93,'[1]FC4 Prod'!$A$6:$BP$36,[2]Consolidated!Z$1)</f>
        <v>#REF!</v>
      </c>
      <c r="AA93" s="31">
        <f>VLOOKUP($B93&amp;$C93,'[1]FC4 Prod'!$A$6:$BP$36,[2]Consolidated!AA$1)</f>
        <v>0</v>
      </c>
      <c r="AB93" s="31">
        <f>VLOOKUP($B93&amp;$C93,'[1]FC4 Prod'!$A$6:$BP$36,[2]Consolidated!AB$1)</f>
        <v>0</v>
      </c>
      <c r="AC93" s="31">
        <f>VLOOKUP($B93&amp;$C93,'[1]FC4 Prod'!$A$6:$BP$36,[2]Consolidated!AC$1)</f>
        <v>0</v>
      </c>
      <c r="AD93" s="38">
        <f>VLOOKUP($B93&amp;$C93,'[1]FC4 Prod'!$A$6:$BP$36,[2]Consolidated!AD$1)</f>
        <v>0</v>
      </c>
      <c r="AE93" s="38">
        <f>VLOOKUP($B93&amp;$C93,'[1]FC4 Prod'!$A$6:$BP$36,[2]Consolidated!AE$1)</f>
        <v>0</v>
      </c>
      <c r="AF93" s="39">
        <f>VLOOKUP($B93&amp;$C93,'[1]FC4 Prod'!$A$6:$BP$36,[2]Consolidated!AF$1)</f>
        <v>0</v>
      </c>
      <c r="AG93" s="39">
        <f>VLOOKUP($B93&amp;$C93,'[1]FC4 Prod'!$A$6:$BP$36,[2]Consolidated!AG$1)</f>
        <v>0</v>
      </c>
      <c r="AH93" s="34">
        <f>VLOOKUP($B93&amp;$C93,'[1]FC4 Prod'!$A$6:$BP$36,[2]Consolidated!AH$1)</f>
        <v>0</v>
      </c>
      <c r="AI93" s="33">
        <f>VLOOKUP($B93&amp;$C93,'[1]FC4 Prod'!$A$6:$BP$36,[2]Consolidated!AI$1)</f>
        <v>0</v>
      </c>
      <c r="AJ93" s="39">
        <f>VLOOKUP($B93&amp;$C93,'[1]FC4 Prod'!$A$6:$BP$36,[2]Consolidated!AJ$1)</f>
        <v>0</v>
      </c>
      <c r="AK93" s="39">
        <f>VLOOKUP($B93&amp;$C93,'[1]FC4 Prod'!$A$6:$BP$36,[2]Consolidated!AK$1)</f>
        <v>0</v>
      </c>
      <c r="AL93" s="40" t="e">
        <f>VLOOKUP($B93&amp;$C93,'[1]FC4 Prod'!$A$6:$BP$36,[2]Consolidated!AL$1)</f>
        <v>#REF!</v>
      </c>
      <c r="AM93" s="41">
        <f>VLOOKUP($B93&amp;$C93,'[1]FC4 Prod'!$A$6:$BP$36,[2]Consolidated!AM$1)</f>
        <v>0</v>
      </c>
      <c r="AN93" s="42" t="e">
        <f>VLOOKUP($B93&amp;$C93,'[1]FC4 Prod'!$A$6:$BP$36,[2]Consolidated!AN$1)</f>
        <v>#REF!</v>
      </c>
      <c r="AO93" s="43" t="e">
        <f>VLOOKUP($B93&amp;$C93,'[1]FC4 Prod'!$A$6:$BP$36,[2]Consolidated!AO$1)</f>
        <v>#REF!</v>
      </c>
      <c r="AP93" s="44">
        <f>VLOOKUP($B93&amp;$C93,'[1]FC4 Prod'!$A$6:$BP$36,[2]Consolidated!AP$1)</f>
        <v>0</v>
      </c>
      <c r="AQ93" s="44">
        <f>VLOOKUP($B93&amp;$C93,'[1]FC4 Prod'!$A$6:$BP$36,[2]Consolidated!AQ$1)</f>
        <v>0</v>
      </c>
      <c r="AR93" s="45">
        <f>VLOOKUP($B93&amp;$C93,'[1]FC4 Prod'!$A$6:$BP$36,[2]Consolidated!AR$1)</f>
        <v>0</v>
      </c>
      <c r="AS93" s="46">
        <f>VLOOKUP($B93&amp;$C93,'[1]FC4 Prod'!$A$6:$BP$36,[2]Consolidated!AS$1)</f>
        <v>0</v>
      </c>
      <c r="AT93" s="29">
        <f>VLOOKUP($B93&amp;$C93,'[1]FC4 Prod'!$A$6:$BP$36,[2]Consolidated!AT$1)</f>
        <v>0</v>
      </c>
      <c r="AU93" s="34">
        <f>VLOOKUP($B93&amp;$C93,'[1]FC4 Prod'!$A$6:$BP$36,[2]Consolidated!AU$1)</f>
        <v>0</v>
      </c>
      <c r="AV93" s="34">
        <f>VLOOKUP($B93&amp;$C93,'[1]FC4 Prod'!$A$6:$BP$36,[2]Consolidated!AV$1)</f>
        <v>0</v>
      </c>
      <c r="AW93" s="47">
        <f>VLOOKUP($B93&amp;$C93,'[1]FC4 Prod'!$A$6:$BP$36,[2]Consolidated!AW$1)</f>
        <v>0</v>
      </c>
      <c r="AX93" s="47">
        <f>VLOOKUP($B93&amp;$C93,'[1]FC4 Prod'!$A$6:$BP$36,[2]Consolidated!AX$1)</f>
        <v>0</v>
      </c>
      <c r="AY93" s="48">
        <f>VLOOKUP($B93&amp;$C93,'[1]FC4 Prod'!$A$6:$BP$36,[2]Consolidated!AY$1)</f>
        <v>0</v>
      </c>
      <c r="AZ93" s="47">
        <f>VLOOKUP($B93&amp;$C93,'[1]FC4 Prod'!$A$6:$BP$36,[2]Consolidated!AZ$1)</f>
        <v>0</v>
      </c>
      <c r="BA93" s="47">
        <f>VLOOKUP($B93&amp;$C93,'[1]FC4 Prod'!$A$6:$BP$36,[2]Consolidated!BA$1)</f>
        <v>0</v>
      </c>
      <c r="BB93" s="47">
        <f>VLOOKUP($B93&amp;$C93,'[1]FC4 Prod'!$A$6:$BP$36,[2]Consolidated!BB$1)</f>
        <v>0</v>
      </c>
      <c r="BC93" s="47">
        <f>VLOOKUP($B93&amp;$C93,'[1]FC4 Prod'!$A$6:$BP$36,[2]Consolidated!BC$1)</f>
        <v>0</v>
      </c>
      <c r="BD93" s="49">
        <f>VLOOKUP($B93&amp;$C93,'[1]FC4 Prod'!$A$6:$BP$36,[2]Consolidated!BD$1)</f>
        <v>0</v>
      </c>
      <c r="BE93" s="47">
        <f>VLOOKUP($B93&amp;$C93,'[1]FC4 Prod'!$A$6:$BP$36,[2]Consolidated!BE$1)</f>
        <v>0</v>
      </c>
      <c r="BF93" s="47">
        <f>VLOOKUP($B93&amp;$C93,'[1]FC4 Prod'!$A$6:$BP$36,[2]Consolidated!BF$1)</f>
        <v>0</v>
      </c>
      <c r="BG93" s="50">
        <f>VLOOKUP($B93&amp;$C93,'[1]FC4 Prod'!$A$6:$BP$36,[2]Consolidated!BG$1)</f>
        <v>0</v>
      </c>
      <c r="BH93" s="50">
        <f>VLOOKUP($B93&amp;$C93,'[1]FC4 Prod'!$A$6:$BP$36,[2]Consolidated!BH$1)</f>
        <v>0</v>
      </c>
      <c r="BI93" s="50">
        <f>VLOOKUP($B93&amp;$C93,'[1]FC4 Prod'!$A$6:$BP$36,[2]Consolidated!BI$1)</f>
        <v>0</v>
      </c>
      <c r="BJ93" s="37" t="e">
        <f>VLOOKUP($B93&amp;$C93,'[1]FC4 Prod'!$A$6:$BP$36,[2]Consolidated!BJ$1)</f>
        <v>#REF!</v>
      </c>
      <c r="BK93" s="37" t="e">
        <f>VLOOKUP($B93&amp;$C93,'[1]FC4 Prod'!$A$6:$BP$36,[2]Consolidated!BK$1)</f>
        <v>#REF!</v>
      </c>
      <c r="BL93" s="37" t="e">
        <f>VLOOKUP($B93&amp;$C93,'[1]FC4 Prod'!$A$6:$BP$36,[2]Consolidated!BL$1)</f>
        <v>#REF!</v>
      </c>
      <c r="BM93" s="37" t="e">
        <f>VLOOKUP($B93&amp;$C93,'[1]FC4 Prod'!$A$6:$BP$36,[2]Consolidated!BM$1)</f>
        <v>#REF!</v>
      </c>
      <c r="BN93" s="37" t="e">
        <f>VLOOKUP($B93&amp;$C93,'[1]FC4 Prod'!$A$6:$BP$36,[2]Consolidated!BN$1)</f>
        <v>#REF!</v>
      </c>
      <c r="BO93" s="37" t="e">
        <f>VLOOKUP($B93&amp;$C93,'[1]FC4 Prod'!$A$6:$BP$36,[2]Consolidated!BO$1)</f>
        <v>#REF!</v>
      </c>
      <c r="BP93" s="37" t="e">
        <f>VLOOKUP($B93&amp;$C93,'[1]FC4 Prod'!$A$6:$BP$36,[2]Consolidated!BP$1)</f>
        <v>#REF!</v>
      </c>
      <c r="BQ93" s="51" t="e">
        <f>VLOOKUP($B93&amp;$C93,'[1]FC4 Prod'!$A$6:$BP$36,[2]Consolidated!BQ$1)</f>
        <v>#REF!</v>
      </c>
      <c r="BR93" s="51">
        <f>VLOOKUP($B93&amp;$C93,'[1]FC4 Prod'!$A$6:$BQ$36,[2]Consolidated!BR$1)</f>
        <v>41644</v>
      </c>
      <c r="BS93" s="52">
        <f t="shared" ref="BS93" si="114">BE93+BF93*110%+BG93+BA93</f>
        <v>0</v>
      </c>
      <c r="BT93" s="32">
        <f t="shared" si="112"/>
        <v>41644</v>
      </c>
      <c r="BU93" s="37">
        <f t="shared" si="113"/>
        <v>0</v>
      </c>
      <c r="BV93" s="53" t="s">
        <v>133</v>
      </c>
      <c r="BW93" s="54" cm="1">
        <f t="array" ref="BW93">IFERROR(VLOOKUP($A93,TRANSPOSE('[1]Fur 4 PLC'!$AR$1:$BV$39),8,0),0)</f>
        <v>0</v>
      </c>
      <c r="BX93" s="54" cm="1">
        <f t="array" ref="BX93">IFERROR(VLOOKUP($A93,TRANSPOSE('[1]Fur 4 PLC'!$AR$1:$BV$39),30,0),0)</f>
        <v>0</v>
      </c>
      <c r="BY93" s="54" cm="1">
        <f t="array" ref="BY93">IFERROR(VLOOKUP($A93,TRANSPOSE('[1]Fur 4 PLC'!$AR$1:$BV$39),14,0),0)</f>
        <v>0</v>
      </c>
      <c r="BZ93" s="54" cm="1">
        <f t="array" ref="BZ93">IFERROR(VLOOKUP($A93,TRANSPOSE('[1]Fur 4 PLC'!$AR$1:$BV$39),16,0),0)</f>
        <v>0</v>
      </c>
      <c r="CA93" s="54" cm="1">
        <f t="array" ref="CA93">IFERROR(VLOOKUP($A93,TRANSPOSE('[1]Fur 4 PLC'!$AR$1:$BV$39),9,0),0)</f>
        <v>0</v>
      </c>
      <c r="CB93" s="54" cm="1">
        <f t="array" ref="CB93">IFERROR(VLOOKUP($A93,TRANSPOSE('[1]Fur 4 PLC'!$AR$1:$BV$39),17,0),0)</f>
        <v>0</v>
      </c>
      <c r="CC93" s="54" cm="1">
        <f t="array" ref="CC93">IFERROR(VLOOKUP($A93,TRANSPOSE('[1]Fur 4 PLC'!$AR$1:$BV$39),20,0),0)</f>
        <v>0</v>
      </c>
      <c r="CD93" s="54" cm="1">
        <f t="array" ref="CD93">IFERROR(VLOOKUP($A93,TRANSPOSE('[1]Fur 4 PLC'!$AR$1:$BV$39),28,0),0)</f>
        <v>0</v>
      </c>
      <c r="CE93" s="54" cm="1">
        <f t="array" ref="CE93">IFERROR(VLOOKUP($A93,TRANSPOSE('[1]Fur 4 PLC'!$AR$1:$BV$39),13,0),0)</f>
        <v>0</v>
      </c>
      <c r="CF93" s="54" cm="1">
        <f t="array" ref="CF93">IFERROR(VLOOKUP($A93,TRANSPOSE('[1]Fur 4 PLC'!$AR$1:$BV$39),37,0),0)</f>
        <v>0</v>
      </c>
      <c r="CG93" s="54" cm="1">
        <f t="array" ref="CG93">IFERROR(VLOOKUP($A93,TRANSPOSE('[1]Fur 4 PLC'!$AR$1:$BV$39),6,0),0)</f>
        <v>0</v>
      </c>
      <c r="CH93" s="54" cm="1">
        <f t="array" ref="CH93">IFERROR(VLOOKUP($A93,TRANSPOSE('[1]Fur 4 PLC'!$AR$1:$BV$39),21,0),0)</f>
        <v>0</v>
      </c>
      <c r="CI93" s="54" cm="1">
        <f t="array" ref="CI93">IFERROR(VLOOKUP($A93,TRANSPOSE('[1]Fur 4 PLC'!$AR$1:$BV$39),12,0),0)</f>
        <v>0</v>
      </c>
      <c r="CJ93" s="54" cm="1">
        <f t="array" ref="CJ93">IFERROR(VLOOKUP($A93,TRANSPOSE('[1]Fur 4 PLC'!$AR$1:$BV$39),25,0),0)</f>
        <v>0</v>
      </c>
      <c r="CK93" s="54" cm="1">
        <f t="array" ref="CK93">IFERROR(VLOOKUP($A93,TRANSPOSE('[1]Fur 4 PLC'!$AR$1:$BV$39),26,0),0)</f>
        <v>0</v>
      </c>
      <c r="CL93" s="54" cm="1">
        <f t="array" ref="CL93">IFERROR(VLOOKUP($A93,TRANSPOSE('[1]Fur 4 PLC'!$AR$1:$BV$39),27,0),0)</f>
        <v>0</v>
      </c>
      <c r="CM93" s="54" cm="1">
        <f t="array" ref="CM93">IFERROR(VLOOKUP($A93,TRANSPOSE('[1]Fur 4 PLC'!$AR$1:$BV$39),22,0),0)</f>
        <v>0</v>
      </c>
      <c r="CN93" s="54"/>
      <c r="CO93" s="54" cm="1">
        <f t="array" ref="CO93">IFERROR(VLOOKUP($A93,TRANSPOSE('[1]Fur 4 PLC'!$AR$1:$BV$39),29,0),0)</f>
        <v>0</v>
      </c>
      <c r="CP93" s="54" cm="1">
        <f t="array" ref="CP93">IFERROR(VLOOKUP($A93,TRANSPOSE('[1]Fur 4 PLC'!$AR$1:$BV$39),10,0),0)</f>
        <v>0</v>
      </c>
      <c r="CQ93" s="54" cm="1">
        <f t="array" ref="CQ93">IFERROR(VLOOKUP($A93,TRANSPOSE('[1]Fur 4 PLC'!$AR$1:$BV$39),7,0),0)</f>
        <v>0</v>
      </c>
      <c r="CR93" s="54" cm="1">
        <f t="array" ref="CR93">IFERROR(VLOOKUP($A93,TRANSPOSE('[1]Fur 4 PLC'!$AR$1:$BV$39),36,0),0)</f>
        <v>0</v>
      </c>
      <c r="CS93" s="54" cm="1">
        <f t="array" ref="CS93">IFERROR(VLOOKUP($A93,TRANSPOSE('[1]Fur 4 PLC'!$AR$1:$BV$39),11,0),0)</f>
        <v>0</v>
      </c>
      <c r="CT93" s="54" cm="1">
        <f t="array" ref="CT93">IFERROR(VLOOKUP($A93,TRANSPOSE('[1]Fur 4 PLC'!$AR$1:$BV$39),19,0),0)</f>
        <v>0</v>
      </c>
      <c r="CU93" s="54" cm="1">
        <f t="array" ref="CU93">IFERROR(VLOOKUP($A93,TRANSPOSE('[1]Fur 4 PLC'!$AR$1:$BV$39),18,0),0)</f>
        <v>0</v>
      </c>
      <c r="CV93" s="54" cm="1">
        <f t="array" ref="CV93">IFERROR(VLOOKUP($A93,TRANSPOSE('[1]Fur 4 PLC'!$AR$1:$BV$38),15,0),0)</f>
        <v>0</v>
      </c>
      <c r="CW93" s="54" cm="1">
        <f t="array" ref="CW93">IFERROR(VLOOKUP($A93,TRANSPOSE('[1]Fur 4 PLC'!$CK$1:$DO$39),8,0),0)</f>
        <v>0</v>
      </c>
      <c r="CX93" s="54" cm="1">
        <f t="array" ref="CX93">IFERROR(VLOOKUP($A93,TRANSPOSE('[1]Fur 4 PLC'!$CK$1:$DO$39),30,0),0)</f>
        <v>0</v>
      </c>
      <c r="CY93" s="54" cm="1">
        <f t="array" ref="CY93">IFERROR(VLOOKUP($A93,TRANSPOSE('[1]Fur 4 PLC'!$CK$1:$DO$39),14,0),0)</f>
        <v>0</v>
      </c>
      <c r="CZ93" s="54" cm="1">
        <f t="array" ref="CZ93">IFERROR(VLOOKUP($A93,TRANSPOSE('[1]Fur 4 PLC'!$CK$1:$DO$39),16,0),0)</f>
        <v>0</v>
      </c>
      <c r="DA93" s="54" cm="1">
        <f t="array" ref="DA93">IFERROR(VLOOKUP($A93,TRANSPOSE('[1]Fur 4 PLC'!$CK$1:$DO$39),9,0),0)</f>
        <v>0</v>
      </c>
      <c r="DB93" s="55" cm="1">
        <f t="array" ref="DB93">IFERROR(VLOOKUP($A93,TRANSPOSE('[1]Fur 4 PLC'!$CK$1:$DO$39),17,0),0)</f>
        <v>0</v>
      </c>
      <c r="DC93" s="55" cm="1">
        <f t="array" ref="DC93">IFERROR(VLOOKUP($A93,TRANSPOSE('[1]Fur 4 PLC'!$CK$1:$DO$39),20,0),0)</f>
        <v>0</v>
      </c>
      <c r="DD93" s="54" cm="1">
        <f t="array" ref="DD93">IFERROR(VLOOKUP($A93,TRANSPOSE('[1]Fur 4 PLC'!$CK$1:$DO$39),28,0),0)</f>
        <v>0</v>
      </c>
      <c r="DE93" s="54" cm="1">
        <f t="array" ref="DE93">IFERROR(VLOOKUP($A93,TRANSPOSE('[1]Fur 4 PLC'!$CK$1:$DO$39),13,0),0)</f>
        <v>0</v>
      </c>
      <c r="DF93" s="54" cm="1">
        <f t="array" ref="DF93">IFERROR(VLOOKUP($A93,TRANSPOSE('[1]Fur 4 PLC'!$CK$1:$DO$39),37,0),0)</f>
        <v>0</v>
      </c>
      <c r="DG93" s="54" cm="1">
        <f t="array" ref="DG93">IFERROR(VLOOKUP($A93,TRANSPOSE('[1]Fur 4 PLC'!$CK$1:$DO$39),6,0),0)</f>
        <v>0</v>
      </c>
      <c r="DH93" s="54" cm="1">
        <f t="array" ref="DH93">IFERROR(VLOOKUP($A93,TRANSPOSE('[1]Fur 4 PLC'!$CK$1:$DO$39),21,0),0)</f>
        <v>0</v>
      </c>
      <c r="DI93" s="54" cm="1">
        <f t="array" ref="DI93">IFERROR(VLOOKUP($A93,TRANSPOSE('[1]Fur 4 PLC'!$CK$1:$DO$39),12,0),0)</f>
        <v>0</v>
      </c>
      <c r="DJ93" s="54" cm="1">
        <f t="array" ref="DJ93">IFERROR(VLOOKUP($A93,TRANSPOSE('[1]Fur 4 PLC'!$CK$1:$DO$39),25,0),0)</f>
        <v>0</v>
      </c>
      <c r="DK93" s="54" cm="1">
        <f t="array" ref="DK93">IFERROR(VLOOKUP($A93,TRANSPOSE('[1]Fur 4 PLC'!$CK$1:$DO$39),26,0),0)</f>
        <v>0</v>
      </c>
      <c r="DL93" s="54" cm="1">
        <f t="array" ref="DL93">IFERROR(VLOOKUP($A93,TRANSPOSE('[1]Fur 4 PLC'!$CK$1:$DO$39),27,0),0)</f>
        <v>0</v>
      </c>
      <c r="DM93" s="54" cm="1">
        <f t="array" ref="DM93">IFERROR(VLOOKUP($A93,TRANSPOSE('[1]Fur 4 PLC'!$CK$1:$DO$39),22,0),0)</f>
        <v>0</v>
      </c>
      <c r="DN93" s="54" cm="1">
        <f t="array" ref="DN93">IFERROR(VLOOKUP($A93,TRANSPOSE('[1]Fur 4 PLC'!$CK$1:$DO$39),19,0),0)</f>
        <v>0</v>
      </c>
      <c r="DO93" s="54" cm="1">
        <f t="array" ref="DO93">IFERROR(VLOOKUP($A93,TRANSPOSE('[1]Fur 4 PLC'!$CK$1:$DO$39),29,0),0)</f>
        <v>0</v>
      </c>
      <c r="DP93" s="54" cm="1">
        <f t="array" ref="DP93">IFERROR(VLOOKUP($A93,TRANSPOSE('[1]Fur 4 PLC'!$CK$1:$DO$39),10,0),0)</f>
        <v>0</v>
      </c>
      <c r="DQ93" s="54" cm="1">
        <f t="array" ref="DQ93">IFERROR(VLOOKUP($A93,TRANSPOSE('[1]Fur 4 PLC'!$CK$1:$DO$39),7,0),0)</f>
        <v>0</v>
      </c>
      <c r="DR93" s="54" cm="1">
        <f t="array" ref="DR93">IFERROR(VLOOKUP($A93,TRANSPOSE('[1]Fur 4 PLC'!$CK$1:$DO$39),36,0),0)</f>
        <v>0</v>
      </c>
      <c r="DS93" s="54" cm="1">
        <f t="array" ref="DS93">IFERROR(VLOOKUP($A93,TRANSPOSE('[1]Fur 4 PLC'!$CK$1:$DO$39),11,0),0)</f>
        <v>0</v>
      </c>
      <c r="DT93" s="54" cm="1">
        <f t="array" ref="DT93">IFERROR(VLOOKUP($A93,TRANSPOSE('[1]Fur 4 PLC'!$CK$1:$DO$39),19,0),0)</f>
        <v>0</v>
      </c>
      <c r="DU93" s="54" cm="1">
        <f t="array" ref="DU93">IFERROR(VLOOKUP($A93,TRANSPOSE('[1]Fur 4 PLC'!$CK$1:$DO$39),18,0),0)</f>
        <v>0</v>
      </c>
      <c r="DV93" s="54" cm="1">
        <f t="array" ref="DV93">IFERROR(VLOOKUP($A93,TRANSPOSE('[1]Fur 4 PLC'!$CK$1:$DO$39),15,0),0)</f>
        <v>0</v>
      </c>
      <c r="DW93" t="str">
        <f t="shared" si="111"/>
        <v>Dec-25</v>
      </c>
    </row>
    <row r="94" spans="1:127" x14ac:dyDescent="0.3">
      <c r="A94" s="28" t="str">
        <f t="shared" si="59"/>
        <v>F146015</v>
      </c>
      <c r="B94" s="29" t="s">
        <v>26</v>
      </c>
      <c r="C94" s="30">
        <f>C90+1</f>
        <v>46015</v>
      </c>
      <c r="D94" s="29" t="str">
        <f>VLOOKUP($B94&amp;$C94,'[1]FC1 Prod'!$A$6:$BP$36,[2]Consolidated!D$1)</f>
        <v>Raju Singh</v>
      </c>
      <c r="E94" s="29">
        <f>VLOOKUP($B94&amp;$C94,'[1]FC1 Prod'!$A$6:$BP$36,[2]Consolidated!E$1)</f>
        <v>0</v>
      </c>
      <c r="F94" s="31">
        <f>VLOOKUP($B94&amp;$C94,'[1]FC1 Prod'!$A$6:$BP$36,[2]Consolidated!F$1)</f>
        <v>0</v>
      </c>
      <c r="G94" s="32" t="e">
        <f>VLOOKUP($B94&amp;$C94,'[1]FC1 Prod'!$A$6:$BP$36,[2]Consolidated!G$1)</f>
        <v>#REF!</v>
      </c>
      <c r="H94" s="32">
        <f>VLOOKUP($B94&amp;$C94,'[1]FC1 Prod'!$A$6:$BP$36,[2]Consolidated!H$1)</f>
        <v>0</v>
      </c>
      <c r="I94" s="32">
        <f>VLOOKUP($B94&amp;$C94,'[1]FC1 Prod'!$A$6:$BP$36,[2]Consolidated!I$1)</f>
        <v>0</v>
      </c>
      <c r="J94" s="32">
        <f>VLOOKUP($B94&amp;$C94,'[1]FC1 Prod'!$A$6:$BP$36,[2]Consolidated!J$1)</f>
        <v>0</v>
      </c>
      <c r="K94" s="32">
        <f>VLOOKUP($B94&amp;$C94,'[1]FC1 Prod'!$A$6:$BP$36,[2]Consolidated!K$1)</f>
        <v>0</v>
      </c>
      <c r="L94" s="32">
        <f>VLOOKUP($B94&amp;$C94,'[1]FC1 Prod'!$A$6:$BP$36,[2]Consolidated!L$1)</f>
        <v>0</v>
      </c>
      <c r="M94" s="32">
        <f>VLOOKUP($B94&amp;$C94,'[1]FC1 Prod'!$A$6:$BP$36,[2]Consolidated!M$1)</f>
        <v>0</v>
      </c>
      <c r="N94" s="32">
        <f>VLOOKUP($B94&amp;$C94,'[1]FC1 Prod'!$A$6:$BP$36,[2]Consolidated!N$1)</f>
        <v>0</v>
      </c>
      <c r="O94" s="32">
        <f>VLOOKUP($B94&amp;$C94,'[1]FC1 Prod'!$A$6:$BP$36,[2]Consolidated!O$1)</f>
        <v>0</v>
      </c>
      <c r="P94" s="33">
        <f>VLOOKUP($B94&amp;$C94,'[1]FC1 Prod'!$A$6:$BP$36,[2]Consolidated!P$1)</f>
        <v>8</v>
      </c>
      <c r="Q94" s="29">
        <f>VLOOKUP($B94&amp;$C94,'[1]FC1 Prod'!$A$6:$BP$36,[2]Consolidated!Q$1)</f>
        <v>0</v>
      </c>
      <c r="R94" s="29">
        <f>VLOOKUP($B94&amp;$C94,'[1]FC1 Prod'!$A$6:$BP$36,[2]Consolidated!R$1)</f>
        <v>0</v>
      </c>
      <c r="S94" s="34" t="e">
        <f>VLOOKUP($B94&amp;$C94,'[1]FC1 Prod'!$A$6:$BP$36,[2]Consolidated!S$1)</f>
        <v>#REF!</v>
      </c>
      <c r="T94" s="34" t="e">
        <f>VLOOKUP($B94&amp;$C94,'[1]FC1 Prod'!$A$6:$BP$36,[2]Consolidated!T$1)</f>
        <v>#REF!</v>
      </c>
      <c r="U94" s="34" t="e">
        <f>VLOOKUP($B94&amp;$C94,'[1]FC1 Prod'!$A$6:$BP$36,[2]Consolidated!U$1)</f>
        <v>#REF!</v>
      </c>
      <c r="V94" s="34">
        <f>VLOOKUP($B94&amp;$C94,'[1]FC1 Prod'!$A$6:$BP$36,[2]Consolidated!V$1)</f>
        <v>0</v>
      </c>
      <c r="W94" s="35">
        <f>VLOOKUP($B94&amp;$C94,'[1]FC1 Prod'!$A$6:$BP$36,[2]Consolidated!W$1)</f>
        <v>0</v>
      </c>
      <c r="X94" s="35">
        <f>VLOOKUP($B94&amp;$C94,'[1]FC1 Prod'!$A$6:$BP$36,[2]Consolidated!X$1)</f>
        <v>0</v>
      </c>
      <c r="Y94" s="36">
        <f>VLOOKUP($B94&amp;$C94,'[1]FC1 Prod'!$A$6:$BP$36,[2]Consolidated!Y$1)</f>
        <v>0</v>
      </c>
      <c r="Z94" s="37" t="e">
        <f>VLOOKUP($B94&amp;$C94,'[1]FC1 Prod'!$A$6:$BP$36,[2]Consolidated!Z$1)</f>
        <v>#REF!</v>
      </c>
      <c r="AA94" s="31">
        <f>VLOOKUP($B94&amp;$C94,'[1]FC1 Prod'!$A$6:$BP$36,[2]Consolidated!AA$1)</f>
        <v>0</v>
      </c>
      <c r="AB94" s="31">
        <f>VLOOKUP($B94&amp;$C94,'[1]FC1 Prod'!$A$6:$BP$36,[2]Consolidated!AB$1)</f>
        <v>0</v>
      </c>
      <c r="AC94" s="31">
        <f>VLOOKUP($B94&amp;$C94,'[1]FC1 Prod'!$A$6:$BP$36,[2]Consolidated!AC$1)</f>
        <v>0</v>
      </c>
      <c r="AD94" s="38">
        <f>VLOOKUP($B94&amp;$C94,'[1]FC1 Prod'!$A$6:$BP$36,[2]Consolidated!AD$1)</f>
        <v>0</v>
      </c>
      <c r="AE94" s="38">
        <f>VLOOKUP($B94&amp;$C94,'[1]FC1 Prod'!$A$6:$BP$36,[2]Consolidated!AE$1)</f>
        <v>0</v>
      </c>
      <c r="AF94" s="39">
        <f>VLOOKUP($B94&amp;$C94,'[1]FC1 Prod'!$A$6:$BP$36,[2]Consolidated!AF$1)</f>
        <v>0</v>
      </c>
      <c r="AG94" s="39">
        <f>VLOOKUP($B94&amp;$C94,'[1]FC1 Prod'!$A$6:$BP$36,[2]Consolidated!AG$1)</f>
        <v>0</v>
      </c>
      <c r="AH94" s="34">
        <f>VLOOKUP($B94&amp;$C94,'[1]FC1 Prod'!$A$6:$BP$36,[2]Consolidated!AH$1)</f>
        <v>0</v>
      </c>
      <c r="AI94" s="33">
        <f>VLOOKUP($B94&amp;$C94,'[1]FC1 Prod'!$A$6:$BP$36,[2]Consolidated!AI$1)</f>
        <v>0</v>
      </c>
      <c r="AJ94" s="39">
        <f>VLOOKUP($B94&amp;$C94,'[1]FC1 Prod'!$A$6:$BP$36,[2]Consolidated!AJ$1)</f>
        <v>0</v>
      </c>
      <c r="AK94" s="39">
        <f>VLOOKUP($B94&amp;$C94,'[1]FC1 Prod'!$A$6:$BP$36,[2]Consolidated!AK$1)</f>
        <v>0</v>
      </c>
      <c r="AL94" s="40" t="e">
        <f>VLOOKUP($B94&amp;$C94,'[1]FC1 Prod'!$A$6:$BP$36,[2]Consolidated!AL$1)</f>
        <v>#REF!</v>
      </c>
      <c r="AM94" s="41">
        <f>VLOOKUP($B94&amp;$C94,'[1]FC1 Prod'!$A$6:$BP$36,[2]Consolidated!AM$1)</f>
        <v>0</v>
      </c>
      <c r="AN94" s="42" t="e">
        <f>VLOOKUP($B94&amp;$C94,'[1]FC1 Prod'!$A$6:$BP$36,[2]Consolidated!AN$1)</f>
        <v>#REF!</v>
      </c>
      <c r="AO94" s="43" t="e">
        <f>VLOOKUP($B94&amp;$C94,'[1]FC1 Prod'!$A$6:$BP$36,[2]Consolidated!AO$1)</f>
        <v>#REF!</v>
      </c>
      <c r="AP94" s="44">
        <f>VLOOKUP($B94&amp;$C94,'[1]FC1 Prod'!$A$6:$BP$36,[2]Consolidated!AP$1)</f>
        <v>0</v>
      </c>
      <c r="AQ94" s="44">
        <f>VLOOKUP($B94&amp;$C94,'[1]FC1 Prod'!$A$6:$BP$36,[2]Consolidated!AQ$1)</f>
        <v>0</v>
      </c>
      <c r="AR94" s="45">
        <f>VLOOKUP($B94&amp;$C94,'[1]FC1 Prod'!$A$6:$BP$36,[2]Consolidated!AR$1)</f>
        <v>0</v>
      </c>
      <c r="AS94" s="46">
        <f>VLOOKUP($B94&amp;$C94,'[1]FC1 Prod'!$A$6:$BP$36,[2]Consolidated!AS$1)</f>
        <v>0</v>
      </c>
      <c r="AT94" s="29">
        <f>VLOOKUP($B94&amp;$C94,'[1]FC1 Prod'!$A$6:$BP$36,[2]Consolidated!AT$1)</f>
        <v>0</v>
      </c>
      <c r="AU94" s="34">
        <f>VLOOKUP($B94&amp;$C94,'[1]FC1 Prod'!$A$6:$BP$36,[2]Consolidated!AU$1)</f>
        <v>0</v>
      </c>
      <c r="AV94" s="34">
        <f>VLOOKUP($B94&amp;$C94,'[1]FC1 Prod'!$A$6:$BP$36,[2]Consolidated!AV$1)</f>
        <v>0</v>
      </c>
      <c r="AW94" s="47">
        <f>VLOOKUP($B94&amp;$C94,'[1]FC1 Prod'!$A$6:$BP$36,[2]Consolidated!AW$1)</f>
        <v>0</v>
      </c>
      <c r="AX94" s="47">
        <f>VLOOKUP($B94&amp;$C94,'[1]FC1 Prod'!$A$6:$BP$36,[2]Consolidated!AX$1)</f>
        <v>0</v>
      </c>
      <c r="AY94" s="48">
        <f>VLOOKUP($B94&amp;$C94,'[1]FC1 Prod'!$A$6:$BP$36,[2]Consolidated!AY$1)</f>
        <v>0</v>
      </c>
      <c r="AZ94" s="47">
        <f>VLOOKUP($B94&amp;$C94,'[1]FC1 Prod'!$A$6:$BP$36,[2]Consolidated!AZ$1)</f>
        <v>0</v>
      </c>
      <c r="BA94" s="47">
        <f>VLOOKUP($B94&amp;$C94,'[1]FC1 Prod'!$A$6:$BP$36,[2]Consolidated!BA$1)</f>
        <v>0</v>
      </c>
      <c r="BB94" s="47">
        <f>VLOOKUP($B94&amp;$C94,'[1]FC1 Prod'!$A$6:$BP$36,[2]Consolidated!BB$1)</f>
        <v>0</v>
      </c>
      <c r="BC94" s="47">
        <f>VLOOKUP($B94&amp;$C94,'[1]FC1 Prod'!$A$6:$BP$36,[2]Consolidated!BC$1)</f>
        <v>0</v>
      </c>
      <c r="BD94" s="49">
        <f>VLOOKUP($B94&amp;$C94,'[1]FC1 Prod'!$A$6:$BP$36,[2]Consolidated!BD$1)</f>
        <v>0</v>
      </c>
      <c r="BE94" s="47">
        <f>VLOOKUP($B94&amp;$C94,'[1]FC1 Prod'!$A$6:$BP$36,[2]Consolidated!BE$1)</f>
        <v>0</v>
      </c>
      <c r="BF94" s="47">
        <f>VLOOKUP($B94&amp;$C94,'[1]FC1 Prod'!$A$6:$BP$36,[2]Consolidated!BF$1)</f>
        <v>0</v>
      </c>
      <c r="BG94" s="50">
        <f>VLOOKUP($B94&amp;$C94,'[1]FC1 Prod'!$A$6:$BP$36,[2]Consolidated!BG$1)</f>
        <v>0</v>
      </c>
      <c r="BH94" s="50">
        <f>VLOOKUP($B94&amp;$C94,'[1]FC1 Prod'!$A$6:$BP$36,[2]Consolidated!BH$1)</f>
        <v>0</v>
      </c>
      <c r="BI94" s="50">
        <f>VLOOKUP($B94&amp;$C94,'[1]FC1 Prod'!$A$6:$BP$36,[2]Consolidated!BI$1)</f>
        <v>0</v>
      </c>
      <c r="BJ94" s="37" t="e">
        <f>VLOOKUP($B94&amp;$C94,'[1]FC1 Prod'!$A$6:$BP$36,[2]Consolidated!BJ$1)</f>
        <v>#REF!</v>
      </c>
      <c r="BK94" s="37" t="e">
        <f>VLOOKUP($B94&amp;$C94,'[1]FC1 Prod'!$A$6:$BP$36,[2]Consolidated!BK$1)</f>
        <v>#REF!</v>
      </c>
      <c r="BL94" s="37" t="e">
        <f>VLOOKUP($B94&amp;$C94,'[1]FC1 Prod'!$A$6:$BP$36,[2]Consolidated!BL$1)</f>
        <v>#REF!</v>
      </c>
      <c r="BM94" s="37" t="e">
        <f>VLOOKUP($B94&amp;$C94,'[1]FC1 Prod'!$A$6:$BP$36,[2]Consolidated!BM$1)</f>
        <v>#REF!</v>
      </c>
      <c r="BN94" s="37" t="e">
        <f>VLOOKUP($B94&amp;$C94,'[1]FC1 Prod'!$A$6:$BP$36,[2]Consolidated!BN$1)</f>
        <v>#REF!</v>
      </c>
      <c r="BO94" s="37" t="e">
        <f>VLOOKUP($B94&amp;$C94,'[1]FC1 Prod'!$A$6:$BP$36,[2]Consolidated!BO$1)</f>
        <v>#REF!</v>
      </c>
      <c r="BP94" s="37" t="e">
        <f>VLOOKUP($B94&amp;$C94,'[1]FC1 Prod'!$A$6:$BP$36,[2]Consolidated!BP$1)</f>
        <v>#REF!</v>
      </c>
      <c r="BQ94" s="51" t="e">
        <f>VLOOKUP($B94&amp;$C94,'[1]FC1 Prod'!$A$6:$BP$36,[2]Consolidated!BQ$1)</f>
        <v>#REF!</v>
      </c>
      <c r="BR94" s="51">
        <f>VLOOKUP($B94&amp;$C94,'[1]FC1 Prod'!$A$6:$BQ$36,[2]Consolidated!BR$1)</f>
        <v>69902</v>
      </c>
      <c r="BS94" s="52">
        <f t="shared" ref="BS94:BS96" si="115">BE94+BF94+BG94+BA94</f>
        <v>0</v>
      </c>
      <c r="BT94" s="32">
        <f>BR94-BS94</f>
        <v>69902</v>
      </c>
      <c r="BU94" s="37">
        <f>E94*BT94</f>
        <v>0</v>
      </c>
      <c r="BV94" s="53" t="s">
        <v>133</v>
      </c>
      <c r="BW94" s="54" cm="1">
        <f t="array" ref="BW94">IFERROR(VLOOKUP($A94,TRANSPOSE('[1]Fur 1 PLC'!$AR$1:$BV$38),8,0),0)</f>
        <v>0</v>
      </c>
      <c r="BX94" s="54" cm="1">
        <f t="array" ref="BX94">IFERROR(VLOOKUP($A94,TRANSPOSE('[1]Fur 1 PLC'!$AR$1:$BV$38),30,0),0)</f>
        <v>0</v>
      </c>
      <c r="BY94" s="54" cm="1">
        <f t="array" ref="BY94">IFERROR(VLOOKUP($A94,TRANSPOSE('[1]Fur 1 PLC'!$AR$1:$BV$38),14,0),0)</f>
        <v>0</v>
      </c>
      <c r="BZ94" s="54" cm="1">
        <f t="array" ref="BZ94">IFERROR(VLOOKUP($A94,TRANSPOSE('[1]Fur 1 PLC'!$AR$1:$BV$38),16,0),0)</f>
        <v>0</v>
      </c>
      <c r="CA94" s="54" cm="1">
        <f t="array" ref="CA94">IFERROR(VLOOKUP($A94,TRANSPOSE('[1]Fur 1 PLC'!$AR$1:$BV$38),9,0),0)</f>
        <v>0</v>
      </c>
      <c r="CB94" s="54" cm="1">
        <f t="array" ref="CB94">IFERROR(VLOOKUP($A94,TRANSPOSE('[1]Fur 1 PLC'!$AR$1:$BV$38),17,0),0)</f>
        <v>0</v>
      </c>
      <c r="CC94" s="54" cm="1">
        <f t="array" ref="CC94">IFERROR(VLOOKUP($A94,TRANSPOSE('[1]Fur 1 PLC'!$AR$1:$BV$38),20,0),0)</f>
        <v>0</v>
      </c>
      <c r="CD94" s="54" cm="1">
        <f t="array" ref="CD94">IFERROR(VLOOKUP($A94,TRANSPOSE('[1]Fur 1 PLC'!$AR$1:$BV$38),28,0),0)</f>
        <v>0</v>
      </c>
      <c r="CE94" s="54" cm="1">
        <f t="array" ref="CE94">IFERROR(VLOOKUP($A94,TRANSPOSE('[1]Fur 1 PLC'!$AR$1:$BV$38),13,0),0)</f>
        <v>0</v>
      </c>
      <c r="CF94" s="54" cm="1">
        <f t="array" ref="CF94">IFERROR(VLOOKUP($A94,TRANSPOSE('[1]Fur 1 PLC'!$AR$1:$BV$38),37,0),0)</f>
        <v>0</v>
      </c>
      <c r="CG94" s="54" cm="1">
        <f t="array" ref="CG94">IFERROR(VLOOKUP($A94,TRANSPOSE('[1]Fur 1 PLC'!$AR$1:$BV$38),6,0),0)</f>
        <v>0</v>
      </c>
      <c r="CH94" s="54" cm="1">
        <f t="array" ref="CH94">IFERROR(VLOOKUP($A94,TRANSPOSE('[1]Fur 1 PLC'!$AR$1:$BV$38),21,0),0)</f>
        <v>0</v>
      </c>
      <c r="CI94" s="54" cm="1">
        <f t="array" ref="CI94">IFERROR(VLOOKUP($A94,TRANSPOSE('[1]Fur 1 PLC'!$AR$1:$BV$38),12,0),0)</f>
        <v>0</v>
      </c>
      <c r="CJ94" s="54" cm="1">
        <f t="array" ref="CJ94">IFERROR(VLOOKUP($A94,TRANSPOSE('[1]Fur 1 PLC'!$AR$1:$BV$38),25,0),0)</f>
        <v>0</v>
      </c>
      <c r="CK94" s="54" cm="1">
        <f t="array" ref="CK94">IFERROR(VLOOKUP($A94,TRANSPOSE('[1]Fur 1 PLC'!$AR$1:$BV$38),26,0),0)</f>
        <v>0</v>
      </c>
      <c r="CL94" s="54" cm="1">
        <f t="array" ref="CL94">IFERROR(VLOOKUP($A94,TRANSPOSE('[1]Fur 1 PLC'!$AR$1:$BV$38),27,0),0)</f>
        <v>0</v>
      </c>
      <c r="CM94" s="54" cm="1">
        <f t="array" ref="CM94">IFERROR(VLOOKUP($A94,TRANSPOSE('[1]Fur 1 PLC'!$AR$1:$BV$38),22,0),0)</f>
        <v>0</v>
      </c>
      <c r="CN94" s="54"/>
      <c r="CO94" s="54" cm="1">
        <f t="array" ref="CO94">IFERROR(VLOOKUP($A94,TRANSPOSE('[1]Fur 1 PLC'!$AR$1:$BV$38),29,0),0)</f>
        <v>0</v>
      </c>
      <c r="CP94" s="54" cm="1">
        <f t="array" ref="CP94">IFERROR(VLOOKUP($A94,TRANSPOSE('[1]Fur 1 PLC'!$AR$1:$BV$38),10,0),0)</f>
        <v>0</v>
      </c>
      <c r="CQ94" s="54" cm="1">
        <f t="array" ref="CQ94">IFERROR(VLOOKUP($A94,TRANSPOSE('[1]Fur 1 PLC'!$AR$1:$BV$38),7,0),0)</f>
        <v>0</v>
      </c>
      <c r="CR94" s="54" cm="1">
        <f t="array" ref="CR94">IFERROR(VLOOKUP($A94,TRANSPOSE('[1]Fur 1 PLC'!$AR$1:$BV$38),35,0),0)</f>
        <v>0</v>
      </c>
      <c r="CS94" s="54" cm="1">
        <f t="array" ref="CS94">IFERROR(VLOOKUP($A94,TRANSPOSE('[1]Fur 1 PLC'!$AR$1:$BV$38),11,0),0)</f>
        <v>0</v>
      </c>
      <c r="CT94" s="54" cm="1">
        <f t="array" ref="CT94">IFERROR(VLOOKUP($A94,TRANSPOSE('[1]Fur 1 PLC'!$AR$1:$BV$38),19,0),0)</f>
        <v>0</v>
      </c>
      <c r="CU94" s="54" cm="1">
        <f t="array" ref="CU94">IFERROR(VLOOKUP($A94,TRANSPOSE('[1]Fur 1 PLC'!$AR$1:$BV$38),18,0),0)</f>
        <v>0</v>
      </c>
      <c r="CV94" s="54" cm="1">
        <f t="array" ref="CV94">IFERROR(VLOOKUP($A94,TRANSPOSE('[1]Fur 1 PLC'!$AR$1:$BV$38),15,0),0)</f>
        <v>0</v>
      </c>
      <c r="CW94" s="54" cm="1">
        <f t="array" ref="CW94">IFERROR(VLOOKUP($A94,TRANSPOSE('[1]Fur 1 PLC'!$CL$1:$DP$38),8,0),0)</f>
        <v>0</v>
      </c>
      <c r="CX94" s="54" cm="1">
        <f t="array" ref="CX94">IFERROR(VLOOKUP($A94,TRANSPOSE('[1]Fur 1 PLC'!$CL$1:$DP$38),30,0),0)</f>
        <v>0</v>
      </c>
      <c r="CY94" s="54" cm="1">
        <f t="array" ref="CY94">IFERROR(VLOOKUP($A94,TRANSPOSE('[1]Fur 1 PLC'!$CL$1:$DP$38),14,0),0)</f>
        <v>0</v>
      </c>
      <c r="CZ94" s="54" cm="1">
        <f t="array" ref="CZ94">IFERROR(VLOOKUP($A94,TRANSPOSE('[1]Fur 1 PLC'!$CL$1:$DP$38),16,0),0)</f>
        <v>0</v>
      </c>
      <c r="DA94" s="54" cm="1">
        <f t="array" ref="DA94">IFERROR(VLOOKUP($A94,TRANSPOSE('[1]Fur 1 PLC'!$CL$1:$DP$38),9,0),0)</f>
        <v>0</v>
      </c>
      <c r="DB94" s="55" cm="1">
        <f t="array" ref="DB94">IFERROR(VLOOKUP($A94,TRANSPOSE('[1]Fur 1 PLC'!$CL$1:$DP$38),17,0),0)</f>
        <v>0</v>
      </c>
      <c r="DC94" s="55" cm="1">
        <f t="array" ref="DC94">IFERROR(VLOOKUP($A94,TRANSPOSE('[1]Fur 1 PLC'!$CL$1:$DP$38),20,0),0)</f>
        <v>0</v>
      </c>
      <c r="DD94" s="54" cm="1">
        <f t="array" ref="DD94">IFERROR(VLOOKUP($A94,TRANSPOSE('[1]Fur 1 PLC'!$CL$1:$DP$38),28,0),0)</f>
        <v>0</v>
      </c>
      <c r="DE94" s="54" cm="1">
        <f t="array" ref="DE94">IFERROR(VLOOKUP($A94,TRANSPOSE('[1]Fur 1 PLC'!$CL$1:$DP$38),13,0),0)</f>
        <v>0</v>
      </c>
      <c r="DF94" s="54" cm="1">
        <f t="array" ref="DF94">IFERROR(VLOOKUP($A94,TRANSPOSE('[1]Fur 1 PLC'!$CL$1:$DP$38),37,0),0)</f>
        <v>0</v>
      </c>
      <c r="DG94" s="54" cm="1">
        <f t="array" ref="DG94">IFERROR(VLOOKUP($A94,TRANSPOSE('[1]Fur 1 PLC'!$CL$1:$DP$38),6,0),0)</f>
        <v>0</v>
      </c>
      <c r="DH94" s="54" cm="1">
        <f t="array" ref="DH94">IFERROR(VLOOKUP($A94,TRANSPOSE('[1]Fur 1 PLC'!$CL$1:$DP$38),21,0),0)</f>
        <v>0</v>
      </c>
      <c r="DI94" s="54" cm="1">
        <f t="array" ref="DI94">IFERROR(VLOOKUP($A94,TRANSPOSE('[1]Fur 1 PLC'!$CL$1:$DP$38),12,0),0)</f>
        <v>0</v>
      </c>
      <c r="DJ94" s="54" cm="1">
        <f t="array" ref="DJ94">IFERROR(VLOOKUP($A94,TRANSPOSE('[1]Fur 1 PLC'!$CL$1:$DP$38),25,0),0)</f>
        <v>0</v>
      </c>
      <c r="DK94" s="54" cm="1">
        <f t="array" ref="DK94">IFERROR(VLOOKUP($A94,TRANSPOSE('[1]Fur 1 PLC'!$CL$1:$DP$38),26,0),0)</f>
        <v>0</v>
      </c>
      <c r="DL94" s="54" cm="1">
        <f t="array" ref="DL94">IFERROR(VLOOKUP($A94,TRANSPOSE('[1]Fur 1 PLC'!$CL$1:$DP$38),27,0),0)</f>
        <v>0</v>
      </c>
      <c r="DM94" s="54" cm="1">
        <f t="array" ref="DM94">IFERROR(VLOOKUP($A94,TRANSPOSE('[1]Fur 1 PLC'!$CL$1:$DP$38),22,0),0)</f>
        <v>0</v>
      </c>
      <c r="DN94" s="54" cm="1">
        <f t="array" ref="DN94">IFERROR(VLOOKUP($A94,TRANSPOSE('[1]Fur 1 PLC'!$CL$1:$DP$38),19,0),0)</f>
        <v>0</v>
      </c>
      <c r="DO94" s="54" cm="1">
        <f t="array" ref="DO94">IFERROR(VLOOKUP($A94,TRANSPOSE('[1]Fur 1 PLC'!$CL$1:$DP$38),29,0),0)</f>
        <v>0</v>
      </c>
      <c r="DP94" s="54" cm="1">
        <f t="array" ref="DP94">IFERROR(VLOOKUP($A94,TRANSPOSE('[1]Fur 1 PLC'!$CL$1:$DP$38),10,0),0)</f>
        <v>0</v>
      </c>
      <c r="DQ94" s="54" cm="1">
        <f t="array" ref="DQ94">IFERROR(VLOOKUP($A94,TRANSPOSE('[1]Fur 1 PLC'!$CL$1:$DP$38),7,0),0)</f>
        <v>0</v>
      </c>
      <c r="DR94" s="54" cm="1">
        <f t="array" ref="DR94">IFERROR(VLOOKUP($A94,TRANSPOSE('[1]Fur 1 PLC'!$CL$1:$DP$38),35,0),0)</f>
        <v>0</v>
      </c>
      <c r="DS94" s="54" cm="1">
        <f t="array" ref="DS94">IFERROR(VLOOKUP($A94,TRANSPOSE('[1]Fur 1 PLC'!$CL$1:$DP$38),11,0),0)</f>
        <v>0</v>
      </c>
      <c r="DT94" s="54" cm="1">
        <f t="array" ref="DT94">IFERROR(VLOOKUP($A94,TRANSPOSE('[1]Fur 1 PLC'!$CL$1:$DP$38),19,0),0)</f>
        <v>0</v>
      </c>
      <c r="DU94" s="54" cm="1">
        <f t="array" ref="DU94">IFERROR(VLOOKUP($A94,TRANSPOSE('[1]Fur 1 PLC'!$CL$1:$DP$38),18,0),0)</f>
        <v>0</v>
      </c>
      <c r="DV94" s="54" cm="1">
        <f t="array" ref="DV94">IFERROR(VLOOKUP($A94,TRANSPOSE('[1]Fur 1 PLC'!$CL$1:$DP$38),15,0),0)</f>
        <v>0</v>
      </c>
      <c r="DW94" t="str">
        <f>TEXT(C94,"Mmm-yy")</f>
        <v>Dec-25</v>
      </c>
    </row>
    <row r="95" spans="1:127" x14ac:dyDescent="0.3">
      <c r="A95" s="28" t="str">
        <f t="shared" si="59"/>
        <v>F246015</v>
      </c>
      <c r="B95" s="29" t="s">
        <v>27</v>
      </c>
      <c r="C95" s="30">
        <f>C94</f>
        <v>46015</v>
      </c>
      <c r="D95" s="29" t="str">
        <f>VLOOKUP($B95&amp;$C95,'[1]FC2 Prod'!$A$6:$BP$36,[2]Consolidated!D$1)</f>
        <v>Mr. Girish Malik</v>
      </c>
      <c r="E95" s="29">
        <f>VLOOKUP($B95&amp;$C95,'[1]FC2 Prod'!$A$6:$BP$36,[2]Consolidated!E$1)</f>
        <v>0</v>
      </c>
      <c r="F95" s="29">
        <f>VLOOKUP($B95&amp;$C95,'[1]FC2 Prod'!$A$6:$BP$36,[2]Consolidated!F$1)</f>
        <v>0</v>
      </c>
      <c r="G95" s="29" t="e">
        <f>VLOOKUP($B95&amp;$C95,'[1]FC2 Prod'!$A$6:$BP$36,[2]Consolidated!G$1)</f>
        <v>#REF!</v>
      </c>
      <c r="H95" s="32">
        <f>VLOOKUP($B95&amp;$C95,'[1]FC2 Prod'!$A$6:$BP$36,[2]Consolidated!H$1)</f>
        <v>0</v>
      </c>
      <c r="I95" s="32">
        <f>VLOOKUP($B95&amp;$C95,'[1]FC2 Prod'!$A$6:$BP$36,[2]Consolidated!I$1)</f>
        <v>0</v>
      </c>
      <c r="J95" s="32">
        <f>VLOOKUP($B95&amp;$C95,'[1]FC2 Prod'!$A$6:$BP$36,[2]Consolidated!J$1)</f>
        <v>0</v>
      </c>
      <c r="K95" s="32">
        <f>VLOOKUP($B95&amp;$C95,'[1]FC2 Prod'!$A$6:$BP$36,[2]Consolidated!K$1)</f>
        <v>0</v>
      </c>
      <c r="L95" s="32">
        <f>VLOOKUP($B95&amp;$C95,'[1]FC2 Prod'!$A$6:$BP$36,[2]Consolidated!L$1)</f>
        <v>0</v>
      </c>
      <c r="M95" s="32">
        <f>VLOOKUP($B95&amp;$C95,'[1]FC2 Prod'!$A$6:$BP$36,[2]Consolidated!M$1)</f>
        <v>0</v>
      </c>
      <c r="N95" s="32">
        <f>VLOOKUP($B95&amp;$C95,'[1]FC2 Prod'!$A$6:$BP$36,[2]Consolidated!N$1)</f>
        <v>0</v>
      </c>
      <c r="O95" s="32">
        <f>VLOOKUP($B95&amp;$C95,'[1]FC2 Prod'!$A$6:$BP$36,[2]Consolidated!O$1)</f>
        <v>0</v>
      </c>
      <c r="P95" s="34">
        <f>VLOOKUP($B95&amp;$C95,'[1]FC2 Prod'!$A$6:$BP$36,[2]Consolidated!P$1)</f>
        <v>9</v>
      </c>
      <c r="Q95" s="29">
        <f>VLOOKUP($B95&amp;$C95,'[1]FC2 Prod'!$A$6:$BP$36,[2]Consolidated!Q$1)</f>
        <v>0</v>
      </c>
      <c r="R95" s="29">
        <f>VLOOKUP($B95&amp;$C95,'[1]FC2 Prod'!$A$6:$BP$36,[2]Consolidated!R$1)</f>
        <v>0</v>
      </c>
      <c r="S95" s="34" t="e">
        <f>VLOOKUP($B95&amp;$C95,'[1]FC2 Prod'!$A$6:$BP$36,[2]Consolidated!S$1)</f>
        <v>#REF!</v>
      </c>
      <c r="T95" s="34" t="e">
        <f>VLOOKUP($B95&amp;$C95,'[1]FC2 Prod'!$A$6:$BP$36,[2]Consolidated!T$1)</f>
        <v>#REF!</v>
      </c>
      <c r="U95" s="34" t="e">
        <f>VLOOKUP($B95&amp;$C95,'[1]FC2 Prod'!$A$6:$BP$36,[2]Consolidated!U$1)</f>
        <v>#REF!</v>
      </c>
      <c r="V95" s="34">
        <f>VLOOKUP($B95&amp;$C95,'[1]FC2 Prod'!$A$6:$BP$36,[2]Consolidated!V$1)</f>
        <v>0</v>
      </c>
      <c r="W95" s="29">
        <f>VLOOKUP($B95&amp;$C95,'[1]FC2 Prod'!$A$6:$BP$36,[2]Consolidated!W$1)</f>
        <v>0</v>
      </c>
      <c r="X95" s="35">
        <f>VLOOKUP($B95&amp;$C95,'[1]FC2 Prod'!$A$6:$BP$36,[2]Consolidated!X$1)</f>
        <v>0</v>
      </c>
      <c r="Y95" s="36">
        <f>VLOOKUP($B95&amp;$C95,'[1]FC2 Prod'!$A$6:$BP$36,[2]Consolidated!Y$1)</f>
        <v>0</v>
      </c>
      <c r="Z95" s="37" t="e">
        <f>VLOOKUP($B95&amp;$C95,'[1]FC2 Prod'!$A$6:$BP$36,[2]Consolidated!Z$1)</f>
        <v>#REF!</v>
      </c>
      <c r="AA95" s="31">
        <f>VLOOKUP($B95&amp;$C95,'[1]FC2 Prod'!$A$6:$BP$36,[2]Consolidated!AA$1)</f>
        <v>0</v>
      </c>
      <c r="AB95" s="31">
        <f>VLOOKUP($B95&amp;$C95,'[1]FC2 Prod'!$A$6:$BP$36,[2]Consolidated!AB$1)</f>
        <v>0</v>
      </c>
      <c r="AC95" s="31">
        <f>VLOOKUP($B95&amp;$C95,'[1]FC2 Prod'!$A$6:$BP$36,[2]Consolidated!AC$1)</f>
        <v>0</v>
      </c>
      <c r="AD95" s="38">
        <f>VLOOKUP($B95&amp;$C95,'[1]FC2 Prod'!$A$6:$BP$36,[2]Consolidated!AD$1)</f>
        <v>0</v>
      </c>
      <c r="AE95" s="38">
        <f>VLOOKUP($B95&amp;$C95,'[1]FC2 Prod'!$A$6:$BP$36,[2]Consolidated!AE$1)</f>
        <v>0</v>
      </c>
      <c r="AF95" s="39">
        <f>VLOOKUP($B95&amp;$C95,'[1]FC2 Prod'!$A$6:$BP$36,[2]Consolidated!AF$1)</f>
        <v>0</v>
      </c>
      <c r="AG95" s="39">
        <f>VLOOKUP($B95&amp;$C95,'[1]FC2 Prod'!$A$6:$BP$36,[2]Consolidated!AG$1)</f>
        <v>0</v>
      </c>
      <c r="AH95" s="34">
        <f>VLOOKUP($B95&amp;$C95,'[1]FC2 Prod'!$A$6:$BP$36,[2]Consolidated!AH$1)</f>
        <v>0</v>
      </c>
      <c r="AI95" s="33">
        <f>VLOOKUP($B95&amp;$C95,'[1]FC2 Prod'!$A$6:$BP$36,[2]Consolidated!AI$1)</f>
        <v>0</v>
      </c>
      <c r="AJ95" s="39">
        <f>VLOOKUP($B95&amp;$C95,'[1]FC2 Prod'!$A$6:$BP$36,[2]Consolidated!AJ$1)</f>
        <v>0</v>
      </c>
      <c r="AK95" s="39">
        <f>VLOOKUP($B95&amp;$C95,'[1]FC2 Prod'!$A$6:$BP$36,[2]Consolidated!AK$1)</f>
        <v>0</v>
      </c>
      <c r="AL95" s="40" t="e">
        <f>VLOOKUP($B95&amp;$C95,'[1]FC2 Prod'!$A$6:$BP$36,[2]Consolidated!AL$1)</f>
        <v>#REF!</v>
      </c>
      <c r="AM95" s="41">
        <f>VLOOKUP($B95&amp;$C95,'[1]FC2 Prod'!$A$6:$BP$36,[2]Consolidated!AM$1)</f>
        <v>0</v>
      </c>
      <c r="AN95" s="42" t="e">
        <f>VLOOKUP($B95&amp;$C95,'[1]FC2 Prod'!$A$6:$BP$36,[2]Consolidated!AN$1)</f>
        <v>#REF!</v>
      </c>
      <c r="AO95" s="43" t="e">
        <f>VLOOKUP($B95&amp;$C95,'[1]FC2 Prod'!$A$6:$BP$36,[2]Consolidated!AO$1)</f>
        <v>#REF!</v>
      </c>
      <c r="AP95" s="44">
        <f>VLOOKUP($B95&amp;$C95,'[1]FC2 Prod'!$A$6:$BP$36,[2]Consolidated!AP$1)</f>
        <v>0</v>
      </c>
      <c r="AQ95" s="44">
        <f>VLOOKUP($B95&amp;$C95,'[1]FC2 Prod'!$A$6:$BP$36,[2]Consolidated!AQ$1)</f>
        <v>0</v>
      </c>
      <c r="AR95" s="45">
        <f>VLOOKUP($B95&amp;$C95,'[1]FC2 Prod'!$A$6:$BP$36,[2]Consolidated!AR$1)</f>
        <v>0</v>
      </c>
      <c r="AS95" s="46">
        <f>VLOOKUP($B95&amp;$C95,'[1]FC2 Prod'!$A$6:$BP$36,[2]Consolidated!AS$1)</f>
        <v>0</v>
      </c>
      <c r="AT95" s="29">
        <f>VLOOKUP($B95&amp;$C95,'[1]FC2 Prod'!$A$6:$BP$36,[2]Consolidated!AT$1)</f>
        <v>0</v>
      </c>
      <c r="AU95" s="34">
        <f>VLOOKUP($B95&amp;$C95,'[1]FC2 Prod'!$A$6:$BP$36,[2]Consolidated!AU$1)</f>
        <v>0</v>
      </c>
      <c r="AV95" s="34">
        <f>VLOOKUP($B95&amp;$C95,'[1]FC2 Prod'!$A$6:$BP$36,[2]Consolidated!AV$1)</f>
        <v>0</v>
      </c>
      <c r="AW95" s="47">
        <f>VLOOKUP($B95&amp;$C95,'[1]FC2 Prod'!$A$6:$BP$36,[2]Consolidated!AW$1)</f>
        <v>0</v>
      </c>
      <c r="AX95" s="47">
        <f>VLOOKUP($B95&amp;$C95,'[1]FC2 Prod'!$A$6:$BP$36,[2]Consolidated!AX$1)</f>
        <v>0</v>
      </c>
      <c r="AY95" s="48">
        <f>VLOOKUP($B95&amp;$C95,'[1]FC2 Prod'!$A$6:$BP$36,[2]Consolidated!AY$1)</f>
        <v>0</v>
      </c>
      <c r="AZ95" s="47">
        <f>VLOOKUP($B95&amp;$C95,'[1]FC2 Prod'!$A$6:$BP$36,[2]Consolidated!AZ$1)</f>
        <v>0</v>
      </c>
      <c r="BA95" s="47">
        <f>VLOOKUP($B95&amp;$C95,'[1]FC2 Prod'!$A$6:$BP$36,[2]Consolidated!BA$1)</f>
        <v>0</v>
      </c>
      <c r="BB95" s="47">
        <f>VLOOKUP($B95&amp;$C95,'[1]FC2 Prod'!$A$6:$BP$36,[2]Consolidated!BB$1)</f>
        <v>0</v>
      </c>
      <c r="BC95" s="47">
        <f>VLOOKUP($B95&amp;$C95,'[1]FC2 Prod'!$A$6:$BP$36,[2]Consolidated!BC$1)</f>
        <v>0</v>
      </c>
      <c r="BD95" s="49">
        <f>VLOOKUP($B95&amp;$C95,'[1]FC2 Prod'!$A$6:$BP$36,[2]Consolidated!BD$1)</f>
        <v>0</v>
      </c>
      <c r="BE95" s="47">
        <f>VLOOKUP($B95&amp;$C95,'[1]FC2 Prod'!$A$6:$BP$36,[2]Consolidated!BE$1)</f>
        <v>0</v>
      </c>
      <c r="BF95" s="47">
        <f>VLOOKUP($B95&amp;$C95,'[1]FC2 Prod'!$A$6:$BP$36,[2]Consolidated!BF$1)</f>
        <v>0</v>
      </c>
      <c r="BG95" s="50">
        <f>VLOOKUP($B95&amp;$C95,'[1]FC2 Prod'!$A$6:$BP$36,[2]Consolidated!BG$1)</f>
        <v>0</v>
      </c>
      <c r="BH95" s="50">
        <f>VLOOKUP($B95&amp;$C95,'[1]FC2 Prod'!$A$6:$BP$36,[2]Consolidated!BH$1)</f>
        <v>0</v>
      </c>
      <c r="BI95" s="50">
        <f>VLOOKUP($B95&amp;$C95,'[1]FC2 Prod'!$A$6:$BP$36,[2]Consolidated!BI$1)</f>
        <v>0</v>
      </c>
      <c r="BJ95" s="37" t="e">
        <f>VLOOKUP($B95&amp;$C95,'[1]FC2 Prod'!$A$6:$BP$36,[2]Consolidated!BJ$1)</f>
        <v>#REF!</v>
      </c>
      <c r="BK95" s="37" t="e">
        <f>VLOOKUP($B95&amp;$C95,'[1]FC2 Prod'!$A$6:$BP$36,[2]Consolidated!BK$1)</f>
        <v>#REF!</v>
      </c>
      <c r="BL95" s="37" t="e">
        <f>VLOOKUP($B95&amp;$C95,'[1]FC2 Prod'!$A$6:$BP$36,[2]Consolidated!BL$1)</f>
        <v>#REF!</v>
      </c>
      <c r="BM95" s="37" t="e">
        <f>VLOOKUP($B95&amp;$C95,'[1]FC2 Prod'!$A$6:$BP$36,[2]Consolidated!BM$1)</f>
        <v>#REF!</v>
      </c>
      <c r="BN95" s="37" t="e">
        <f>VLOOKUP($B95&amp;$C95,'[1]FC2 Prod'!$A$6:$BP$36,[2]Consolidated!BN$1)</f>
        <v>#REF!</v>
      </c>
      <c r="BO95" s="37" t="e">
        <f>VLOOKUP($B95&amp;$C95,'[1]FC2 Prod'!$A$6:$BP$36,[2]Consolidated!BO$1)</f>
        <v>#REF!</v>
      </c>
      <c r="BP95" s="37" t="e">
        <f>VLOOKUP($B95&amp;$C95,'[1]FC2 Prod'!$A$6:$BP$36,[2]Consolidated!BP$1)</f>
        <v>#REF!</v>
      </c>
      <c r="BQ95" s="29" t="e">
        <f>VLOOKUP($B95&amp;$C95,'[1]FC2 Prod'!$A$6:$BP$36,[2]Consolidated!BQ$1)</f>
        <v>#REF!</v>
      </c>
      <c r="BR95" s="51">
        <f>VLOOKUP($B95&amp;$C95,'[1]FC2 Prod'!$A$6:$BQ$36,[2]Consolidated!BR$1)</f>
        <v>68163</v>
      </c>
      <c r="BS95" s="52">
        <f t="shared" si="115"/>
        <v>0</v>
      </c>
      <c r="BT95" s="32">
        <f>BR95-BS95</f>
        <v>68163</v>
      </c>
      <c r="BU95" s="37">
        <f>E95*BT95</f>
        <v>0</v>
      </c>
      <c r="BV95" s="53" t="s">
        <v>133</v>
      </c>
      <c r="BW95" s="54" cm="1">
        <f t="array" ref="BW95">IFERROR(VLOOKUP($A95,TRANSPOSE('[1]Fur 2 PLC'!$AR$1:$BV$38),8,0),0)</f>
        <v>0</v>
      </c>
      <c r="BX95" s="54" cm="1">
        <f t="array" ref="BX95">IFERROR(VLOOKUP($A95,TRANSPOSE('[1]Fur 2 PLC'!$AR$1:$BV$38),30,0),0)</f>
        <v>0</v>
      </c>
      <c r="BY95" s="54" cm="1">
        <f t="array" ref="BY95">IFERROR(VLOOKUP($A95,TRANSPOSE('[1]Fur 2 PLC'!$AR$1:$BV$38),14,0),0)</f>
        <v>0</v>
      </c>
      <c r="BZ95" s="54" cm="1">
        <f t="array" ref="BZ95">IFERROR(VLOOKUP($A95,TRANSPOSE('[1]Fur 2 PLC'!$AR$1:$BV$38),16,0),0)</f>
        <v>0</v>
      </c>
      <c r="CA95" s="54" cm="1">
        <f t="array" ref="CA95">IFERROR(VLOOKUP($A95,TRANSPOSE('[1]Fur 2 PLC'!$AR$1:$BV$38),9,0),0)</f>
        <v>0</v>
      </c>
      <c r="CB95" s="54" cm="1">
        <f t="array" ref="CB95">IFERROR(VLOOKUP($A95,TRANSPOSE('[1]Fur 2 PLC'!$AR$1:$BV$38),17,0),0)</f>
        <v>0</v>
      </c>
      <c r="CC95" s="54" cm="1">
        <f t="array" ref="CC95">IFERROR(VLOOKUP($A95,TRANSPOSE('[1]Fur 2 PLC'!$AR$1:$BV$38),20,0),0)</f>
        <v>0</v>
      </c>
      <c r="CD95" s="54" cm="1">
        <f t="array" ref="CD95">IFERROR(VLOOKUP($A95,TRANSPOSE('[1]Fur 2 PLC'!$AR$1:$BV$38),28,0),0)</f>
        <v>0</v>
      </c>
      <c r="CE95" s="54" cm="1">
        <f t="array" ref="CE95">IFERROR(VLOOKUP($A95,TRANSPOSE('[1]Fur 2 PLC'!$AR$1:$BV$38),13,0),0)</f>
        <v>0</v>
      </c>
      <c r="CF95" s="54" cm="1">
        <f t="array" ref="CF95">IFERROR(VLOOKUP($A95,TRANSPOSE('[1]Fur 2 PLC'!$AR$1:$BV$38),37,0),0)</f>
        <v>0</v>
      </c>
      <c r="CG95" s="54" cm="1">
        <f t="array" ref="CG95">IFERROR(VLOOKUP($A95,TRANSPOSE('[1]Fur 2 PLC'!$AR$1:$BV$38),6,0),0)</f>
        <v>0</v>
      </c>
      <c r="CH95" s="54" cm="1">
        <f t="array" ref="CH95">IFERROR(VLOOKUP($A95,TRANSPOSE('[1]Fur 2 PLC'!$AR$1:$BV$38),21,0),0)</f>
        <v>0</v>
      </c>
      <c r="CI95" s="54" cm="1">
        <f t="array" ref="CI95">IFERROR(VLOOKUP($A95,TRANSPOSE('[1]Fur 2 PLC'!$AR$1:$BV$38),12,0),0)</f>
        <v>0</v>
      </c>
      <c r="CJ95" s="54" cm="1">
        <f t="array" ref="CJ95">IFERROR(VLOOKUP($A95,TRANSPOSE('[1]Fur 2 PLC'!$AR$1:$BV$38),25,0),0)</f>
        <v>0</v>
      </c>
      <c r="CK95" s="54" cm="1">
        <f t="array" ref="CK95">IFERROR(VLOOKUP($A95,TRANSPOSE('[1]Fur 2 PLC'!$AR$1:$BV$38),26,0),0)</f>
        <v>0</v>
      </c>
      <c r="CL95" s="54" cm="1">
        <f t="array" ref="CL95">IFERROR(VLOOKUP($A95,TRANSPOSE('[1]Fur 2 PLC'!$AR$1:$BV$38),27,0),0)</f>
        <v>0</v>
      </c>
      <c r="CM95" s="54" cm="1">
        <f t="array" ref="CM95">IFERROR(VLOOKUP($A95,TRANSPOSE('[1]Fur 2 PLC'!$AR$1:$BV$38),22,0),0)</f>
        <v>0</v>
      </c>
      <c r="CN95" s="54"/>
      <c r="CO95" s="54" cm="1">
        <f t="array" ref="CO95">IFERROR(VLOOKUP($A95,TRANSPOSE('[1]Fur 2 PLC'!$AR$1:$BV$38),29,0),0)</f>
        <v>0</v>
      </c>
      <c r="CP95" s="54" cm="1">
        <f t="array" ref="CP95">IFERROR(VLOOKUP($A95,TRANSPOSE('[1]Fur 2 PLC'!$AR$1:$BV$38),10,0),0)</f>
        <v>0</v>
      </c>
      <c r="CQ95" s="54" cm="1">
        <f t="array" ref="CQ95">IFERROR(VLOOKUP($A95,TRANSPOSE('[1]Fur 2 PLC'!$AR$1:$BV$38),7,0),0)</f>
        <v>0</v>
      </c>
      <c r="CR95" s="54" cm="1">
        <f t="array" ref="CR95">IFERROR(VLOOKUP($A95,TRANSPOSE('[1]Fur 2 PLC'!$AR$1:$BV$38),35,0),0)</f>
        <v>0</v>
      </c>
      <c r="CS95" s="54" cm="1">
        <f t="array" ref="CS95">IFERROR(VLOOKUP($A95,TRANSPOSE('[1]Fur 2 PLC'!$AR$1:$BV$38),11,0),0)</f>
        <v>0</v>
      </c>
      <c r="CT95" s="54" cm="1">
        <f t="array" ref="CT95">IFERROR(VLOOKUP($A95,TRANSPOSE('[1]Fur 2 PLC'!$AR$1:$BV$38),19,0),0)</f>
        <v>0</v>
      </c>
      <c r="CU95" s="54" cm="1">
        <f t="array" ref="CU95">IFERROR(VLOOKUP($A95,TRANSPOSE('[1]Fur 2 PLC'!$AR$1:$BV$38),18,0),0)</f>
        <v>0</v>
      </c>
      <c r="CV95" s="54" cm="1">
        <f t="array" ref="CV95">IFERROR(VLOOKUP($A95,TRANSPOSE('[1]Fur 2 PLC'!$AR$1:$BV$38),15,0),0)</f>
        <v>0</v>
      </c>
      <c r="CW95" s="54" cm="1">
        <f t="array" ref="CW95">IFERROR(VLOOKUP($A95,TRANSPOSE('[1]Fur 2 PLC'!$CI$1:$DM$38),8,0),0)</f>
        <v>0</v>
      </c>
      <c r="CX95" s="54" cm="1">
        <f t="array" ref="CX95">IFERROR(VLOOKUP($A95,TRANSPOSE('[1]Fur 2 PLC'!$CI$1:$DM$38),30,0),0)</f>
        <v>0</v>
      </c>
      <c r="CY95" s="54" cm="1">
        <f t="array" ref="CY95">IFERROR(VLOOKUP($A95,TRANSPOSE('[1]Fur 2 PLC'!$CI$1:$DM$38),14,0),0)</f>
        <v>0</v>
      </c>
      <c r="CZ95" s="54" cm="1">
        <f t="array" ref="CZ95">IFERROR(VLOOKUP($A95,TRANSPOSE('[1]Fur 2 PLC'!$CI$1:$DM$38),16,0),0)</f>
        <v>0</v>
      </c>
      <c r="DA95" s="54" cm="1">
        <f t="array" ref="DA95">IFERROR(VLOOKUP($A95,TRANSPOSE('[1]Fur 2 PLC'!$CI$1:$DM$38),9,0),0)</f>
        <v>0</v>
      </c>
      <c r="DB95" s="55" cm="1">
        <f t="array" ref="DB95">IFERROR(VLOOKUP($A95,TRANSPOSE('[1]Fur 2 PLC'!$CI$1:$DM$38),17,0),0)</f>
        <v>0</v>
      </c>
      <c r="DC95" s="55" cm="1">
        <f t="array" ref="DC95">IFERROR(VLOOKUP($A95,TRANSPOSE('[1]Fur 2 PLC'!$CI$1:$DM$38),20,0),0)</f>
        <v>0</v>
      </c>
      <c r="DD95" s="54" cm="1">
        <f t="array" ref="DD95">IFERROR(VLOOKUP($A95,TRANSPOSE('[1]Fur 2 PLC'!$CI$1:$DM$38),28,0),0)</f>
        <v>0</v>
      </c>
      <c r="DE95" s="54" cm="1">
        <f t="array" ref="DE95">IFERROR(VLOOKUP($A95,TRANSPOSE('[1]Fur 2 PLC'!$CI$1:$DM$38),13,0),0)</f>
        <v>0</v>
      </c>
      <c r="DF95" s="54" cm="1">
        <f t="array" ref="DF95">IFERROR(VLOOKUP($A95,TRANSPOSE('[1]Fur 2 PLC'!$CI$1:$DM$38),37,0),0)</f>
        <v>0</v>
      </c>
      <c r="DG95" s="54" cm="1">
        <f t="array" ref="DG95">IFERROR(VLOOKUP($A95,TRANSPOSE('[1]Fur 2 PLC'!$CI$1:$DM$38),6,0),0)</f>
        <v>0</v>
      </c>
      <c r="DH95" s="54" cm="1">
        <f t="array" ref="DH95">IFERROR(VLOOKUP($A95,TRANSPOSE('[1]Fur 2 PLC'!$CI$1:$DM$38),21,0),0)</f>
        <v>0</v>
      </c>
      <c r="DI95" s="54" cm="1">
        <f t="array" ref="DI95">IFERROR(VLOOKUP($A95,TRANSPOSE('[1]Fur 2 PLC'!$CI$1:$DM$38),12,0),0)</f>
        <v>0</v>
      </c>
      <c r="DJ95" s="54" cm="1">
        <f t="array" ref="DJ95">IFERROR(VLOOKUP($A95,TRANSPOSE('[1]Fur 2 PLC'!$CI$1:$DM$38),25,0),0)</f>
        <v>0</v>
      </c>
      <c r="DK95" s="54" cm="1">
        <f t="array" ref="DK95">IFERROR(VLOOKUP($A95,TRANSPOSE('[1]Fur 2 PLC'!$CI$1:$DM$38),26,0),0)</f>
        <v>0</v>
      </c>
      <c r="DL95" s="54" cm="1">
        <f t="array" ref="DL95">IFERROR(VLOOKUP($A95,TRANSPOSE('[1]Fur 2 PLC'!$CI$1:$DM$38),27,0),0)</f>
        <v>0</v>
      </c>
      <c r="DM95" s="54" cm="1">
        <f t="array" ref="DM95">IFERROR(VLOOKUP($A95,TRANSPOSE('[1]Fur 2 PLC'!$CI$1:$DM$38),22,0),0)</f>
        <v>0</v>
      </c>
      <c r="DN95" s="54" cm="1">
        <f t="array" ref="DN95">IFERROR(VLOOKUP($A95,TRANSPOSE('[1]Fur 2 PLC'!$CI$1:$DM$38),19,0),0)</f>
        <v>0</v>
      </c>
      <c r="DO95" s="54" cm="1">
        <f t="array" ref="DO95">IFERROR(VLOOKUP($A95,TRANSPOSE('[1]Fur 2 PLC'!$CI$1:$DM$38),29,0),0)</f>
        <v>0</v>
      </c>
      <c r="DP95" s="54" cm="1">
        <f t="array" ref="DP95">IFERROR(VLOOKUP($A95,TRANSPOSE('[1]Fur 2 PLC'!$CI$1:$DM$38),10,0),0)</f>
        <v>0</v>
      </c>
      <c r="DQ95" s="54" cm="1">
        <f t="array" ref="DQ95">IFERROR(VLOOKUP($A95,TRANSPOSE('[1]Fur 2 PLC'!$CI$1:$DM$38),7,0),0)</f>
        <v>0</v>
      </c>
      <c r="DR95" s="54" cm="1">
        <f t="array" ref="DR95">IFERROR(VLOOKUP($A95,TRANSPOSE('[1]Fur 2 PLC'!$CI$1:$DM$38),35,0),0)</f>
        <v>0</v>
      </c>
      <c r="DS95" s="54" cm="1">
        <f t="array" ref="DS95">IFERROR(VLOOKUP($A95,TRANSPOSE('[1]Fur 2 PLC'!$CI$1:$DM$38),11,0),0)</f>
        <v>0</v>
      </c>
      <c r="DT95" s="54" cm="1">
        <f t="array" ref="DT95">IFERROR(VLOOKUP($A95,TRANSPOSE('[1]Fur 2 PLC'!$CI$1:$DM$38),19,0),0)</f>
        <v>0</v>
      </c>
      <c r="DU95" s="54" cm="1">
        <f t="array" ref="DU95">IFERROR(VLOOKUP($A95,TRANSPOSE('[1]Fur 2 PLC'!$CI$1:$DM$38),18,0),0)</f>
        <v>0</v>
      </c>
      <c r="DV95" s="54" cm="1">
        <f t="array" ref="DV95">IFERROR(VLOOKUP($A95,TRANSPOSE('[1]Fur 2 PLC'!$CI$1:$DM$38),15,0),0)</f>
        <v>0</v>
      </c>
      <c r="DW95" t="str">
        <f t="shared" ref="DW95:DW97" si="116">TEXT(C95,"Mmm-yy")</f>
        <v>Dec-25</v>
      </c>
    </row>
    <row r="96" spans="1:127" x14ac:dyDescent="0.3">
      <c r="A96" s="28" t="str">
        <f t="shared" si="59"/>
        <v>F346015</v>
      </c>
      <c r="B96" s="29" t="s">
        <v>28</v>
      </c>
      <c r="C96" s="30">
        <f>C95</f>
        <v>46015</v>
      </c>
      <c r="D96" s="29" t="str">
        <f>VLOOKUP($B96&amp;$C96,'[1]FC3 Prod'!$A$6:$BP$36,[2]Consolidated!D$1)</f>
        <v>Mr. Ajay Singh</v>
      </c>
      <c r="E96" s="29">
        <f>VLOOKUP($B96&amp;$C96,'[1]FC3 Prod'!$A$6:$BP$36,[2]Consolidated!E$1)</f>
        <v>0</v>
      </c>
      <c r="F96" s="31">
        <f>VLOOKUP($B96&amp;$C96,'[1]FC3 Prod'!$A$6:$BP$36,[2]Consolidated!F$1)</f>
        <v>0</v>
      </c>
      <c r="G96" s="32" t="e">
        <f>VLOOKUP($B96&amp;$C96,'[1]FC3 Prod'!$A$6:$BP$36,[2]Consolidated!G$1)</f>
        <v>#REF!</v>
      </c>
      <c r="H96" s="32">
        <f>VLOOKUP($B96&amp;$C96,'[1]FC3 Prod'!$A$6:$BP$36,[2]Consolidated!H$1)</f>
        <v>0</v>
      </c>
      <c r="I96" s="32">
        <f>VLOOKUP($B96&amp;$C96,'[1]FC3 Prod'!$A$6:$BP$36,[2]Consolidated!I$1)</f>
        <v>0</v>
      </c>
      <c r="J96" s="32">
        <f>VLOOKUP($B96&amp;$C96,'[1]FC3 Prod'!$A$6:$BP$36,[2]Consolidated!J$1)</f>
        <v>0</v>
      </c>
      <c r="K96" s="32">
        <f>VLOOKUP($B96&amp;$C96,'[1]FC3 Prod'!$A$6:$BP$36,[2]Consolidated!K$1)</f>
        <v>0</v>
      </c>
      <c r="L96" s="32">
        <f>VLOOKUP($B96&amp;$C96,'[1]FC3 Prod'!$A$6:$BP$36,[2]Consolidated!L$1)</f>
        <v>0</v>
      </c>
      <c r="M96" s="32">
        <f>VLOOKUP($B96&amp;$C96,'[1]FC3 Prod'!$A$6:$BP$36,[2]Consolidated!M$1)</f>
        <v>0</v>
      </c>
      <c r="N96" s="32">
        <f>VLOOKUP($B96&amp;$C96,'[1]FC3 Prod'!$A$6:$BP$36,[2]Consolidated!N$1)</f>
        <v>0</v>
      </c>
      <c r="O96" s="32">
        <f>VLOOKUP($B96&amp;$C96,'[1]FC3 Prod'!$A$6:$BP$36,[2]Consolidated!O$1)</f>
        <v>0</v>
      </c>
      <c r="P96" s="33">
        <f>VLOOKUP($B96&amp;$C96,'[1]FC3 Prod'!$A$6:$BP$36,[2]Consolidated!P$1)</f>
        <v>8</v>
      </c>
      <c r="Q96" s="29">
        <f>VLOOKUP($B96&amp;$C96,'[1]FC3 Prod'!$A$6:$BP$36,[2]Consolidated!Q$1)</f>
        <v>0</v>
      </c>
      <c r="R96" s="29">
        <f>VLOOKUP($B96&amp;$C96,'[1]FC3 Prod'!$A$6:$BP$36,[2]Consolidated!R$1)</f>
        <v>0</v>
      </c>
      <c r="S96" s="34" t="e">
        <f>VLOOKUP($B96&amp;$C96,'[1]FC3 Prod'!$A$6:$BP$36,[2]Consolidated!S$1)</f>
        <v>#REF!</v>
      </c>
      <c r="T96" s="34" t="e">
        <f>VLOOKUP($B96&amp;$C96,'[1]FC3 Prod'!$A$6:$BP$36,[2]Consolidated!T$1)</f>
        <v>#REF!</v>
      </c>
      <c r="U96" s="34" t="e">
        <f>VLOOKUP($B96&amp;$C96,'[1]FC3 Prod'!$A$6:$BP$36,[2]Consolidated!U$1)</f>
        <v>#REF!</v>
      </c>
      <c r="V96" s="34">
        <f>VLOOKUP($B96&amp;$C96,'[1]FC3 Prod'!$A$6:$BP$36,[2]Consolidated!V$1)</f>
        <v>0</v>
      </c>
      <c r="W96" s="35">
        <f>VLOOKUP($B96&amp;$C96,'[1]FC3 Prod'!$A$6:$BP$36,[2]Consolidated!W$1)</f>
        <v>0</v>
      </c>
      <c r="X96" s="35">
        <f>VLOOKUP($B96&amp;$C96,'[1]FC3 Prod'!$A$6:$BP$36,[2]Consolidated!X$1)</f>
        <v>0</v>
      </c>
      <c r="Y96" s="36">
        <f>VLOOKUP($B96&amp;$C96,'[1]FC3 Prod'!$A$6:$BP$36,[2]Consolidated!Y$1)</f>
        <v>0</v>
      </c>
      <c r="Z96" s="37" t="e">
        <f>VLOOKUP($B96&amp;$C96,'[1]FC3 Prod'!$A$6:$BP$36,[2]Consolidated!Z$1)</f>
        <v>#REF!</v>
      </c>
      <c r="AA96" s="31">
        <f>VLOOKUP($B96&amp;$C96,'[1]FC3 Prod'!$A$6:$BP$36,[2]Consolidated!AA$1)</f>
        <v>0</v>
      </c>
      <c r="AB96" s="31">
        <f>VLOOKUP($B96&amp;$C96,'[1]FC3 Prod'!$A$6:$BP$36,[2]Consolidated!AB$1)</f>
        <v>0</v>
      </c>
      <c r="AC96" s="31" t="e">
        <f>VLOOKUP($B96&amp;$C96,'[1]FC3 Prod'!$A$6:$BP$36,[2]Consolidated!AC$1)</f>
        <v>#REF!</v>
      </c>
      <c r="AD96" s="38">
        <f>VLOOKUP($B96&amp;$C96,'[1]FC3 Prod'!$A$6:$BP$36,[2]Consolidated!AD$1)</f>
        <v>0</v>
      </c>
      <c r="AE96" s="38">
        <f>VLOOKUP($B96&amp;$C96,'[1]FC3 Prod'!$A$6:$BP$36,[2]Consolidated!AE$1)</f>
        <v>0</v>
      </c>
      <c r="AF96" s="39">
        <f>VLOOKUP($B96&amp;$C96,'[1]FC3 Prod'!$A$6:$BP$36,[2]Consolidated!AF$1)</f>
        <v>0</v>
      </c>
      <c r="AG96" s="39">
        <f>VLOOKUP($B96&amp;$C96,'[1]FC3 Prod'!$A$6:$BP$36,[2]Consolidated!AG$1)</f>
        <v>0</v>
      </c>
      <c r="AH96" s="34">
        <f>VLOOKUP($B96&amp;$C96,'[1]FC3 Prod'!$A$6:$BP$36,[2]Consolidated!AH$1)</f>
        <v>0</v>
      </c>
      <c r="AI96" s="33">
        <f>VLOOKUP($B96&amp;$C96,'[1]FC3 Prod'!$A$6:$BP$36,[2]Consolidated!AI$1)</f>
        <v>0</v>
      </c>
      <c r="AJ96" s="39">
        <f>VLOOKUP($B96&amp;$C96,'[1]FC3 Prod'!$A$6:$BP$36,[2]Consolidated!AJ$1)</f>
        <v>0</v>
      </c>
      <c r="AK96" s="39">
        <f>VLOOKUP($B96&amp;$C96,'[1]FC3 Prod'!$A$6:$BP$36,[2]Consolidated!AK$1)</f>
        <v>0</v>
      </c>
      <c r="AL96" s="40" t="e">
        <f>VLOOKUP($B96&amp;$C96,'[1]FC3 Prod'!$A$6:$BP$36,[2]Consolidated!AL$1)</f>
        <v>#REF!</v>
      </c>
      <c r="AM96" s="41">
        <f>VLOOKUP($B96&amp;$C96,'[1]FC3 Prod'!$A$6:$BP$36,[2]Consolidated!AM$1)</f>
        <v>0</v>
      </c>
      <c r="AN96" s="42" t="e">
        <f>VLOOKUP($B96&amp;$C96,'[1]FC3 Prod'!$A$6:$BP$36,[2]Consolidated!AN$1)</f>
        <v>#REF!</v>
      </c>
      <c r="AO96" s="43" t="e">
        <f>VLOOKUP($B96&amp;$C96,'[1]FC3 Prod'!$A$6:$BP$36,[2]Consolidated!AO$1)</f>
        <v>#REF!</v>
      </c>
      <c r="AP96" s="44">
        <f>VLOOKUP($B96&amp;$C96,'[1]FC3 Prod'!$A$6:$BP$36,[2]Consolidated!AP$1)</f>
        <v>0</v>
      </c>
      <c r="AQ96" s="44">
        <f>VLOOKUP($B96&amp;$C96,'[1]FC3 Prod'!$A$6:$BP$36,[2]Consolidated!AQ$1)</f>
        <v>0</v>
      </c>
      <c r="AR96" s="45">
        <f>VLOOKUP($B96&amp;$C96,'[1]FC3 Prod'!$A$6:$BP$36,[2]Consolidated!AR$1)</f>
        <v>0</v>
      </c>
      <c r="AS96" s="46">
        <f>VLOOKUP($B96&amp;$C96,'[1]FC3 Prod'!$A$6:$BP$36,[2]Consolidated!AS$1)</f>
        <v>0</v>
      </c>
      <c r="AT96" s="29">
        <f>VLOOKUP($B96&amp;$C96,'[1]FC3 Prod'!$A$6:$BP$36,[2]Consolidated!AT$1)</f>
        <v>0</v>
      </c>
      <c r="AU96" s="34">
        <f>VLOOKUP($B96&amp;$C96,'[1]FC3 Prod'!$A$6:$BP$36,[2]Consolidated!AU$1)</f>
        <v>0</v>
      </c>
      <c r="AV96" s="34">
        <f>VLOOKUP($B96&amp;$C96,'[1]FC3 Prod'!$A$6:$BP$36,[2]Consolidated!AV$1)</f>
        <v>0</v>
      </c>
      <c r="AW96" s="47">
        <f>VLOOKUP($B96&amp;$C96,'[1]FC3 Prod'!$A$6:$BP$36,[2]Consolidated!AW$1)</f>
        <v>0</v>
      </c>
      <c r="AX96" s="47">
        <f>VLOOKUP($B96&amp;$C96,'[1]FC3 Prod'!$A$6:$BP$36,[2]Consolidated!AX$1)</f>
        <v>0</v>
      </c>
      <c r="AY96" s="48">
        <f>VLOOKUP($B96&amp;$C96,'[1]FC3 Prod'!$A$6:$BP$36,[2]Consolidated!AY$1)</f>
        <v>0</v>
      </c>
      <c r="AZ96" s="47">
        <f>VLOOKUP($B96&amp;$C96,'[1]FC3 Prod'!$A$6:$BP$36,[2]Consolidated!AZ$1)</f>
        <v>0</v>
      </c>
      <c r="BA96" s="47">
        <f>VLOOKUP($B96&amp;$C96,'[1]FC3 Prod'!$A$6:$BP$36,[2]Consolidated!BA$1)</f>
        <v>0</v>
      </c>
      <c r="BB96" s="47">
        <f>VLOOKUP($B96&amp;$C96,'[1]FC3 Prod'!$A$6:$BP$36,[2]Consolidated!BB$1)</f>
        <v>0</v>
      </c>
      <c r="BC96" s="47">
        <f>VLOOKUP($B96&amp;$C96,'[1]FC3 Prod'!$A$6:$BP$36,[2]Consolidated!BC$1)</f>
        <v>0</v>
      </c>
      <c r="BD96" s="49">
        <f>VLOOKUP($B96&amp;$C96,'[1]FC3 Prod'!$A$6:$BP$36,[2]Consolidated!BD$1)</f>
        <v>0</v>
      </c>
      <c r="BE96" s="47">
        <f>VLOOKUP($B96&amp;$C96,'[1]FC3 Prod'!$A$6:$BP$36,[2]Consolidated!BE$1)</f>
        <v>0</v>
      </c>
      <c r="BF96" s="47">
        <f>VLOOKUP($B96&amp;$C96,'[1]FC3 Prod'!$A$6:$BP$36,[2]Consolidated!BF$1)</f>
        <v>0</v>
      </c>
      <c r="BG96" s="50">
        <f>VLOOKUP($B96&amp;$C96,'[1]FC3 Prod'!$A$6:$BP$36,[2]Consolidated!BG$1)</f>
        <v>0</v>
      </c>
      <c r="BH96" s="50">
        <f>VLOOKUP($B96&amp;$C96,'[1]FC3 Prod'!$A$6:$BP$36,[2]Consolidated!BH$1)</f>
        <v>0</v>
      </c>
      <c r="BI96" s="50">
        <f>VLOOKUP($B96&amp;$C96,'[1]FC3 Prod'!$A$6:$BP$36,[2]Consolidated!BI$1)</f>
        <v>0</v>
      </c>
      <c r="BJ96" s="37" t="e">
        <f>VLOOKUP($B96&amp;$C96,'[1]FC3 Prod'!$A$6:$BP$36,[2]Consolidated!BJ$1)</f>
        <v>#REF!</v>
      </c>
      <c r="BK96" s="37" t="e">
        <f>VLOOKUP($B96&amp;$C96,'[1]FC3 Prod'!$A$6:$BP$36,[2]Consolidated!BK$1)</f>
        <v>#REF!</v>
      </c>
      <c r="BL96" s="37" t="e">
        <f>VLOOKUP($B96&amp;$C96,'[1]FC3 Prod'!$A$6:$BP$36,[2]Consolidated!BL$1)</f>
        <v>#REF!</v>
      </c>
      <c r="BM96" s="37" t="e">
        <f>VLOOKUP($B96&amp;$C96,'[1]FC3 Prod'!$A$6:$BP$36,[2]Consolidated!BM$1)</f>
        <v>#REF!</v>
      </c>
      <c r="BN96" s="37" t="e">
        <f>VLOOKUP($B96&amp;$C96,'[1]FC3 Prod'!$A$6:$BP$36,[2]Consolidated!BN$1)</f>
        <v>#REF!</v>
      </c>
      <c r="BO96" s="37" t="e">
        <f>VLOOKUP($B96&amp;$C96,'[1]FC3 Prod'!$A$6:$BP$36,[2]Consolidated!BO$1)</f>
        <v>#REF!</v>
      </c>
      <c r="BP96" s="37" t="e">
        <f>VLOOKUP($B96&amp;$C96,'[1]FC3 Prod'!$A$6:$BP$36,[2]Consolidated!BP$1)</f>
        <v>#REF!</v>
      </c>
      <c r="BQ96" s="51" t="e">
        <f>VLOOKUP($B96&amp;$C96,'[1]FC3 Prod'!$A$6:$BP$36,[2]Consolidated!BQ$1)</f>
        <v>#REF!</v>
      </c>
      <c r="BR96" s="51">
        <f>VLOOKUP($B96&amp;$C96,'[1]FC3 Prod'!$A$6:$BQ$36,[2]Consolidated!BR$1)</f>
        <v>60369</v>
      </c>
      <c r="BS96" s="52">
        <f t="shared" si="115"/>
        <v>0</v>
      </c>
      <c r="BT96" s="32">
        <f t="shared" ref="BT96:BT97" si="117">BR96-BS96</f>
        <v>60369</v>
      </c>
      <c r="BU96" s="37">
        <f t="shared" ref="BU96:BU97" si="118">E96*BT96</f>
        <v>0</v>
      </c>
      <c r="BV96" s="53" t="s">
        <v>133</v>
      </c>
      <c r="BW96" s="54" cm="1">
        <f t="array" ref="BW96">IFERROR(VLOOKUP($A96,TRANSPOSE('[1]Fur 3 PLC'!$AS$1:$BX$38),8,0),0)</f>
        <v>0</v>
      </c>
      <c r="BX96" s="54" cm="1">
        <f t="array" ref="BX96">IFERROR(VLOOKUP($A96,TRANSPOSE('[1]Fur 3 PLC'!$AS$1:$BX$38),30,0),0)</f>
        <v>0</v>
      </c>
      <c r="BY96" s="54" cm="1">
        <f t="array" ref="BY96">IFERROR(VLOOKUP($A96,TRANSPOSE('[1]Fur 3 PLC'!$AS$1:$BX$38),14,0),0)</f>
        <v>0</v>
      </c>
      <c r="BZ96" s="54" cm="1">
        <f t="array" ref="BZ96">IFERROR(VLOOKUP($A96,TRANSPOSE('[1]Fur 3 PLC'!$AS$1:$BX$38),16,0),0)</f>
        <v>0</v>
      </c>
      <c r="CA96" s="54" cm="1">
        <f t="array" ref="CA96">IFERROR(VLOOKUP($A96,TRANSPOSE('[1]Fur 3 PLC'!$AS$1:$BX$38),9,0),0)</f>
        <v>0</v>
      </c>
      <c r="CB96" s="54" cm="1">
        <f t="array" ref="CB96">IFERROR(VLOOKUP($A96,TRANSPOSE('[1]Fur 3 PLC'!$AS$1:$BX$38),17,0),0)</f>
        <v>0</v>
      </c>
      <c r="CC96" s="54" cm="1">
        <f t="array" ref="CC96">IFERROR(VLOOKUP($A96,TRANSPOSE('[1]Fur 3 PLC'!$AS$1:$BX$38),20,0),0)</f>
        <v>0</v>
      </c>
      <c r="CD96" s="54" cm="1">
        <f t="array" ref="CD96">IFERROR(VLOOKUP($A96,TRANSPOSE('[1]Fur 3 PLC'!$AS$1:$BX$38),28,0),0)</f>
        <v>0</v>
      </c>
      <c r="CE96" s="54" cm="1">
        <f t="array" ref="CE96">IFERROR(VLOOKUP($A96,TRANSPOSE('[1]Fur 3 PLC'!$AS$1:$BX$38),13,0),0)</f>
        <v>0</v>
      </c>
      <c r="CF96" s="54" cm="1">
        <f t="array" ref="CF96">IFERROR(VLOOKUP($A96,TRANSPOSE('[1]Fur 3 PLC'!$AS$1:$BX$38),37,0),0)</f>
        <v>0</v>
      </c>
      <c r="CG96" s="54" cm="1">
        <f t="array" ref="CG96">IFERROR(VLOOKUP($A96,TRANSPOSE('[1]Fur 3 PLC'!$AS$1:$BX$38),6,0),0)</f>
        <v>0</v>
      </c>
      <c r="CH96" s="54" cm="1">
        <f t="array" ref="CH96">IFERROR(VLOOKUP($A96,TRANSPOSE('[1]Fur 3 PLC'!$AS$1:$BX$38),21,0),0)</f>
        <v>0</v>
      </c>
      <c r="CI96" s="54" cm="1">
        <f t="array" ref="CI96">IFERROR(VLOOKUP($A96,TRANSPOSE('[1]Fur 3 PLC'!$AS$1:$BX$38),12,0),0)</f>
        <v>0</v>
      </c>
      <c r="CJ96" s="54" cm="1">
        <f t="array" ref="CJ96">IFERROR(VLOOKUP($A96,TRANSPOSE('[1]Fur 3 PLC'!$AS$1:$BX$38),25,0),0)</f>
        <v>0</v>
      </c>
      <c r="CK96" s="54" cm="1">
        <f t="array" ref="CK96">IFERROR(VLOOKUP($A96,TRANSPOSE('[1]Fur 3 PLC'!$AS$1:$BX$38),26,0),0)</f>
        <v>0</v>
      </c>
      <c r="CL96" s="54" cm="1">
        <f t="array" ref="CL96">IFERROR(VLOOKUP($A96,TRANSPOSE('[1]Fur 3 PLC'!$AS$1:$BX$38),27,0),0)</f>
        <v>0</v>
      </c>
      <c r="CM96" s="54" cm="1">
        <f t="array" ref="CM96">IFERROR(VLOOKUP($A96,TRANSPOSE('[1]Fur 3 PLC'!$AS$1:$BX$38),22,0),0)</f>
        <v>0</v>
      </c>
      <c r="CN96" s="54"/>
      <c r="CO96" s="54" cm="1">
        <f t="array" ref="CO96">IFERROR(VLOOKUP($A96,TRANSPOSE('[1]Fur 3 PLC'!$AS$1:$BX$38),29,0),0)</f>
        <v>0</v>
      </c>
      <c r="CP96" s="54" cm="1">
        <f t="array" ref="CP96">IFERROR(VLOOKUP($A96,TRANSPOSE('[1]Fur 3 PLC'!$AS$1:$BX$38),10,0),0)</f>
        <v>0</v>
      </c>
      <c r="CQ96" s="54" cm="1">
        <f t="array" ref="CQ96">IFERROR(VLOOKUP($A96,TRANSPOSE('[1]Fur 3 PLC'!$AS$1:$BX$38),7,0),0)</f>
        <v>0</v>
      </c>
      <c r="CR96" s="54" cm="1">
        <f t="array" ref="CR96">IFERROR(VLOOKUP($A96,TRANSPOSE('[1]Fur 3 PLC'!$AS$1:$BX$38),35,0),0)</f>
        <v>0</v>
      </c>
      <c r="CS96" s="54" cm="1">
        <f t="array" ref="CS96">IFERROR(VLOOKUP($A96,TRANSPOSE('[1]Fur 3 PLC'!$AS$1:$BX$38),11,0),0)</f>
        <v>0</v>
      </c>
      <c r="CT96" s="54" cm="1">
        <f t="array" ref="CT96">IFERROR(VLOOKUP($A96,TRANSPOSE('[1]Fur 3 PLC'!$AS$1:$BX$38),19,0),0)</f>
        <v>0</v>
      </c>
      <c r="CU96" s="54" cm="1">
        <f t="array" ref="CU96">IFERROR(VLOOKUP($A96,TRANSPOSE('[1]Fur 3 PLC'!$AS$1:$BX$38),18,0),0)</f>
        <v>0</v>
      </c>
      <c r="CV96" s="54" cm="1">
        <f t="array" ref="CV96">IFERROR(VLOOKUP($A96,TRANSPOSE('[1]Fur 3 PLC'!$AR$1:$BV$38),15,0),0)</f>
        <v>0</v>
      </c>
      <c r="CW96" s="54" cm="1">
        <f t="array" ref="CW96">IFERROR(VLOOKUP($A96,TRANSPOSE('[1]Fur 3 PLC'!$CK$1:$DO$38),8,0),0)</f>
        <v>0</v>
      </c>
      <c r="CX96" s="54" cm="1">
        <f t="array" ref="CX96">IFERROR(VLOOKUP($A96,TRANSPOSE('[1]Fur 3 PLC'!$CK$1:$DO$38),30,0),0)</f>
        <v>0</v>
      </c>
      <c r="CY96" s="54" cm="1">
        <f t="array" ref="CY96">IFERROR(VLOOKUP($A96,TRANSPOSE('[1]Fur 3 PLC'!$CK$1:$DO$38),14,0),0)</f>
        <v>0</v>
      </c>
      <c r="CZ96" s="54" cm="1">
        <f t="array" ref="CZ96">IFERROR(VLOOKUP($A96,TRANSPOSE('[1]Fur 3 PLC'!$CK$1:$DO$38),16,0),0)</f>
        <v>0</v>
      </c>
      <c r="DA96" s="54" cm="1">
        <f t="array" ref="DA96">IFERROR(VLOOKUP($A96,TRANSPOSE('[1]Fur 3 PLC'!$CK$1:$DO$38),9,0),0)</f>
        <v>0</v>
      </c>
      <c r="DB96" s="55" cm="1">
        <f t="array" ref="DB96">IFERROR(VLOOKUP($A96,TRANSPOSE('[1]Fur 3 PLC'!$CK$1:$DO$38),17,0),0)</f>
        <v>0</v>
      </c>
      <c r="DC96" s="55" cm="1">
        <f t="array" ref="DC96">IFERROR(VLOOKUP($A96,TRANSPOSE('[1]Fur 3 PLC'!$CK$1:$DO$38),20,0),0)</f>
        <v>0</v>
      </c>
      <c r="DD96" s="54" cm="1">
        <f t="array" ref="DD96">IFERROR(VLOOKUP($A96,TRANSPOSE('[1]Fur 3 PLC'!$CK$1:$DO$38),28,0),0)</f>
        <v>0</v>
      </c>
      <c r="DE96" s="54" cm="1">
        <f t="array" ref="DE96">IFERROR(VLOOKUP($A96,TRANSPOSE('[1]Fur 3 PLC'!$CK$1:$DO$38),13,0),0)</f>
        <v>0</v>
      </c>
      <c r="DF96" s="54" cm="1">
        <f t="array" ref="DF96">IFERROR(VLOOKUP($A96,TRANSPOSE('[1]Fur 3 PLC'!$CK$1:$DO$38),37,0),0)</f>
        <v>0</v>
      </c>
      <c r="DG96" s="54" cm="1">
        <f t="array" ref="DG96">IFERROR(VLOOKUP($A96,TRANSPOSE('[1]Fur 3 PLC'!$CK$1:$DO$38),6,0),0)</f>
        <v>0</v>
      </c>
      <c r="DH96" s="54" cm="1">
        <f t="array" ref="DH96">IFERROR(VLOOKUP($A96,TRANSPOSE('[1]Fur 3 PLC'!$CK$1:$DO$38),21,0),0)</f>
        <v>0</v>
      </c>
      <c r="DI96" s="54" cm="1">
        <f t="array" ref="DI96">IFERROR(VLOOKUP($A96,TRANSPOSE('[1]Fur 3 PLC'!$CK$1:$DO$38),12,0),0)</f>
        <v>0</v>
      </c>
      <c r="DJ96" s="54" cm="1">
        <f t="array" ref="DJ96">IFERROR(VLOOKUP($A96,TRANSPOSE('[1]Fur 3 PLC'!$CK$1:$DO$38),25,0),0)</f>
        <v>0</v>
      </c>
      <c r="DK96" s="54" cm="1">
        <f t="array" ref="DK96">IFERROR(VLOOKUP($A96,TRANSPOSE('[1]Fur 3 PLC'!$CK$1:$DO$38),26,0),0)</f>
        <v>0</v>
      </c>
      <c r="DL96" s="54" cm="1">
        <f t="array" ref="DL96">IFERROR(VLOOKUP($A96,TRANSPOSE('[1]Fur 3 PLC'!$CK$1:$DO$38),27,0),0)</f>
        <v>0</v>
      </c>
      <c r="DM96" s="54" cm="1">
        <f t="array" ref="DM96">IFERROR(VLOOKUP($A96,TRANSPOSE('[1]Fur 3 PLC'!$CK$1:$DO$38),22,0),0)</f>
        <v>0</v>
      </c>
      <c r="DN96" s="54" cm="1">
        <f t="array" ref="DN96">IFERROR(VLOOKUP($A96,TRANSPOSE('[1]Fur 3 PLC'!$CK$1:$DO$38),19,0),0)</f>
        <v>0</v>
      </c>
      <c r="DO96" s="54" cm="1">
        <f t="array" ref="DO96">IFERROR(VLOOKUP($A96,TRANSPOSE('[1]Fur 3 PLC'!$CK$1:$DO$38),29,0),0)</f>
        <v>0</v>
      </c>
      <c r="DP96" s="54" cm="1">
        <f t="array" ref="DP96">IFERROR(VLOOKUP($A96,TRANSPOSE('[1]Fur 3 PLC'!$CK$1:$DO$38),10,0),0)</f>
        <v>0</v>
      </c>
      <c r="DQ96" s="54" cm="1">
        <f t="array" ref="DQ96">IFERROR(VLOOKUP($A96,TRANSPOSE('[1]Fur 3 PLC'!$CK$1:$DO$38),7,0),0)</f>
        <v>0</v>
      </c>
      <c r="DR96" s="54" cm="1">
        <f t="array" ref="DR96">IFERROR(VLOOKUP($A96,TRANSPOSE('[1]Fur 3 PLC'!$CK$1:$DO$38),35,0),0)</f>
        <v>0</v>
      </c>
      <c r="DS96" s="54" cm="1">
        <f t="array" ref="DS96">IFERROR(VLOOKUP($A96,TRANSPOSE('[1]Fur 3 PLC'!$CK$1:$DO$38),11,0),0)</f>
        <v>0</v>
      </c>
      <c r="DT96" s="54" cm="1">
        <f t="array" ref="DT96">IFERROR(VLOOKUP($A96,TRANSPOSE('[1]Fur 3 PLC'!$CK$1:$DO$38),19,0),0)</f>
        <v>0</v>
      </c>
      <c r="DU96" s="54" cm="1">
        <f t="array" ref="DU96">IFERROR(VLOOKUP($A96,TRANSPOSE('[1]Fur 3 PLC'!$CK$1:$DO$38),18,0),0)</f>
        <v>0</v>
      </c>
      <c r="DV96" s="54" cm="1">
        <f t="array" ref="DV96">IFERROR(VLOOKUP($A96,TRANSPOSE('[1]Fur 3 PLC'!$CK$1:$DO$38),15,0),0)</f>
        <v>0</v>
      </c>
      <c r="DW96" t="str">
        <f t="shared" si="116"/>
        <v>Dec-25</v>
      </c>
    </row>
    <row r="97" spans="1:127" x14ac:dyDescent="0.3">
      <c r="A97" s="28" t="str">
        <f t="shared" si="59"/>
        <v>F446015</v>
      </c>
      <c r="B97" s="29" t="s">
        <v>29</v>
      </c>
      <c r="C97" s="30">
        <f>C96</f>
        <v>46015</v>
      </c>
      <c r="D97" s="29" t="str">
        <f>VLOOKUP($B97&amp;$C97,'[1]FC4 Prod'!$A$6:$BP$36,[2]Consolidated!D$1)</f>
        <v>Mr.Ganesh Ghosh Ji</v>
      </c>
      <c r="E97" s="29">
        <f>VLOOKUP($B97&amp;$C97,'[1]FC4 Prod'!$A$6:$BP$36,[2]Consolidated!E$1)</f>
        <v>0</v>
      </c>
      <c r="F97" s="31">
        <f>VLOOKUP($B97&amp;$C97,'[1]FC4 Prod'!$A$6:$BP$36,[2]Consolidated!F$1)</f>
        <v>0</v>
      </c>
      <c r="G97" s="32" t="e">
        <f>VLOOKUP($B97&amp;$C97,'[1]FC4 Prod'!$A$6:$BP$36,[2]Consolidated!G$1)</f>
        <v>#REF!</v>
      </c>
      <c r="H97" s="32">
        <f>VLOOKUP($B97&amp;$C97,'[1]FC4 Prod'!$A$6:$BP$36,[2]Consolidated!H$1)</f>
        <v>0</v>
      </c>
      <c r="I97" s="32">
        <f>VLOOKUP($B97&amp;$C97,'[1]FC4 Prod'!$A$6:$BP$36,[2]Consolidated!I$1)</f>
        <v>0</v>
      </c>
      <c r="J97" s="32">
        <f>VLOOKUP($B97&amp;$C97,'[1]FC4 Prod'!$A$6:$BP$36,[2]Consolidated!J$1)</f>
        <v>0</v>
      </c>
      <c r="K97" s="32">
        <f>VLOOKUP($B97&amp;$C97,'[1]FC4 Prod'!$A$6:$BP$36,[2]Consolidated!K$1)</f>
        <v>0</v>
      </c>
      <c r="L97" s="32">
        <f>VLOOKUP($B97&amp;$C97,'[1]FC4 Prod'!$A$6:$BP$36,[2]Consolidated!L$1)</f>
        <v>0</v>
      </c>
      <c r="M97" s="32">
        <f>VLOOKUP($B97&amp;$C97,'[1]FC4 Prod'!$A$6:$BP$36,[2]Consolidated!M$1)</f>
        <v>0</v>
      </c>
      <c r="N97" s="32">
        <f>VLOOKUP($B97&amp;$C97,'[1]FC4 Prod'!$A$6:$BP$36,[2]Consolidated!N$1)</f>
        <v>0</v>
      </c>
      <c r="O97" s="32">
        <f>VLOOKUP($B97&amp;$C97,'[1]FC4 Prod'!$A$6:$BP$36,[2]Consolidated!O$1)</f>
        <v>0</v>
      </c>
      <c r="P97" s="33">
        <f>VLOOKUP($B97&amp;$C97,'[1]FC4 Prod'!$A$6:$BP$36,[2]Consolidated!P$1)</f>
        <v>8</v>
      </c>
      <c r="Q97" s="29">
        <f>VLOOKUP($B97&amp;$C97,'[1]FC4 Prod'!$A$6:$BP$36,[2]Consolidated!Q$1)</f>
        <v>0</v>
      </c>
      <c r="R97" s="29">
        <f>VLOOKUP($B97&amp;$C97,'[1]FC4 Prod'!$A$6:$BP$36,[2]Consolidated!R$1)</f>
        <v>0</v>
      </c>
      <c r="S97" s="34" t="e">
        <f>VLOOKUP($B97&amp;$C97,'[1]FC4 Prod'!$A$6:$BP$36,[2]Consolidated!S$1)</f>
        <v>#REF!</v>
      </c>
      <c r="T97" s="34" t="e">
        <f>VLOOKUP($B97&amp;$C97,'[1]FC4 Prod'!$A$6:$BP$36,[2]Consolidated!T$1)</f>
        <v>#REF!</v>
      </c>
      <c r="U97" s="34" t="e">
        <f>VLOOKUP($B97&amp;$C97,'[1]FC4 Prod'!$A$6:$BP$36,[2]Consolidated!U$1)</f>
        <v>#REF!</v>
      </c>
      <c r="V97" s="34">
        <f>VLOOKUP($B97&amp;$C97,'[1]FC4 Prod'!$A$6:$BP$36,[2]Consolidated!V$1)</f>
        <v>0</v>
      </c>
      <c r="W97" s="35">
        <f>VLOOKUP($B97&amp;$C97,'[1]FC4 Prod'!$A$6:$BP$36,[2]Consolidated!W$1)</f>
        <v>0</v>
      </c>
      <c r="X97" s="35">
        <f>VLOOKUP($B97&amp;$C97,'[1]FC4 Prod'!$A$6:$BP$36,[2]Consolidated!X$1)</f>
        <v>0</v>
      </c>
      <c r="Y97" s="36">
        <f>VLOOKUP($B97&amp;$C97,'[1]FC4 Prod'!$A$6:$BP$36,[2]Consolidated!Y$1)</f>
        <v>0</v>
      </c>
      <c r="Z97" s="37" t="e">
        <f>VLOOKUP($B97&amp;$C97,'[1]FC4 Prod'!$A$6:$BP$36,[2]Consolidated!Z$1)</f>
        <v>#REF!</v>
      </c>
      <c r="AA97" s="31">
        <f>VLOOKUP($B97&amp;$C97,'[1]FC4 Prod'!$A$6:$BP$36,[2]Consolidated!AA$1)</f>
        <v>0</v>
      </c>
      <c r="AB97" s="31">
        <f>VLOOKUP($B97&amp;$C97,'[1]FC4 Prod'!$A$6:$BP$36,[2]Consolidated!AB$1)</f>
        <v>0</v>
      </c>
      <c r="AC97" s="31">
        <f>VLOOKUP($B97&amp;$C97,'[1]FC4 Prod'!$A$6:$BP$36,[2]Consolidated!AC$1)</f>
        <v>0</v>
      </c>
      <c r="AD97" s="38">
        <f>VLOOKUP($B97&amp;$C97,'[1]FC4 Prod'!$A$6:$BP$36,[2]Consolidated!AD$1)</f>
        <v>0</v>
      </c>
      <c r="AE97" s="38">
        <f>VLOOKUP($B97&amp;$C97,'[1]FC4 Prod'!$A$6:$BP$36,[2]Consolidated!AE$1)</f>
        <v>0</v>
      </c>
      <c r="AF97" s="39">
        <f>VLOOKUP($B97&amp;$C97,'[1]FC4 Prod'!$A$6:$BP$36,[2]Consolidated!AF$1)</f>
        <v>0</v>
      </c>
      <c r="AG97" s="39">
        <f>VLOOKUP($B97&amp;$C97,'[1]FC4 Prod'!$A$6:$BP$36,[2]Consolidated!AG$1)</f>
        <v>0</v>
      </c>
      <c r="AH97" s="34">
        <f>VLOOKUP($B97&amp;$C97,'[1]FC4 Prod'!$A$6:$BP$36,[2]Consolidated!AH$1)</f>
        <v>0</v>
      </c>
      <c r="AI97" s="33">
        <f>VLOOKUP($B97&amp;$C97,'[1]FC4 Prod'!$A$6:$BP$36,[2]Consolidated!AI$1)</f>
        <v>0</v>
      </c>
      <c r="AJ97" s="39">
        <f>VLOOKUP($B97&amp;$C97,'[1]FC4 Prod'!$A$6:$BP$36,[2]Consolidated!AJ$1)</f>
        <v>0</v>
      </c>
      <c r="AK97" s="39">
        <f>VLOOKUP($B97&amp;$C97,'[1]FC4 Prod'!$A$6:$BP$36,[2]Consolidated!AK$1)</f>
        <v>0</v>
      </c>
      <c r="AL97" s="40" t="e">
        <f>VLOOKUP($B97&amp;$C97,'[1]FC4 Prod'!$A$6:$BP$36,[2]Consolidated!AL$1)</f>
        <v>#REF!</v>
      </c>
      <c r="AM97" s="41">
        <f>VLOOKUP($B97&amp;$C97,'[1]FC4 Prod'!$A$6:$BP$36,[2]Consolidated!AM$1)</f>
        <v>0</v>
      </c>
      <c r="AN97" s="42" t="e">
        <f>VLOOKUP($B97&amp;$C97,'[1]FC4 Prod'!$A$6:$BP$36,[2]Consolidated!AN$1)</f>
        <v>#REF!</v>
      </c>
      <c r="AO97" s="43" t="e">
        <f>VLOOKUP($B97&amp;$C97,'[1]FC4 Prod'!$A$6:$BP$36,[2]Consolidated!AO$1)</f>
        <v>#REF!</v>
      </c>
      <c r="AP97" s="44">
        <f>VLOOKUP($B97&amp;$C97,'[1]FC4 Prod'!$A$6:$BP$36,[2]Consolidated!AP$1)</f>
        <v>0</v>
      </c>
      <c r="AQ97" s="44">
        <f>VLOOKUP($B97&amp;$C97,'[1]FC4 Prod'!$A$6:$BP$36,[2]Consolidated!AQ$1)</f>
        <v>0</v>
      </c>
      <c r="AR97" s="45">
        <f>VLOOKUP($B97&amp;$C97,'[1]FC4 Prod'!$A$6:$BP$36,[2]Consolidated!AR$1)</f>
        <v>0</v>
      </c>
      <c r="AS97" s="46">
        <f>VLOOKUP($B97&amp;$C97,'[1]FC4 Prod'!$A$6:$BP$36,[2]Consolidated!AS$1)</f>
        <v>0</v>
      </c>
      <c r="AT97" s="29">
        <f>VLOOKUP($B97&amp;$C97,'[1]FC4 Prod'!$A$6:$BP$36,[2]Consolidated!AT$1)</f>
        <v>0</v>
      </c>
      <c r="AU97" s="34">
        <f>VLOOKUP($B97&amp;$C97,'[1]FC4 Prod'!$A$6:$BP$36,[2]Consolidated!AU$1)</f>
        <v>0</v>
      </c>
      <c r="AV97" s="34">
        <f>VLOOKUP($B97&amp;$C97,'[1]FC4 Prod'!$A$6:$BP$36,[2]Consolidated!AV$1)</f>
        <v>0</v>
      </c>
      <c r="AW97" s="47">
        <f>VLOOKUP($B97&amp;$C97,'[1]FC4 Prod'!$A$6:$BP$36,[2]Consolidated!AW$1)</f>
        <v>0</v>
      </c>
      <c r="AX97" s="47">
        <f>VLOOKUP($B97&amp;$C97,'[1]FC4 Prod'!$A$6:$BP$36,[2]Consolidated!AX$1)</f>
        <v>0</v>
      </c>
      <c r="AY97" s="48">
        <f>VLOOKUP($B97&amp;$C97,'[1]FC4 Prod'!$A$6:$BP$36,[2]Consolidated!AY$1)</f>
        <v>0</v>
      </c>
      <c r="AZ97" s="47">
        <f>VLOOKUP($B97&amp;$C97,'[1]FC4 Prod'!$A$6:$BP$36,[2]Consolidated!AZ$1)</f>
        <v>0</v>
      </c>
      <c r="BA97" s="47">
        <f>VLOOKUP($B97&amp;$C97,'[1]FC4 Prod'!$A$6:$BP$36,[2]Consolidated!BA$1)</f>
        <v>0</v>
      </c>
      <c r="BB97" s="47">
        <f>VLOOKUP($B97&amp;$C97,'[1]FC4 Prod'!$A$6:$BP$36,[2]Consolidated!BB$1)</f>
        <v>0</v>
      </c>
      <c r="BC97" s="47">
        <f>VLOOKUP($B97&amp;$C97,'[1]FC4 Prod'!$A$6:$BP$36,[2]Consolidated!BC$1)</f>
        <v>0</v>
      </c>
      <c r="BD97" s="49">
        <f>VLOOKUP($B97&amp;$C97,'[1]FC4 Prod'!$A$6:$BP$36,[2]Consolidated!BD$1)</f>
        <v>0</v>
      </c>
      <c r="BE97" s="47">
        <f>VLOOKUP($B97&amp;$C97,'[1]FC4 Prod'!$A$6:$BP$36,[2]Consolidated!BE$1)</f>
        <v>0</v>
      </c>
      <c r="BF97" s="47">
        <f>VLOOKUP($B97&amp;$C97,'[1]FC4 Prod'!$A$6:$BP$36,[2]Consolidated!BF$1)</f>
        <v>0</v>
      </c>
      <c r="BG97" s="50">
        <f>VLOOKUP($B97&amp;$C97,'[1]FC4 Prod'!$A$6:$BP$36,[2]Consolidated!BG$1)</f>
        <v>0</v>
      </c>
      <c r="BH97" s="50">
        <f>VLOOKUP($B97&amp;$C97,'[1]FC4 Prod'!$A$6:$BP$36,[2]Consolidated!BH$1)</f>
        <v>0</v>
      </c>
      <c r="BI97" s="50">
        <f>VLOOKUP($B97&amp;$C97,'[1]FC4 Prod'!$A$6:$BP$36,[2]Consolidated!BI$1)</f>
        <v>0</v>
      </c>
      <c r="BJ97" s="37" t="e">
        <f>VLOOKUP($B97&amp;$C97,'[1]FC4 Prod'!$A$6:$BP$36,[2]Consolidated!BJ$1)</f>
        <v>#REF!</v>
      </c>
      <c r="BK97" s="37" t="e">
        <f>VLOOKUP($B97&amp;$C97,'[1]FC4 Prod'!$A$6:$BP$36,[2]Consolidated!BK$1)</f>
        <v>#REF!</v>
      </c>
      <c r="BL97" s="37" t="e">
        <f>VLOOKUP($B97&amp;$C97,'[1]FC4 Prod'!$A$6:$BP$36,[2]Consolidated!BL$1)</f>
        <v>#REF!</v>
      </c>
      <c r="BM97" s="37" t="e">
        <f>VLOOKUP($B97&amp;$C97,'[1]FC4 Prod'!$A$6:$BP$36,[2]Consolidated!BM$1)</f>
        <v>#REF!</v>
      </c>
      <c r="BN97" s="37" t="e">
        <f>VLOOKUP($B97&amp;$C97,'[1]FC4 Prod'!$A$6:$BP$36,[2]Consolidated!BN$1)</f>
        <v>#REF!</v>
      </c>
      <c r="BO97" s="37" t="e">
        <f>VLOOKUP($B97&amp;$C97,'[1]FC4 Prod'!$A$6:$BP$36,[2]Consolidated!BO$1)</f>
        <v>#REF!</v>
      </c>
      <c r="BP97" s="37" t="e">
        <f>VLOOKUP($B97&amp;$C97,'[1]FC4 Prod'!$A$6:$BP$36,[2]Consolidated!BP$1)</f>
        <v>#REF!</v>
      </c>
      <c r="BQ97" s="51" t="e">
        <f>VLOOKUP($B97&amp;$C97,'[1]FC4 Prod'!$A$6:$BP$36,[2]Consolidated!BQ$1)</f>
        <v>#REF!</v>
      </c>
      <c r="BR97" s="51">
        <f>VLOOKUP($B97&amp;$C97,'[1]FC4 Prod'!$A$6:$BQ$36,[2]Consolidated!BR$1)</f>
        <v>41644</v>
      </c>
      <c r="BS97" s="52">
        <f t="shared" ref="BS97" si="119">BE97+BF97*110%+BG97+BA97</f>
        <v>0</v>
      </c>
      <c r="BT97" s="32">
        <f t="shared" si="117"/>
        <v>41644</v>
      </c>
      <c r="BU97" s="37">
        <f t="shared" si="118"/>
        <v>0</v>
      </c>
      <c r="BV97" s="53" t="s">
        <v>133</v>
      </c>
      <c r="BW97" s="54" cm="1">
        <f t="array" ref="BW97">IFERROR(VLOOKUP($A97,TRANSPOSE('[1]Fur 4 PLC'!$AR$1:$BV$39),8,0),0)</f>
        <v>0</v>
      </c>
      <c r="BX97" s="54" cm="1">
        <f t="array" ref="BX97">IFERROR(VLOOKUP($A97,TRANSPOSE('[1]Fur 4 PLC'!$AR$1:$BV$39),30,0),0)</f>
        <v>0</v>
      </c>
      <c r="BY97" s="54" cm="1">
        <f t="array" ref="BY97">IFERROR(VLOOKUP($A97,TRANSPOSE('[1]Fur 4 PLC'!$AR$1:$BV$39),14,0),0)</f>
        <v>0</v>
      </c>
      <c r="BZ97" s="54" cm="1">
        <f t="array" ref="BZ97">IFERROR(VLOOKUP($A97,TRANSPOSE('[1]Fur 4 PLC'!$AR$1:$BV$39),16,0),0)</f>
        <v>0</v>
      </c>
      <c r="CA97" s="54" cm="1">
        <f t="array" ref="CA97">IFERROR(VLOOKUP($A97,TRANSPOSE('[1]Fur 4 PLC'!$AR$1:$BV$39),9,0),0)</f>
        <v>0</v>
      </c>
      <c r="CB97" s="54" cm="1">
        <f t="array" ref="CB97">IFERROR(VLOOKUP($A97,TRANSPOSE('[1]Fur 4 PLC'!$AR$1:$BV$39),17,0),0)</f>
        <v>0</v>
      </c>
      <c r="CC97" s="54" cm="1">
        <f t="array" ref="CC97">IFERROR(VLOOKUP($A97,TRANSPOSE('[1]Fur 4 PLC'!$AR$1:$BV$39),20,0),0)</f>
        <v>0</v>
      </c>
      <c r="CD97" s="54" cm="1">
        <f t="array" ref="CD97">IFERROR(VLOOKUP($A97,TRANSPOSE('[1]Fur 4 PLC'!$AR$1:$BV$39),28,0),0)</f>
        <v>0</v>
      </c>
      <c r="CE97" s="54" cm="1">
        <f t="array" ref="CE97">IFERROR(VLOOKUP($A97,TRANSPOSE('[1]Fur 4 PLC'!$AR$1:$BV$39),13,0),0)</f>
        <v>0</v>
      </c>
      <c r="CF97" s="54" cm="1">
        <f t="array" ref="CF97">IFERROR(VLOOKUP($A97,TRANSPOSE('[1]Fur 4 PLC'!$AR$1:$BV$39),37,0),0)</f>
        <v>0</v>
      </c>
      <c r="CG97" s="54" cm="1">
        <f t="array" ref="CG97">IFERROR(VLOOKUP($A97,TRANSPOSE('[1]Fur 4 PLC'!$AR$1:$BV$39),6,0),0)</f>
        <v>0</v>
      </c>
      <c r="CH97" s="54" cm="1">
        <f t="array" ref="CH97">IFERROR(VLOOKUP($A97,TRANSPOSE('[1]Fur 4 PLC'!$AR$1:$BV$39),21,0),0)</f>
        <v>0</v>
      </c>
      <c r="CI97" s="54" cm="1">
        <f t="array" ref="CI97">IFERROR(VLOOKUP($A97,TRANSPOSE('[1]Fur 4 PLC'!$AR$1:$BV$39),12,0),0)</f>
        <v>0</v>
      </c>
      <c r="CJ97" s="54" cm="1">
        <f t="array" ref="CJ97">IFERROR(VLOOKUP($A97,TRANSPOSE('[1]Fur 4 PLC'!$AR$1:$BV$39),25,0),0)</f>
        <v>0</v>
      </c>
      <c r="CK97" s="54" cm="1">
        <f t="array" ref="CK97">IFERROR(VLOOKUP($A97,TRANSPOSE('[1]Fur 4 PLC'!$AR$1:$BV$39),26,0),0)</f>
        <v>0</v>
      </c>
      <c r="CL97" s="54" cm="1">
        <f t="array" ref="CL97">IFERROR(VLOOKUP($A97,TRANSPOSE('[1]Fur 4 PLC'!$AR$1:$BV$39),27,0),0)</f>
        <v>0</v>
      </c>
      <c r="CM97" s="54" cm="1">
        <f t="array" ref="CM97">IFERROR(VLOOKUP($A97,TRANSPOSE('[1]Fur 4 PLC'!$AR$1:$BV$39),22,0),0)</f>
        <v>0</v>
      </c>
      <c r="CN97" s="54"/>
      <c r="CO97" s="54" cm="1">
        <f t="array" ref="CO97">IFERROR(VLOOKUP($A97,TRANSPOSE('[1]Fur 4 PLC'!$AR$1:$BV$39),29,0),0)</f>
        <v>0</v>
      </c>
      <c r="CP97" s="54" cm="1">
        <f t="array" ref="CP97">IFERROR(VLOOKUP($A97,TRANSPOSE('[1]Fur 4 PLC'!$AR$1:$BV$39),10,0),0)</f>
        <v>0</v>
      </c>
      <c r="CQ97" s="54" cm="1">
        <f t="array" ref="CQ97">IFERROR(VLOOKUP($A97,TRANSPOSE('[1]Fur 4 PLC'!$AR$1:$BV$39),7,0),0)</f>
        <v>0</v>
      </c>
      <c r="CR97" s="54" cm="1">
        <f t="array" ref="CR97">IFERROR(VLOOKUP($A97,TRANSPOSE('[1]Fur 4 PLC'!$AR$1:$BV$39),36,0),0)</f>
        <v>0</v>
      </c>
      <c r="CS97" s="54" cm="1">
        <f t="array" ref="CS97">IFERROR(VLOOKUP($A97,TRANSPOSE('[1]Fur 4 PLC'!$AR$1:$BV$39),11,0),0)</f>
        <v>0</v>
      </c>
      <c r="CT97" s="54" cm="1">
        <f t="array" ref="CT97">IFERROR(VLOOKUP($A97,TRANSPOSE('[1]Fur 4 PLC'!$AR$1:$BV$39),19,0),0)</f>
        <v>0</v>
      </c>
      <c r="CU97" s="54" cm="1">
        <f t="array" ref="CU97">IFERROR(VLOOKUP($A97,TRANSPOSE('[1]Fur 4 PLC'!$AR$1:$BV$39),18,0),0)</f>
        <v>0</v>
      </c>
      <c r="CV97" s="54" cm="1">
        <f t="array" ref="CV97">IFERROR(VLOOKUP($A97,TRANSPOSE('[1]Fur 4 PLC'!$AR$1:$BV$38),15,0),0)</f>
        <v>0</v>
      </c>
      <c r="CW97" s="54" cm="1">
        <f t="array" ref="CW97">IFERROR(VLOOKUP($A97,TRANSPOSE('[1]Fur 4 PLC'!$CK$1:$DO$39),8,0),0)</f>
        <v>0</v>
      </c>
      <c r="CX97" s="54" cm="1">
        <f t="array" ref="CX97">IFERROR(VLOOKUP($A97,TRANSPOSE('[1]Fur 4 PLC'!$CK$1:$DO$39),30,0),0)</f>
        <v>0</v>
      </c>
      <c r="CY97" s="54" cm="1">
        <f t="array" ref="CY97">IFERROR(VLOOKUP($A97,TRANSPOSE('[1]Fur 4 PLC'!$CK$1:$DO$39),14,0),0)</f>
        <v>0</v>
      </c>
      <c r="CZ97" s="54" cm="1">
        <f t="array" ref="CZ97">IFERROR(VLOOKUP($A97,TRANSPOSE('[1]Fur 4 PLC'!$CK$1:$DO$39),16,0),0)</f>
        <v>0</v>
      </c>
      <c r="DA97" s="54" cm="1">
        <f t="array" ref="DA97">IFERROR(VLOOKUP($A97,TRANSPOSE('[1]Fur 4 PLC'!$CK$1:$DO$39),9,0),0)</f>
        <v>0</v>
      </c>
      <c r="DB97" s="55" cm="1">
        <f t="array" ref="DB97">IFERROR(VLOOKUP($A97,TRANSPOSE('[1]Fur 4 PLC'!$CK$1:$DO$39),17,0),0)</f>
        <v>0</v>
      </c>
      <c r="DC97" s="55" cm="1">
        <f t="array" ref="DC97">IFERROR(VLOOKUP($A97,TRANSPOSE('[1]Fur 4 PLC'!$CK$1:$DO$39),20,0),0)</f>
        <v>0</v>
      </c>
      <c r="DD97" s="54" cm="1">
        <f t="array" ref="DD97">IFERROR(VLOOKUP($A97,TRANSPOSE('[1]Fur 4 PLC'!$CK$1:$DO$39),28,0),0)</f>
        <v>0</v>
      </c>
      <c r="DE97" s="54" cm="1">
        <f t="array" ref="DE97">IFERROR(VLOOKUP($A97,TRANSPOSE('[1]Fur 4 PLC'!$CK$1:$DO$39),13,0),0)</f>
        <v>0</v>
      </c>
      <c r="DF97" s="54" cm="1">
        <f t="array" ref="DF97">IFERROR(VLOOKUP($A97,TRANSPOSE('[1]Fur 4 PLC'!$CK$1:$DO$39),37,0),0)</f>
        <v>0</v>
      </c>
      <c r="DG97" s="54" cm="1">
        <f t="array" ref="DG97">IFERROR(VLOOKUP($A97,TRANSPOSE('[1]Fur 4 PLC'!$CK$1:$DO$39),6,0),0)</f>
        <v>0</v>
      </c>
      <c r="DH97" s="54" cm="1">
        <f t="array" ref="DH97">IFERROR(VLOOKUP($A97,TRANSPOSE('[1]Fur 4 PLC'!$CK$1:$DO$39),21,0),0)</f>
        <v>0</v>
      </c>
      <c r="DI97" s="54" cm="1">
        <f t="array" ref="DI97">IFERROR(VLOOKUP($A97,TRANSPOSE('[1]Fur 4 PLC'!$CK$1:$DO$39),12,0),0)</f>
        <v>0</v>
      </c>
      <c r="DJ97" s="54" cm="1">
        <f t="array" ref="DJ97">IFERROR(VLOOKUP($A97,TRANSPOSE('[1]Fur 4 PLC'!$CK$1:$DO$39),25,0),0)</f>
        <v>0</v>
      </c>
      <c r="DK97" s="54" cm="1">
        <f t="array" ref="DK97">IFERROR(VLOOKUP($A97,TRANSPOSE('[1]Fur 4 PLC'!$CK$1:$DO$39),26,0),0)</f>
        <v>0</v>
      </c>
      <c r="DL97" s="54" cm="1">
        <f t="array" ref="DL97">IFERROR(VLOOKUP($A97,TRANSPOSE('[1]Fur 4 PLC'!$CK$1:$DO$39),27,0),0)</f>
        <v>0</v>
      </c>
      <c r="DM97" s="54" cm="1">
        <f t="array" ref="DM97">IFERROR(VLOOKUP($A97,TRANSPOSE('[1]Fur 4 PLC'!$CK$1:$DO$39),22,0),0)</f>
        <v>0</v>
      </c>
      <c r="DN97" s="54" cm="1">
        <f t="array" ref="DN97">IFERROR(VLOOKUP($A97,TRANSPOSE('[1]Fur 4 PLC'!$CK$1:$DO$39),19,0),0)</f>
        <v>0</v>
      </c>
      <c r="DO97" s="54" cm="1">
        <f t="array" ref="DO97">IFERROR(VLOOKUP($A97,TRANSPOSE('[1]Fur 4 PLC'!$CK$1:$DO$39),29,0),0)</f>
        <v>0</v>
      </c>
      <c r="DP97" s="54" cm="1">
        <f t="array" ref="DP97">IFERROR(VLOOKUP($A97,TRANSPOSE('[1]Fur 4 PLC'!$CK$1:$DO$39),10,0),0)</f>
        <v>0</v>
      </c>
      <c r="DQ97" s="54" cm="1">
        <f t="array" ref="DQ97">IFERROR(VLOOKUP($A97,TRANSPOSE('[1]Fur 4 PLC'!$CK$1:$DO$39),7,0),0)</f>
        <v>0</v>
      </c>
      <c r="DR97" s="54" cm="1">
        <f t="array" ref="DR97">IFERROR(VLOOKUP($A97,TRANSPOSE('[1]Fur 4 PLC'!$CK$1:$DO$39),36,0),0)</f>
        <v>0</v>
      </c>
      <c r="DS97" s="54" cm="1">
        <f t="array" ref="DS97">IFERROR(VLOOKUP($A97,TRANSPOSE('[1]Fur 4 PLC'!$CK$1:$DO$39),11,0),0)</f>
        <v>0</v>
      </c>
      <c r="DT97" s="54" cm="1">
        <f t="array" ref="DT97">IFERROR(VLOOKUP($A97,TRANSPOSE('[1]Fur 4 PLC'!$CK$1:$DO$39),19,0),0)</f>
        <v>0</v>
      </c>
      <c r="DU97" s="54" cm="1">
        <f t="array" ref="DU97">IFERROR(VLOOKUP($A97,TRANSPOSE('[1]Fur 4 PLC'!$CK$1:$DO$39),18,0),0)</f>
        <v>0</v>
      </c>
      <c r="DV97" s="54" cm="1">
        <f t="array" ref="DV97">IFERROR(VLOOKUP($A97,TRANSPOSE('[1]Fur 4 PLC'!$CK$1:$DO$39),15,0),0)</f>
        <v>0</v>
      </c>
      <c r="DW97" t="str">
        <f t="shared" si="116"/>
        <v>Dec-25</v>
      </c>
    </row>
    <row r="98" spans="1:127" x14ac:dyDescent="0.3">
      <c r="A98" s="28" t="str">
        <f t="shared" si="59"/>
        <v>F146016</v>
      </c>
      <c r="B98" s="29" t="s">
        <v>26</v>
      </c>
      <c r="C98" s="30">
        <f>C94+1</f>
        <v>46016</v>
      </c>
      <c r="D98" s="29" t="str">
        <f>VLOOKUP($B98&amp;$C98,'[1]FC1 Prod'!$A$6:$BP$36,[2]Consolidated!D$1)</f>
        <v>Raju Singh</v>
      </c>
      <c r="E98" s="29">
        <f>VLOOKUP($B98&amp;$C98,'[1]FC1 Prod'!$A$6:$BP$36,[2]Consolidated!E$1)</f>
        <v>0</v>
      </c>
      <c r="F98" s="31">
        <f>VLOOKUP($B98&amp;$C98,'[1]FC1 Prod'!$A$6:$BP$36,[2]Consolidated!F$1)</f>
        <v>0</v>
      </c>
      <c r="G98" s="32" t="e">
        <f>VLOOKUP($B98&amp;$C98,'[1]FC1 Prod'!$A$6:$BP$36,[2]Consolidated!G$1)</f>
        <v>#REF!</v>
      </c>
      <c r="H98" s="32">
        <f>VLOOKUP($B98&amp;$C98,'[1]FC1 Prod'!$A$6:$BP$36,[2]Consolidated!H$1)</f>
        <v>0</v>
      </c>
      <c r="I98" s="32">
        <f>VLOOKUP($B98&amp;$C98,'[1]FC1 Prod'!$A$6:$BP$36,[2]Consolidated!I$1)</f>
        <v>0</v>
      </c>
      <c r="J98" s="32">
        <f>VLOOKUP($B98&amp;$C98,'[1]FC1 Prod'!$A$6:$BP$36,[2]Consolidated!J$1)</f>
        <v>0</v>
      </c>
      <c r="K98" s="32">
        <f>VLOOKUP($B98&amp;$C98,'[1]FC1 Prod'!$A$6:$BP$36,[2]Consolidated!K$1)</f>
        <v>0</v>
      </c>
      <c r="L98" s="32">
        <f>VLOOKUP($B98&amp;$C98,'[1]FC1 Prod'!$A$6:$BP$36,[2]Consolidated!L$1)</f>
        <v>0</v>
      </c>
      <c r="M98" s="32">
        <f>VLOOKUP($B98&amp;$C98,'[1]FC1 Prod'!$A$6:$BP$36,[2]Consolidated!M$1)</f>
        <v>0</v>
      </c>
      <c r="N98" s="32">
        <f>VLOOKUP($B98&amp;$C98,'[1]FC1 Prod'!$A$6:$BP$36,[2]Consolidated!N$1)</f>
        <v>0</v>
      </c>
      <c r="O98" s="32">
        <f>VLOOKUP($B98&amp;$C98,'[1]FC1 Prod'!$A$6:$BP$36,[2]Consolidated!O$1)</f>
        <v>0</v>
      </c>
      <c r="P98" s="33">
        <f>VLOOKUP($B98&amp;$C98,'[1]FC1 Prod'!$A$6:$BP$36,[2]Consolidated!P$1)</f>
        <v>2</v>
      </c>
      <c r="Q98" s="29">
        <f>VLOOKUP($B98&amp;$C98,'[1]FC1 Prod'!$A$6:$BP$36,[2]Consolidated!Q$1)</f>
        <v>0</v>
      </c>
      <c r="R98" s="29">
        <f>VLOOKUP($B98&amp;$C98,'[1]FC1 Prod'!$A$6:$BP$36,[2]Consolidated!R$1)</f>
        <v>0</v>
      </c>
      <c r="S98" s="34" t="e">
        <f>VLOOKUP($B98&amp;$C98,'[1]FC1 Prod'!$A$6:$BP$36,[2]Consolidated!S$1)</f>
        <v>#REF!</v>
      </c>
      <c r="T98" s="34" t="e">
        <f>VLOOKUP($B98&amp;$C98,'[1]FC1 Prod'!$A$6:$BP$36,[2]Consolidated!T$1)</f>
        <v>#REF!</v>
      </c>
      <c r="U98" s="34" t="e">
        <f>VLOOKUP($B98&amp;$C98,'[1]FC1 Prod'!$A$6:$BP$36,[2]Consolidated!U$1)</f>
        <v>#REF!</v>
      </c>
      <c r="V98" s="34">
        <f>VLOOKUP($B98&amp;$C98,'[1]FC1 Prod'!$A$6:$BP$36,[2]Consolidated!V$1)</f>
        <v>0</v>
      </c>
      <c r="W98" s="35">
        <f>VLOOKUP($B98&amp;$C98,'[1]FC1 Prod'!$A$6:$BP$36,[2]Consolidated!W$1)</f>
        <v>0</v>
      </c>
      <c r="X98" s="35">
        <f>VLOOKUP($B98&amp;$C98,'[1]FC1 Prod'!$A$6:$BP$36,[2]Consolidated!X$1)</f>
        <v>0</v>
      </c>
      <c r="Y98" s="36">
        <f>VLOOKUP($B98&amp;$C98,'[1]FC1 Prod'!$A$6:$BP$36,[2]Consolidated!Y$1)</f>
        <v>0</v>
      </c>
      <c r="Z98" s="37" t="e">
        <f>VLOOKUP($B98&amp;$C98,'[1]FC1 Prod'!$A$6:$BP$36,[2]Consolidated!Z$1)</f>
        <v>#REF!</v>
      </c>
      <c r="AA98" s="31">
        <f>VLOOKUP($B98&amp;$C98,'[1]FC1 Prod'!$A$6:$BP$36,[2]Consolidated!AA$1)</f>
        <v>0</v>
      </c>
      <c r="AB98" s="31">
        <f>VLOOKUP($B98&amp;$C98,'[1]FC1 Prod'!$A$6:$BP$36,[2]Consolidated!AB$1)</f>
        <v>0</v>
      </c>
      <c r="AC98" s="31">
        <f>VLOOKUP($B98&amp;$C98,'[1]FC1 Prod'!$A$6:$BP$36,[2]Consolidated!AC$1)</f>
        <v>0</v>
      </c>
      <c r="AD98" s="38">
        <f>VLOOKUP($B98&amp;$C98,'[1]FC1 Prod'!$A$6:$BP$36,[2]Consolidated!AD$1)</f>
        <v>0</v>
      </c>
      <c r="AE98" s="38">
        <f>VLOOKUP($B98&amp;$C98,'[1]FC1 Prod'!$A$6:$BP$36,[2]Consolidated!AE$1)</f>
        <v>0</v>
      </c>
      <c r="AF98" s="39">
        <f>VLOOKUP($B98&amp;$C98,'[1]FC1 Prod'!$A$6:$BP$36,[2]Consolidated!AF$1)</f>
        <v>0</v>
      </c>
      <c r="AG98" s="39">
        <f>VLOOKUP($B98&amp;$C98,'[1]FC1 Prod'!$A$6:$BP$36,[2]Consolidated!AG$1)</f>
        <v>0</v>
      </c>
      <c r="AH98" s="34">
        <f>VLOOKUP($B98&amp;$C98,'[1]FC1 Prod'!$A$6:$BP$36,[2]Consolidated!AH$1)</f>
        <v>0</v>
      </c>
      <c r="AI98" s="33">
        <f>VLOOKUP($B98&amp;$C98,'[1]FC1 Prod'!$A$6:$BP$36,[2]Consolidated!AI$1)</f>
        <v>0</v>
      </c>
      <c r="AJ98" s="39">
        <f>VLOOKUP($B98&amp;$C98,'[1]FC1 Prod'!$A$6:$BP$36,[2]Consolidated!AJ$1)</f>
        <v>0</v>
      </c>
      <c r="AK98" s="39">
        <f>VLOOKUP($B98&amp;$C98,'[1]FC1 Prod'!$A$6:$BP$36,[2]Consolidated!AK$1)</f>
        <v>0</v>
      </c>
      <c r="AL98" s="40" t="e">
        <f>VLOOKUP($B98&amp;$C98,'[1]FC1 Prod'!$A$6:$BP$36,[2]Consolidated!AL$1)</f>
        <v>#REF!</v>
      </c>
      <c r="AM98" s="41">
        <f>VLOOKUP($B98&amp;$C98,'[1]FC1 Prod'!$A$6:$BP$36,[2]Consolidated!AM$1)</f>
        <v>0</v>
      </c>
      <c r="AN98" s="42" t="e">
        <f>VLOOKUP($B98&amp;$C98,'[1]FC1 Prod'!$A$6:$BP$36,[2]Consolidated!AN$1)</f>
        <v>#REF!</v>
      </c>
      <c r="AO98" s="43" t="e">
        <f>VLOOKUP($B98&amp;$C98,'[1]FC1 Prod'!$A$6:$BP$36,[2]Consolidated!AO$1)</f>
        <v>#REF!</v>
      </c>
      <c r="AP98" s="44">
        <f>VLOOKUP($B98&amp;$C98,'[1]FC1 Prod'!$A$6:$BP$36,[2]Consolidated!AP$1)</f>
        <v>0</v>
      </c>
      <c r="AQ98" s="44">
        <f>VLOOKUP($B98&amp;$C98,'[1]FC1 Prod'!$A$6:$BP$36,[2]Consolidated!AQ$1)</f>
        <v>0</v>
      </c>
      <c r="AR98" s="45">
        <f>VLOOKUP($B98&amp;$C98,'[1]FC1 Prod'!$A$6:$BP$36,[2]Consolidated!AR$1)</f>
        <v>0</v>
      </c>
      <c r="AS98" s="46">
        <f>VLOOKUP($B98&amp;$C98,'[1]FC1 Prod'!$A$6:$BP$36,[2]Consolidated!AS$1)</f>
        <v>0</v>
      </c>
      <c r="AT98" s="29">
        <f>VLOOKUP($B98&amp;$C98,'[1]FC1 Prod'!$A$6:$BP$36,[2]Consolidated!AT$1)</f>
        <v>0</v>
      </c>
      <c r="AU98" s="34">
        <f>VLOOKUP($B98&amp;$C98,'[1]FC1 Prod'!$A$6:$BP$36,[2]Consolidated!AU$1)</f>
        <v>0</v>
      </c>
      <c r="AV98" s="34">
        <f>VLOOKUP($B98&amp;$C98,'[1]FC1 Prod'!$A$6:$BP$36,[2]Consolidated!AV$1)</f>
        <v>0</v>
      </c>
      <c r="AW98" s="47">
        <f>VLOOKUP($B98&amp;$C98,'[1]FC1 Prod'!$A$6:$BP$36,[2]Consolidated!AW$1)</f>
        <v>0</v>
      </c>
      <c r="AX98" s="47">
        <f>VLOOKUP($B98&amp;$C98,'[1]FC1 Prod'!$A$6:$BP$36,[2]Consolidated!AX$1)</f>
        <v>0</v>
      </c>
      <c r="AY98" s="48">
        <f>VLOOKUP($B98&amp;$C98,'[1]FC1 Prod'!$A$6:$BP$36,[2]Consolidated!AY$1)</f>
        <v>0</v>
      </c>
      <c r="AZ98" s="47">
        <f>VLOOKUP($B98&amp;$C98,'[1]FC1 Prod'!$A$6:$BP$36,[2]Consolidated!AZ$1)</f>
        <v>0</v>
      </c>
      <c r="BA98" s="47">
        <f>VLOOKUP($B98&amp;$C98,'[1]FC1 Prod'!$A$6:$BP$36,[2]Consolidated!BA$1)</f>
        <v>0</v>
      </c>
      <c r="BB98" s="47">
        <f>VLOOKUP($B98&amp;$C98,'[1]FC1 Prod'!$A$6:$BP$36,[2]Consolidated!BB$1)</f>
        <v>0</v>
      </c>
      <c r="BC98" s="47">
        <f>VLOOKUP($B98&amp;$C98,'[1]FC1 Prod'!$A$6:$BP$36,[2]Consolidated!BC$1)</f>
        <v>0</v>
      </c>
      <c r="BD98" s="49">
        <f>VLOOKUP($B98&amp;$C98,'[1]FC1 Prod'!$A$6:$BP$36,[2]Consolidated!BD$1)</f>
        <v>0</v>
      </c>
      <c r="BE98" s="47">
        <f>VLOOKUP($B98&amp;$C98,'[1]FC1 Prod'!$A$6:$BP$36,[2]Consolidated!BE$1)</f>
        <v>0</v>
      </c>
      <c r="BF98" s="47">
        <f>VLOOKUP($B98&amp;$C98,'[1]FC1 Prod'!$A$6:$BP$36,[2]Consolidated!BF$1)</f>
        <v>0</v>
      </c>
      <c r="BG98" s="50">
        <f>VLOOKUP($B98&amp;$C98,'[1]FC1 Prod'!$A$6:$BP$36,[2]Consolidated!BG$1)</f>
        <v>0</v>
      </c>
      <c r="BH98" s="50">
        <f>VLOOKUP($B98&amp;$C98,'[1]FC1 Prod'!$A$6:$BP$36,[2]Consolidated!BH$1)</f>
        <v>0</v>
      </c>
      <c r="BI98" s="50">
        <f>VLOOKUP($B98&amp;$C98,'[1]FC1 Prod'!$A$6:$BP$36,[2]Consolidated!BI$1)</f>
        <v>0</v>
      </c>
      <c r="BJ98" s="37" t="e">
        <f>VLOOKUP($B98&amp;$C98,'[1]FC1 Prod'!$A$6:$BP$36,[2]Consolidated!BJ$1)</f>
        <v>#REF!</v>
      </c>
      <c r="BK98" s="37" t="e">
        <f>VLOOKUP($B98&amp;$C98,'[1]FC1 Prod'!$A$6:$BP$36,[2]Consolidated!BK$1)</f>
        <v>#REF!</v>
      </c>
      <c r="BL98" s="37" t="e">
        <f>VLOOKUP($B98&amp;$C98,'[1]FC1 Prod'!$A$6:$BP$36,[2]Consolidated!BL$1)</f>
        <v>#REF!</v>
      </c>
      <c r="BM98" s="37" t="e">
        <f>VLOOKUP($B98&amp;$C98,'[1]FC1 Prod'!$A$6:$BP$36,[2]Consolidated!BM$1)</f>
        <v>#REF!</v>
      </c>
      <c r="BN98" s="37" t="e">
        <f>VLOOKUP($B98&amp;$C98,'[1]FC1 Prod'!$A$6:$BP$36,[2]Consolidated!BN$1)</f>
        <v>#REF!</v>
      </c>
      <c r="BO98" s="37" t="e">
        <f>VLOOKUP($B98&amp;$C98,'[1]FC1 Prod'!$A$6:$BP$36,[2]Consolidated!BO$1)</f>
        <v>#REF!</v>
      </c>
      <c r="BP98" s="37" t="e">
        <f>VLOOKUP($B98&amp;$C98,'[1]FC1 Prod'!$A$6:$BP$36,[2]Consolidated!BP$1)</f>
        <v>#REF!</v>
      </c>
      <c r="BQ98" s="51" t="e">
        <f>VLOOKUP($B98&amp;$C98,'[1]FC1 Prod'!$A$6:$BP$36,[2]Consolidated!BQ$1)</f>
        <v>#REF!</v>
      </c>
      <c r="BR98" s="51">
        <f>VLOOKUP($B98&amp;$C98,'[1]FC1 Prod'!$A$6:$BQ$36,[2]Consolidated!BR$1)</f>
        <v>69902</v>
      </c>
      <c r="BS98" s="52">
        <f t="shared" ref="BS98:BS100" si="120">BE98+BF98+BG98+BA98</f>
        <v>0</v>
      </c>
      <c r="BT98" s="32">
        <f>BR98-BS98</f>
        <v>69902</v>
      </c>
      <c r="BU98" s="37">
        <f>E98*BT98</f>
        <v>0</v>
      </c>
      <c r="BV98" s="53" t="s">
        <v>133</v>
      </c>
      <c r="BW98" s="54" cm="1">
        <f t="array" ref="BW98">IFERROR(VLOOKUP($A98,TRANSPOSE('[1]Fur 1 PLC'!$AR$1:$BV$38),8,0),0)</f>
        <v>0</v>
      </c>
      <c r="BX98" s="54" cm="1">
        <f t="array" ref="BX98">IFERROR(VLOOKUP($A98,TRANSPOSE('[1]Fur 1 PLC'!$AR$1:$BV$38),30,0),0)</f>
        <v>0</v>
      </c>
      <c r="BY98" s="54" cm="1">
        <f t="array" ref="BY98">IFERROR(VLOOKUP($A98,TRANSPOSE('[1]Fur 1 PLC'!$AR$1:$BV$38),14,0),0)</f>
        <v>0</v>
      </c>
      <c r="BZ98" s="54" cm="1">
        <f t="array" ref="BZ98">IFERROR(VLOOKUP($A98,TRANSPOSE('[1]Fur 1 PLC'!$AR$1:$BV$38),16,0),0)</f>
        <v>0</v>
      </c>
      <c r="CA98" s="54" cm="1">
        <f t="array" ref="CA98">IFERROR(VLOOKUP($A98,TRANSPOSE('[1]Fur 1 PLC'!$AR$1:$BV$38),9,0),0)</f>
        <v>0</v>
      </c>
      <c r="CB98" s="54" cm="1">
        <f t="array" ref="CB98">IFERROR(VLOOKUP($A98,TRANSPOSE('[1]Fur 1 PLC'!$AR$1:$BV$38),17,0),0)</f>
        <v>0</v>
      </c>
      <c r="CC98" s="54" cm="1">
        <f t="array" ref="CC98">IFERROR(VLOOKUP($A98,TRANSPOSE('[1]Fur 1 PLC'!$AR$1:$BV$38),20,0),0)</f>
        <v>0</v>
      </c>
      <c r="CD98" s="54" cm="1">
        <f t="array" ref="CD98">IFERROR(VLOOKUP($A98,TRANSPOSE('[1]Fur 1 PLC'!$AR$1:$BV$38),28,0),0)</f>
        <v>0</v>
      </c>
      <c r="CE98" s="54" cm="1">
        <f t="array" ref="CE98">IFERROR(VLOOKUP($A98,TRANSPOSE('[1]Fur 1 PLC'!$AR$1:$BV$38),13,0),0)</f>
        <v>0</v>
      </c>
      <c r="CF98" s="54" cm="1">
        <f t="array" ref="CF98">IFERROR(VLOOKUP($A98,TRANSPOSE('[1]Fur 1 PLC'!$AR$1:$BV$38),37,0),0)</f>
        <v>0</v>
      </c>
      <c r="CG98" s="54" cm="1">
        <f t="array" ref="CG98">IFERROR(VLOOKUP($A98,TRANSPOSE('[1]Fur 1 PLC'!$AR$1:$BV$38),6,0),0)</f>
        <v>0</v>
      </c>
      <c r="CH98" s="54" cm="1">
        <f t="array" ref="CH98">IFERROR(VLOOKUP($A98,TRANSPOSE('[1]Fur 1 PLC'!$AR$1:$BV$38),21,0),0)</f>
        <v>0</v>
      </c>
      <c r="CI98" s="54" cm="1">
        <f t="array" ref="CI98">IFERROR(VLOOKUP($A98,TRANSPOSE('[1]Fur 1 PLC'!$AR$1:$BV$38),12,0),0)</f>
        <v>0</v>
      </c>
      <c r="CJ98" s="54" cm="1">
        <f t="array" ref="CJ98">IFERROR(VLOOKUP($A98,TRANSPOSE('[1]Fur 1 PLC'!$AR$1:$BV$38),25,0),0)</f>
        <v>0</v>
      </c>
      <c r="CK98" s="54" cm="1">
        <f t="array" ref="CK98">IFERROR(VLOOKUP($A98,TRANSPOSE('[1]Fur 1 PLC'!$AR$1:$BV$38),26,0),0)</f>
        <v>0</v>
      </c>
      <c r="CL98" s="54" cm="1">
        <f t="array" ref="CL98">IFERROR(VLOOKUP($A98,TRANSPOSE('[1]Fur 1 PLC'!$AR$1:$BV$38),27,0),0)</f>
        <v>0</v>
      </c>
      <c r="CM98" s="54" cm="1">
        <f t="array" ref="CM98">IFERROR(VLOOKUP($A98,TRANSPOSE('[1]Fur 1 PLC'!$AR$1:$BV$38),22,0),0)</f>
        <v>0</v>
      </c>
      <c r="CN98" s="54"/>
      <c r="CO98" s="54" cm="1">
        <f t="array" ref="CO98">IFERROR(VLOOKUP($A98,TRANSPOSE('[1]Fur 1 PLC'!$AR$1:$BV$38),29,0),0)</f>
        <v>0</v>
      </c>
      <c r="CP98" s="54" cm="1">
        <f t="array" ref="CP98">IFERROR(VLOOKUP($A98,TRANSPOSE('[1]Fur 1 PLC'!$AR$1:$BV$38),10,0),0)</f>
        <v>0</v>
      </c>
      <c r="CQ98" s="54" cm="1">
        <f t="array" ref="CQ98">IFERROR(VLOOKUP($A98,TRANSPOSE('[1]Fur 1 PLC'!$AR$1:$BV$38),7,0),0)</f>
        <v>0</v>
      </c>
      <c r="CR98" s="54" cm="1">
        <f t="array" ref="CR98">IFERROR(VLOOKUP($A98,TRANSPOSE('[1]Fur 1 PLC'!$AR$1:$BV$38),35,0),0)</f>
        <v>0</v>
      </c>
      <c r="CS98" s="54" cm="1">
        <f t="array" ref="CS98">IFERROR(VLOOKUP($A98,TRANSPOSE('[1]Fur 1 PLC'!$AR$1:$BV$38),11,0),0)</f>
        <v>0</v>
      </c>
      <c r="CT98" s="54" cm="1">
        <f t="array" ref="CT98">IFERROR(VLOOKUP($A98,TRANSPOSE('[1]Fur 1 PLC'!$AR$1:$BV$38),19,0),0)</f>
        <v>0</v>
      </c>
      <c r="CU98" s="54" cm="1">
        <f t="array" ref="CU98">IFERROR(VLOOKUP($A98,TRANSPOSE('[1]Fur 1 PLC'!$AR$1:$BV$38),18,0),0)</f>
        <v>0</v>
      </c>
      <c r="CV98" s="54" cm="1">
        <f t="array" ref="CV98">IFERROR(VLOOKUP($A98,TRANSPOSE('[1]Fur 1 PLC'!$AR$1:$BV$38),15,0),0)</f>
        <v>0</v>
      </c>
      <c r="CW98" s="54" cm="1">
        <f t="array" ref="CW98">IFERROR(VLOOKUP($A98,TRANSPOSE('[1]Fur 1 PLC'!$CL$1:$DP$38),8,0),0)</f>
        <v>0</v>
      </c>
      <c r="CX98" s="54" cm="1">
        <f t="array" ref="CX98">IFERROR(VLOOKUP($A98,TRANSPOSE('[1]Fur 1 PLC'!$CL$1:$DP$38),30,0),0)</f>
        <v>0</v>
      </c>
      <c r="CY98" s="54" cm="1">
        <f t="array" ref="CY98">IFERROR(VLOOKUP($A98,TRANSPOSE('[1]Fur 1 PLC'!$CL$1:$DP$38),14,0),0)</f>
        <v>0</v>
      </c>
      <c r="CZ98" s="54" cm="1">
        <f t="array" ref="CZ98">IFERROR(VLOOKUP($A98,TRANSPOSE('[1]Fur 1 PLC'!$CL$1:$DP$38),16,0),0)</f>
        <v>0</v>
      </c>
      <c r="DA98" s="54" cm="1">
        <f t="array" ref="DA98">IFERROR(VLOOKUP($A98,TRANSPOSE('[1]Fur 1 PLC'!$CL$1:$DP$38),9,0),0)</f>
        <v>0</v>
      </c>
      <c r="DB98" s="55" cm="1">
        <f t="array" ref="DB98">IFERROR(VLOOKUP($A98,TRANSPOSE('[1]Fur 1 PLC'!$CL$1:$DP$38),17,0),0)</f>
        <v>0</v>
      </c>
      <c r="DC98" s="55" cm="1">
        <f t="array" ref="DC98">IFERROR(VLOOKUP($A98,TRANSPOSE('[1]Fur 1 PLC'!$CL$1:$DP$38),20,0),0)</f>
        <v>0</v>
      </c>
      <c r="DD98" s="54" cm="1">
        <f t="array" ref="DD98">IFERROR(VLOOKUP($A98,TRANSPOSE('[1]Fur 1 PLC'!$CL$1:$DP$38),28,0),0)</f>
        <v>0</v>
      </c>
      <c r="DE98" s="54" cm="1">
        <f t="array" ref="DE98">IFERROR(VLOOKUP($A98,TRANSPOSE('[1]Fur 1 PLC'!$CL$1:$DP$38),13,0),0)</f>
        <v>0</v>
      </c>
      <c r="DF98" s="54" cm="1">
        <f t="array" ref="DF98">IFERROR(VLOOKUP($A98,TRANSPOSE('[1]Fur 1 PLC'!$CL$1:$DP$38),37,0),0)</f>
        <v>0</v>
      </c>
      <c r="DG98" s="54" cm="1">
        <f t="array" ref="DG98">IFERROR(VLOOKUP($A98,TRANSPOSE('[1]Fur 1 PLC'!$CL$1:$DP$38),6,0),0)</f>
        <v>0</v>
      </c>
      <c r="DH98" s="54" cm="1">
        <f t="array" ref="DH98">IFERROR(VLOOKUP($A98,TRANSPOSE('[1]Fur 1 PLC'!$CL$1:$DP$38),21,0),0)</f>
        <v>0</v>
      </c>
      <c r="DI98" s="54" cm="1">
        <f t="array" ref="DI98">IFERROR(VLOOKUP($A98,TRANSPOSE('[1]Fur 1 PLC'!$CL$1:$DP$38),12,0),0)</f>
        <v>0</v>
      </c>
      <c r="DJ98" s="54" cm="1">
        <f t="array" ref="DJ98">IFERROR(VLOOKUP($A98,TRANSPOSE('[1]Fur 1 PLC'!$CL$1:$DP$38),25,0),0)</f>
        <v>0</v>
      </c>
      <c r="DK98" s="54" cm="1">
        <f t="array" ref="DK98">IFERROR(VLOOKUP($A98,TRANSPOSE('[1]Fur 1 PLC'!$CL$1:$DP$38),26,0),0)</f>
        <v>0</v>
      </c>
      <c r="DL98" s="54" cm="1">
        <f t="array" ref="DL98">IFERROR(VLOOKUP($A98,TRANSPOSE('[1]Fur 1 PLC'!$CL$1:$DP$38),27,0),0)</f>
        <v>0</v>
      </c>
      <c r="DM98" s="54" cm="1">
        <f t="array" ref="DM98">IFERROR(VLOOKUP($A98,TRANSPOSE('[1]Fur 1 PLC'!$CL$1:$DP$38),22,0),0)</f>
        <v>0</v>
      </c>
      <c r="DN98" s="54" cm="1">
        <f t="array" ref="DN98">IFERROR(VLOOKUP($A98,TRANSPOSE('[1]Fur 1 PLC'!$CL$1:$DP$38),19,0),0)</f>
        <v>0</v>
      </c>
      <c r="DO98" s="54" cm="1">
        <f t="array" ref="DO98">IFERROR(VLOOKUP($A98,TRANSPOSE('[1]Fur 1 PLC'!$CL$1:$DP$38),29,0),0)</f>
        <v>0</v>
      </c>
      <c r="DP98" s="54" cm="1">
        <f t="array" ref="DP98">IFERROR(VLOOKUP($A98,TRANSPOSE('[1]Fur 1 PLC'!$CL$1:$DP$38),10,0),0)</f>
        <v>0</v>
      </c>
      <c r="DQ98" s="54" cm="1">
        <f t="array" ref="DQ98">IFERROR(VLOOKUP($A98,TRANSPOSE('[1]Fur 1 PLC'!$CL$1:$DP$38),7,0),0)</f>
        <v>0</v>
      </c>
      <c r="DR98" s="54" cm="1">
        <f t="array" ref="DR98">IFERROR(VLOOKUP($A98,TRANSPOSE('[1]Fur 1 PLC'!$CL$1:$DP$38),35,0),0)</f>
        <v>0</v>
      </c>
      <c r="DS98" s="54" cm="1">
        <f t="array" ref="DS98">IFERROR(VLOOKUP($A98,TRANSPOSE('[1]Fur 1 PLC'!$CL$1:$DP$38),11,0),0)</f>
        <v>0</v>
      </c>
      <c r="DT98" s="54" cm="1">
        <f t="array" ref="DT98">IFERROR(VLOOKUP($A98,TRANSPOSE('[1]Fur 1 PLC'!$CL$1:$DP$38),19,0),0)</f>
        <v>0</v>
      </c>
      <c r="DU98" s="54" cm="1">
        <f t="array" ref="DU98">IFERROR(VLOOKUP($A98,TRANSPOSE('[1]Fur 1 PLC'!$CL$1:$DP$38),18,0),0)</f>
        <v>0</v>
      </c>
      <c r="DV98" s="54" cm="1">
        <f t="array" ref="DV98">IFERROR(VLOOKUP($A98,TRANSPOSE('[1]Fur 1 PLC'!$CL$1:$DP$38),15,0),0)</f>
        <v>0</v>
      </c>
      <c r="DW98" t="str">
        <f>TEXT(C98,"Mmm-yy")</f>
        <v>Dec-25</v>
      </c>
    </row>
    <row r="99" spans="1:127" x14ac:dyDescent="0.3">
      <c r="A99" s="28" t="str">
        <f t="shared" si="59"/>
        <v>F246016</v>
      </c>
      <c r="B99" s="29" t="s">
        <v>27</v>
      </c>
      <c r="C99" s="30">
        <f>C98</f>
        <v>46016</v>
      </c>
      <c r="D99" s="29" t="str">
        <f>VLOOKUP($B99&amp;$C99,'[1]FC2 Prod'!$A$6:$BP$36,[2]Consolidated!D$1)</f>
        <v>Mr. Girish Malik</v>
      </c>
      <c r="E99" s="29">
        <f>VLOOKUP($B99&amp;$C99,'[1]FC2 Prod'!$A$6:$BP$36,[2]Consolidated!E$1)</f>
        <v>0</v>
      </c>
      <c r="F99" s="29">
        <f>VLOOKUP($B99&amp;$C99,'[1]FC2 Prod'!$A$6:$BP$36,[2]Consolidated!F$1)</f>
        <v>0</v>
      </c>
      <c r="G99" s="29" t="e">
        <f>VLOOKUP($B99&amp;$C99,'[1]FC2 Prod'!$A$6:$BP$36,[2]Consolidated!G$1)</f>
        <v>#REF!</v>
      </c>
      <c r="H99" s="32">
        <f>VLOOKUP($B99&amp;$C99,'[1]FC2 Prod'!$A$6:$BP$36,[2]Consolidated!H$1)</f>
        <v>0</v>
      </c>
      <c r="I99" s="32">
        <f>VLOOKUP($B99&amp;$C99,'[1]FC2 Prod'!$A$6:$BP$36,[2]Consolidated!I$1)</f>
        <v>0</v>
      </c>
      <c r="J99" s="32">
        <f>VLOOKUP($B99&amp;$C99,'[1]FC2 Prod'!$A$6:$BP$36,[2]Consolidated!J$1)</f>
        <v>0</v>
      </c>
      <c r="K99" s="32">
        <f>VLOOKUP($B99&amp;$C99,'[1]FC2 Prod'!$A$6:$BP$36,[2]Consolidated!K$1)</f>
        <v>0</v>
      </c>
      <c r="L99" s="32">
        <f>VLOOKUP($B99&amp;$C99,'[1]FC2 Prod'!$A$6:$BP$36,[2]Consolidated!L$1)</f>
        <v>0</v>
      </c>
      <c r="M99" s="32">
        <f>VLOOKUP($B99&amp;$C99,'[1]FC2 Prod'!$A$6:$BP$36,[2]Consolidated!M$1)</f>
        <v>0</v>
      </c>
      <c r="N99" s="32">
        <f>VLOOKUP($B99&amp;$C99,'[1]FC2 Prod'!$A$6:$BP$36,[2]Consolidated!N$1)</f>
        <v>0</v>
      </c>
      <c r="O99" s="32">
        <f>VLOOKUP($B99&amp;$C99,'[1]FC2 Prod'!$A$6:$BP$36,[2]Consolidated!O$1)</f>
        <v>0</v>
      </c>
      <c r="P99" s="34">
        <f>VLOOKUP($B99&amp;$C99,'[1]FC2 Prod'!$A$6:$BP$36,[2]Consolidated!P$1)</f>
        <v>2</v>
      </c>
      <c r="Q99" s="29">
        <f>VLOOKUP($B99&amp;$C99,'[1]FC2 Prod'!$A$6:$BP$36,[2]Consolidated!Q$1)</f>
        <v>0</v>
      </c>
      <c r="R99" s="29">
        <f>VLOOKUP($B99&amp;$C99,'[1]FC2 Prod'!$A$6:$BP$36,[2]Consolidated!R$1)</f>
        <v>0</v>
      </c>
      <c r="S99" s="34" t="e">
        <f>VLOOKUP($B99&amp;$C99,'[1]FC2 Prod'!$A$6:$BP$36,[2]Consolidated!S$1)</f>
        <v>#REF!</v>
      </c>
      <c r="T99" s="34" t="e">
        <f>VLOOKUP($B99&amp;$C99,'[1]FC2 Prod'!$A$6:$BP$36,[2]Consolidated!T$1)</f>
        <v>#REF!</v>
      </c>
      <c r="U99" s="34" t="e">
        <f>VLOOKUP($B99&amp;$C99,'[1]FC2 Prod'!$A$6:$BP$36,[2]Consolidated!U$1)</f>
        <v>#REF!</v>
      </c>
      <c r="V99" s="34">
        <f>VLOOKUP($B99&amp;$C99,'[1]FC2 Prod'!$A$6:$BP$36,[2]Consolidated!V$1)</f>
        <v>0</v>
      </c>
      <c r="W99" s="29">
        <f>VLOOKUP($B99&amp;$C99,'[1]FC2 Prod'!$A$6:$BP$36,[2]Consolidated!W$1)</f>
        <v>0</v>
      </c>
      <c r="X99" s="35">
        <f>VLOOKUP($B99&amp;$C99,'[1]FC2 Prod'!$A$6:$BP$36,[2]Consolidated!X$1)</f>
        <v>0</v>
      </c>
      <c r="Y99" s="36">
        <f>VLOOKUP($B99&amp;$C99,'[1]FC2 Prod'!$A$6:$BP$36,[2]Consolidated!Y$1)</f>
        <v>0</v>
      </c>
      <c r="Z99" s="37" t="e">
        <f>VLOOKUP($B99&amp;$C99,'[1]FC2 Prod'!$A$6:$BP$36,[2]Consolidated!Z$1)</f>
        <v>#REF!</v>
      </c>
      <c r="AA99" s="31">
        <f>VLOOKUP($B99&amp;$C99,'[1]FC2 Prod'!$A$6:$BP$36,[2]Consolidated!AA$1)</f>
        <v>0</v>
      </c>
      <c r="AB99" s="31">
        <f>VLOOKUP($B99&amp;$C99,'[1]FC2 Prod'!$A$6:$BP$36,[2]Consolidated!AB$1)</f>
        <v>0</v>
      </c>
      <c r="AC99" s="31">
        <f>VLOOKUP($B99&amp;$C99,'[1]FC2 Prod'!$A$6:$BP$36,[2]Consolidated!AC$1)</f>
        <v>0</v>
      </c>
      <c r="AD99" s="38">
        <f>VLOOKUP($B99&amp;$C99,'[1]FC2 Prod'!$A$6:$BP$36,[2]Consolidated!AD$1)</f>
        <v>0</v>
      </c>
      <c r="AE99" s="38">
        <f>VLOOKUP($B99&amp;$C99,'[1]FC2 Prod'!$A$6:$BP$36,[2]Consolidated!AE$1)</f>
        <v>0</v>
      </c>
      <c r="AF99" s="39">
        <f>VLOOKUP($B99&amp;$C99,'[1]FC2 Prod'!$A$6:$BP$36,[2]Consolidated!AF$1)</f>
        <v>0</v>
      </c>
      <c r="AG99" s="39">
        <f>VLOOKUP($B99&amp;$C99,'[1]FC2 Prod'!$A$6:$BP$36,[2]Consolidated!AG$1)</f>
        <v>0</v>
      </c>
      <c r="AH99" s="34">
        <f>VLOOKUP($B99&amp;$C99,'[1]FC2 Prod'!$A$6:$BP$36,[2]Consolidated!AH$1)</f>
        <v>0</v>
      </c>
      <c r="AI99" s="33">
        <f>VLOOKUP($B99&amp;$C99,'[1]FC2 Prod'!$A$6:$BP$36,[2]Consolidated!AI$1)</f>
        <v>0</v>
      </c>
      <c r="AJ99" s="39">
        <f>VLOOKUP($B99&amp;$C99,'[1]FC2 Prod'!$A$6:$BP$36,[2]Consolidated!AJ$1)</f>
        <v>0</v>
      </c>
      <c r="AK99" s="39">
        <f>VLOOKUP($B99&amp;$C99,'[1]FC2 Prod'!$A$6:$BP$36,[2]Consolidated!AK$1)</f>
        <v>0</v>
      </c>
      <c r="AL99" s="40" t="e">
        <f>VLOOKUP($B99&amp;$C99,'[1]FC2 Prod'!$A$6:$BP$36,[2]Consolidated!AL$1)</f>
        <v>#REF!</v>
      </c>
      <c r="AM99" s="41">
        <f>VLOOKUP($B99&amp;$C99,'[1]FC2 Prod'!$A$6:$BP$36,[2]Consolidated!AM$1)</f>
        <v>0</v>
      </c>
      <c r="AN99" s="42" t="e">
        <f>VLOOKUP($B99&amp;$C99,'[1]FC2 Prod'!$A$6:$BP$36,[2]Consolidated!AN$1)</f>
        <v>#REF!</v>
      </c>
      <c r="AO99" s="43" t="e">
        <f>VLOOKUP($B99&amp;$C99,'[1]FC2 Prod'!$A$6:$BP$36,[2]Consolidated!AO$1)</f>
        <v>#REF!</v>
      </c>
      <c r="AP99" s="44">
        <f>VLOOKUP($B99&amp;$C99,'[1]FC2 Prod'!$A$6:$BP$36,[2]Consolidated!AP$1)</f>
        <v>0</v>
      </c>
      <c r="AQ99" s="44">
        <f>VLOOKUP($B99&amp;$C99,'[1]FC2 Prod'!$A$6:$BP$36,[2]Consolidated!AQ$1)</f>
        <v>0</v>
      </c>
      <c r="AR99" s="45">
        <f>VLOOKUP($B99&amp;$C99,'[1]FC2 Prod'!$A$6:$BP$36,[2]Consolidated!AR$1)</f>
        <v>0</v>
      </c>
      <c r="AS99" s="46">
        <f>VLOOKUP($B99&amp;$C99,'[1]FC2 Prod'!$A$6:$BP$36,[2]Consolidated!AS$1)</f>
        <v>0</v>
      </c>
      <c r="AT99" s="29">
        <f>VLOOKUP($B99&amp;$C99,'[1]FC2 Prod'!$A$6:$BP$36,[2]Consolidated!AT$1)</f>
        <v>0</v>
      </c>
      <c r="AU99" s="34">
        <f>VLOOKUP($B99&amp;$C99,'[1]FC2 Prod'!$A$6:$BP$36,[2]Consolidated!AU$1)</f>
        <v>0</v>
      </c>
      <c r="AV99" s="34">
        <f>VLOOKUP($B99&amp;$C99,'[1]FC2 Prod'!$A$6:$BP$36,[2]Consolidated!AV$1)</f>
        <v>0</v>
      </c>
      <c r="AW99" s="47">
        <f>VLOOKUP($B99&amp;$C99,'[1]FC2 Prod'!$A$6:$BP$36,[2]Consolidated!AW$1)</f>
        <v>0</v>
      </c>
      <c r="AX99" s="47">
        <f>VLOOKUP($B99&amp;$C99,'[1]FC2 Prod'!$A$6:$BP$36,[2]Consolidated!AX$1)</f>
        <v>0</v>
      </c>
      <c r="AY99" s="48">
        <f>VLOOKUP($B99&amp;$C99,'[1]FC2 Prod'!$A$6:$BP$36,[2]Consolidated!AY$1)</f>
        <v>0</v>
      </c>
      <c r="AZ99" s="47">
        <f>VLOOKUP($B99&amp;$C99,'[1]FC2 Prod'!$A$6:$BP$36,[2]Consolidated!AZ$1)</f>
        <v>0</v>
      </c>
      <c r="BA99" s="47">
        <f>VLOOKUP($B99&amp;$C99,'[1]FC2 Prod'!$A$6:$BP$36,[2]Consolidated!BA$1)</f>
        <v>0</v>
      </c>
      <c r="BB99" s="47">
        <f>VLOOKUP($B99&amp;$C99,'[1]FC2 Prod'!$A$6:$BP$36,[2]Consolidated!BB$1)</f>
        <v>0</v>
      </c>
      <c r="BC99" s="47">
        <f>VLOOKUP($B99&amp;$C99,'[1]FC2 Prod'!$A$6:$BP$36,[2]Consolidated!BC$1)</f>
        <v>0</v>
      </c>
      <c r="BD99" s="49">
        <f>VLOOKUP($B99&amp;$C99,'[1]FC2 Prod'!$A$6:$BP$36,[2]Consolidated!BD$1)</f>
        <v>0</v>
      </c>
      <c r="BE99" s="47">
        <f>VLOOKUP($B99&amp;$C99,'[1]FC2 Prod'!$A$6:$BP$36,[2]Consolidated!BE$1)</f>
        <v>0</v>
      </c>
      <c r="BF99" s="47">
        <f>VLOOKUP($B99&amp;$C99,'[1]FC2 Prod'!$A$6:$BP$36,[2]Consolidated!BF$1)</f>
        <v>0</v>
      </c>
      <c r="BG99" s="50">
        <f>VLOOKUP($B99&amp;$C99,'[1]FC2 Prod'!$A$6:$BP$36,[2]Consolidated!BG$1)</f>
        <v>0</v>
      </c>
      <c r="BH99" s="50">
        <f>VLOOKUP($B99&amp;$C99,'[1]FC2 Prod'!$A$6:$BP$36,[2]Consolidated!BH$1)</f>
        <v>0</v>
      </c>
      <c r="BI99" s="50">
        <f>VLOOKUP($B99&amp;$C99,'[1]FC2 Prod'!$A$6:$BP$36,[2]Consolidated!BI$1)</f>
        <v>0</v>
      </c>
      <c r="BJ99" s="37" t="e">
        <f>VLOOKUP($B99&amp;$C99,'[1]FC2 Prod'!$A$6:$BP$36,[2]Consolidated!BJ$1)</f>
        <v>#REF!</v>
      </c>
      <c r="BK99" s="37" t="e">
        <f>VLOOKUP($B99&amp;$C99,'[1]FC2 Prod'!$A$6:$BP$36,[2]Consolidated!BK$1)</f>
        <v>#REF!</v>
      </c>
      <c r="BL99" s="37" t="e">
        <f>VLOOKUP($B99&amp;$C99,'[1]FC2 Prod'!$A$6:$BP$36,[2]Consolidated!BL$1)</f>
        <v>#REF!</v>
      </c>
      <c r="BM99" s="37" t="e">
        <f>VLOOKUP($B99&amp;$C99,'[1]FC2 Prod'!$A$6:$BP$36,[2]Consolidated!BM$1)</f>
        <v>#REF!</v>
      </c>
      <c r="BN99" s="37" t="e">
        <f>VLOOKUP($B99&amp;$C99,'[1]FC2 Prod'!$A$6:$BP$36,[2]Consolidated!BN$1)</f>
        <v>#REF!</v>
      </c>
      <c r="BO99" s="37" t="e">
        <f>VLOOKUP($B99&amp;$C99,'[1]FC2 Prod'!$A$6:$BP$36,[2]Consolidated!BO$1)</f>
        <v>#REF!</v>
      </c>
      <c r="BP99" s="37" t="e">
        <f>VLOOKUP($B99&amp;$C99,'[1]FC2 Prod'!$A$6:$BP$36,[2]Consolidated!BP$1)</f>
        <v>#REF!</v>
      </c>
      <c r="BQ99" s="29" t="e">
        <f>VLOOKUP($B99&amp;$C99,'[1]FC2 Prod'!$A$6:$BP$36,[2]Consolidated!BQ$1)</f>
        <v>#REF!</v>
      </c>
      <c r="BR99" s="51">
        <f>VLOOKUP($B99&amp;$C99,'[1]FC2 Prod'!$A$6:$BQ$36,[2]Consolidated!BR$1)</f>
        <v>68163</v>
      </c>
      <c r="BS99" s="52">
        <f t="shared" si="120"/>
        <v>0</v>
      </c>
      <c r="BT99" s="32">
        <f>BR99-BS99</f>
        <v>68163</v>
      </c>
      <c r="BU99" s="37">
        <f>E99*BT99</f>
        <v>0</v>
      </c>
      <c r="BV99" s="53" t="s">
        <v>133</v>
      </c>
      <c r="BW99" s="54" cm="1">
        <f t="array" ref="BW99">IFERROR(VLOOKUP($A99,TRANSPOSE('[1]Fur 2 PLC'!$AR$1:$BV$38),8,0),0)</f>
        <v>0</v>
      </c>
      <c r="BX99" s="54" cm="1">
        <f t="array" ref="BX99">IFERROR(VLOOKUP($A99,TRANSPOSE('[1]Fur 2 PLC'!$AR$1:$BV$38),30,0),0)</f>
        <v>0</v>
      </c>
      <c r="BY99" s="54" cm="1">
        <f t="array" ref="BY99">IFERROR(VLOOKUP($A99,TRANSPOSE('[1]Fur 2 PLC'!$AR$1:$BV$38),14,0),0)</f>
        <v>0</v>
      </c>
      <c r="BZ99" s="54" cm="1">
        <f t="array" ref="BZ99">IFERROR(VLOOKUP($A99,TRANSPOSE('[1]Fur 2 PLC'!$AR$1:$BV$38),16,0),0)</f>
        <v>0</v>
      </c>
      <c r="CA99" s="54" cm="1">
        <f t="array" ref="CA99">IFERROR(VLOOKUP($A99,TRANSPOSE('[1]Fur 2 PLC'!$AR$1:$BV$38),9,0),0)</f>
        <v>0</v>
      </c>
      <c r="CB99" s="54" cm="1">
        <f t="array" ref="CB99">IFERROR(VLOOKUP($A99,TRANSPOSE('[1]Fur 2 PLC'!$AR$1:$BV$38),17,0),0)</f>
        <v>0</v>
      </c>
      <c r="CC99" s="54" cm="1">
        <f t="array" ref="CC99">IFERROR(VLOOKUP($A99,TRANSPOSE('[1]Fur 2 PLC'!$AR$1:$BV$38),20,0),0)</f>
        <v>0</v>
      </c>
      <c r="CD99" s="54" cm="1">
        <f t="array" ref="CD99">IFERROR(VLOOKUP($A99,TRANSPOSE('[1]Fur 2 PLC'!$AR$1:$BV$38),28,0),0)</f>
        <v>0</v>
      </c>
      <c r="CE99" s="54" cm="1">
        <f t="array" ref="CE99">IFERROR(VLOOKUP($A99,TRANSPOSE('[1]Fur 2 PLC'!$AR$1:$BV$38),13,0),0)</f>
        <v>0</v>
      </c>
      <c r="CF99" s="54" cm="1">
        <f t="array" ref="CF99">IFERROR(VLOOKUP($A99,TRANSPOSE('[1]Fur 2 PLC'!$AR$1:$BV$38),37,0),0)</f>
        <v>0</v>
      </c>
      <c r="CG99" s="54" cm="1">
        <f t="array" ref="CG99">IFERROR(VLOOKUP($A99,TRANSPOSE('[1]Fur 2 PLC'!$AR$1:$BV$38),6,0),0)</f>
        <v>0</v>
      </c>
      <c r="CH99" s="54" cm="1">
        <f t="array" ref="CH99">IFERROR(VLOOKUP($A99,TRANSPOSE('[1]Fur 2 PLC'!$AR$1:$BV$38),21,0),0)</f>
        <v>0</v>
      </c>
      <c r="CI99" s="54" cm="1">
        <f t="array" ref="CI99">IFERROR(VLOOKUP($A99,TRANSPOSE('[1]Fur 2 PLC'!$AR$1:$BV$38),12,0),0)</f>
        <v>0</v>
      </c>
      <c r="CJ99" s="54" cm="1">
        <f t="array" ref="CJ99">IFERROR(VLOOKUP($A99,TRANSPOSE('[1]Fur 2 PLC'!$AR$1:$BV$38),25,0),0)</f>
        <v>0</v>
      </c>
      <c r="CK99" s="54" cm="1">
        <f t="array" ref="CK99">IFERROR(VLOOKUP($A99,TRANSPOSE('[1]Fur 2 PLC'!$AR$1:$BV$38),26,0),0)</f>
        <v>0</v>
      </c>
      <c r="CL99" s="54" cm="1">
        <f t="array" ref="CL99">IFERROR(VLOOKUP($A99,TRANSPOSE('[1]Fur 2 PLC'!$AR$1:$BV$38),27,0),0)</f>
        <v>0</v>
      </c>
      <c r="CM99" s="54" cm="1">
        <f t="array" ref="CM99">IFERROR(VLOOKUP($A99,TRANSPOSE('[1]Fur 2 PLC'!$AR$1:$BV$38),22,0),0)</f>
        <v>0</v>
      </c>
      <c r="CN99" s="54"/>
      <c r="CO99" s="54" cm="1">
        <f t="array" ref="CO99">IFERROR(VLOOKUP($A99,TRANSPOSE('[1]Fur 2 PLC'!$AR$1:$BV$38),29,0),0)</f>
        <v>0</v>
      </c>
      <c r="CP99" s="54" cm="1">
        <f t="array" ref="CP99">IFERROR(VLOOKUP($A99,TRANSPOSE('[1]Fur 2 PLC'!$AR$1:$BV$38),10,0),0)</f>
        <v>0</v>
      </c>
      <c r="CQ99" s="54" cm="1">
        <f t="array" ref="CQ99">IFERROR(VLOOKUP($A99,TRANSPOSE('[1]Fur 2 PLC'!$AR$1:$BV$38),7,0),0)</f>
        <v>0</v>
      </c>
      <c r="CR99" s="54" cm="1">
        <f t="array" ref="CR99">IFERROR(VLOOKUP($A99,TRANSPOSE('[1]Fur 2 PLC'!$AR$1:$BV$38),35,0),0)</f>
        <v>0</v>
      </c>
      <c r="CS99" s="54" cm="1">
        <f t="array" ref="CS99">IFERROR(VLOOKUP($A99,TRANSPOSE('[1]Fur 2 PLC'!$AR$1:$BV$38),11,0),0)</f>
        <v>0</v>
      </c>
      <c r="CT99" s="54" cm="1">
        <f t="array" ref="CT99">IFERROR(VLOOKUP($A99,TRANSPOSE('[1]Fur 2 PLC'!$AR$1:$BV$38),19,0),0)</f>
        <v>0</v>
      </c>
      <c r="CU99" s="54" cm="1">
        <f t="array" ref="CU99">IFERROR(VLOOKUP($A99,TRANSPOSE('[1]Fur 2 PLC'!$AR$1:$BV$38),18,0),0)</f>
        <v>0</v>
      </c>
      <c r="CV99" s="54" cm="1">
        <f t="array" ref="CV99">IFERROR(VLOOKUP($A99,TRANSPOSE('[1]Fur 2 PLC'!$AR$1:$BV$38),15,0),0)</f>
        <v>0</v>
      </c>
      <c r="CW99" s="54" cm="1">
        <f t="array" ref="CW99">IFERROR(VLOOKUP($A99,TRANSPOSE('[1]Fur 2 PLC'!$CI$1:$DM$38),8,0),0)</f>
        <v>0</v>
      </c>
      <c r="CX99" s="54" cm="1">
        <f t="array" ref="CX99">IFERROR(VLOOKUP($A99,TRANSPOSE('[1]Fur 2 PLC'!$CI$1:$DM$38),30,0),0)</f>
        <v>0</v>
      </c>
      <c r="CY99" s="54" cm="1">
        <f t="array" ref="CY99">IFERROR(VLOOKUP($A99,TRANSPOSE('[1]Fur 2 PLC'!$CI$1:$DM$38),14,0),0)</f>
        <v>0</v>
      </c>
      <c r="CZ99" s="54" cm="1">
        <f t="array" ref="CZ99">IFERROR(VLOOKUP($A99,TRANSPOSE('[1]Fur 2 PLC'!$CI$1:$DM$38),16,0),0)</f>
        <v>0</v>
      </c>
      <c r="DA99" s="54" cm="1">
        <f t="array" ref="DA99">IFERROR(VLOOKUP($A99,TRANSPOSE('[1]Fur 2 PLC'!$CI$1:$DM$38),9,0),0)</f>
        <v>0</v>
      </c>
      <c r="DB99" s="55" cm="1">
        <f t="array" ref="DB99">IFERROR(VLOOKUP($A99,TRANSPOSE('[1]Fur 2 PLC'!$CI$1:$DM$38),17,0),0)</f>
        <v>0</v>
      </c>
      <c r="DC99" s="55" cm="1">
        <f t="array" ref="DC99">IFERROR(VLOOKUP($A99,TRANSPOSE('[1]Fur 2 PLC'!$CI$1:$DM$38),20,0),0)</f>
        <v>0</v>
      </c>
      <c r="DD99" s="54" cm="1">
        <f t="array" ref="DD99">IFERROR(VLOOKUP($A99,TRANSPOSE('[1]Fur 2 PLC'!$CI$1:$DM$38),28,0),0)</f>
        <v>0</v>
      </c>
      <c r="DE99" s="54" cm="1">
        <f t="array" ref="DE99">IFERROR(VLOOKUP($A99,TRANSPOSE('[1]Fur 2 PLC'!$CI$1:$DM$38),13,0),0)</f>
        <v>0</v>
      </c>
      <c r="DF99" s="54" cm="1">
        <f t="array" ref="DF99">IFERROR(VLOOKUP($A99,TRANSPOSE('[1]Fur 2 PLC'!$CI$1:$DM$38),37,0),0)</f>
        <v>0</v>
      </c>
      <c r="DG99" s="54" cm="1">
        <f t="array" ref="DG99">IFERROR(VLOOKUP($A99,TRANSPOSE('[1]Fur 2 PLC'!$CI$1:$DM$38),6,0),0)</f>
        <v>0</v>
      </c>
      <c r="DH99" s="54" cm="1">
        <f t="array" ref="DH99">IFERROR(VLOOKUP($A99,TRANSPOSE('[1]Fur 2 PLC'!$CI$1:$DM$38),21,0),0)</f>
        <v>0</v>
      </c>
      <c r="DI99" s="54" cm="1">
        <f t="array" ref="DI99">IFERROR(VLOOKUP($A99,TRANSPOSE('[1]Fur 2 PLC'!$CI$1:$DM$38),12,0),0)</f>
        <v>0</v>
      </c>
      <c r="DJ99" s="54" cm="1">
        <f t="array" ref="DJ99">IFERROR(VLOOKUP($A99,TRANSPOSE('[1]Fur 2 PLC'!$CI$1:$DM$38),25,0),0)</f>
        <v>0</v>
      </c>
      <c r="DK99" s="54" cm="1">
        <f t="array" ref="DK99">IFERROR(VLOOKUP($A99,TRANSPOSE('[1]Fur 2 PLC'!$CI$1:$DM$38),26,0),0)</f>
        <v>0</v>
      </c>
      <c r="DL99" s="54" cm="1">
        <f t="array" ref="DL99">IFERROR(VLOOKUP($A99,TRANSPOSE('[1]Fur 2 PLC'!$CI$1:$DM$38),27,0),0)</f>
        <v>0</v>
      </c>
      <c r="DM99" s="54" cm="1">
        <f t="array" ref="DM99">IFERROR(VLOOKUP($A99,TRANSPOSE('[1]Fur 2 PLC'!$CI$1:$DM$38),22,0),0)</f>
        <v>0</v>
      </c>
      <c r="DN99" s="54" cm="1">
        <f t="array" ref="DN99">IFERROR(VLOOKUP($A99,TRANSPOSE('[1]Fur 2 PLC'!$CI$1:$DM$38),19,0),0)</f>
        <v>0</v>
      </c>
      <c r="DO99" s="54" cm="1">
        <f t="array" ref="DO99">IFERROR(VLOOKUP($A99,TRANSPOSE('[1]Fur 2 PLC'!$CI$1:$DM$38),29,0),0)</f>
        <v>0</v>
      </c>
      <c r="DP99" s="54" cm="1">
        <f t="array" ref="DP99">IFERROR(VLOOKUP($A99,TRANSPOSE('[1]Fur 2 PLC'!$CI$1:$DM$38),10,0),0)</f>
        <v>0</v>
      </c>
      <c r="DQ99" s="54" cm="1">
        <f t="array" ref="DQ99">IFERROR(VLOOKUP($A99,TRANSPOSE('[1]Fur 2 PLC'!$CI$1:$DM$38),7,0),0)</f>
        <v>0</v>
      </c>
      <c r="DR99" s="54" cm="1">
        <f t="array" ref="DR99">IFERROR(VLOOKUP($A99,TRANSPOSE('[1]Fur 2 PLC'!$CI$1:$DM$38),35,0),0)</f>
        <v>0</v>
      </c>
      <c r="DS99" s="54" cm="1">
        <f t="array" ref="DS99">IFERROR(VLOOKUP($A99,TRANSPOSE('[1]Fur 2 PLC'!$CI$1:$DM$38),11,0),0)</f>
        <v>0</v>
      </c>
      <c r="DT99" s="54" cm="1">
        <f t="array" ref="DT99">IFERROR(VLOOKUP($A99,TRANSPOSE('[1]Fur 2 PLC'!$CI$1:$DM$38),19,0),0)</f>
        <v>0</v>
      </c>
      <c r="DU99" s="54" cm="1">
        <f t="array" ref="DU99">IFERROR(VLOOKUP($A99,TRANSPOSE('[1]Fur 2 PLC'!$CI$1:$DM$38),18,0),0)</f>
        <v>0</v>
      </c>
      <c r="DV99" s="54" cm="1">
        <f t="array" ref="DV99">IFERROR(VLOOKUP($A99,TRANSPOSE('[1]Fur 2 PLC'!$CI$1:$DM$38),15,0),0)</f>
        <v>0</v>
      </c>
      <c r="DW99" t="str">
        <f t="shared" ref="DW99:DW101" si="121">TEXT(C99,"Mmm-yy")</f>
        <v>Dec-25</v>
      </c>
    </row>
    <row r="100" spans="1:127" x14ac:dyDescent="0.3">
      <c r="A100" s="28" t="str">
        <f t="shared" si="59"/>
        <v>F346016</v>
      </c>
      <c r="B100" s="29" t="s">
        <v>28</v>
      </c>
      <c r="C100" s="30">
        <f>C99</f>
        <v>46016</v>
      </c>
      <c r="D100" s="29" t="str">
        <f>VLOOKUP($B100&amp;$C100,'[1]FC3 Prod'!$A$6:$BP$36,[2]Consolidated!D$1)</f>
        <v>Mr. Ajay Singh</v>
      </c>
      <c r="E100" s="29">
        <f>VLOOKUP($B100&amp;$C100,'[1]FC3 Prod'!$A$6:$BP$36,[2]Consolidated!E$1)</f>
        <v>0</v>
      </c>
      <c r="F100" s="31">
        <f>VLOOKUP($B100&amp;$C100,'[1]FC3 Prod'!$A$6:$BP$36,[2]Consolidated!F$1)</f>
        <v>0</v>
      </c>
      <c r="G100" s="32" t="e">
        <f>VLOOKUP($B100&amp;$C100,'[1]FC3 Prod'!$A$6:$BP$36,[2]Consolidated!G$1)</f>
        <v>#REF!</v>
      </c>
      <c r="H100" s="32">
        <f>VLOOKUP($B100&amp;$C100,'[1]FC3 Prod'!$A$6:$BP$36,[2]Consolidated!H$1)</f>
        <v>0</v>
      </c>
      <c r="I100" s="32">
        <f>VLOOKUP($B100&amp;$C100,'[1]FC3 Prod'!$A$6:$BP$36,[2]Consolidated!I$1)</f>
        <v>0</v>
      </c>
      <c r="J100" s="32">
        <f>VLOOKUP($B100&amp;$C100,'[1]FC3 Prod'!$A$6:$BP$36,[2]Consolidated!J$1)</f>
        <v>0</v>
      </c>
      <c r="K100" s="32">
        <f>VLOOKUP($B100&amp;$C100,'[1]FC3 Prod'!$A$6:$BP$36,[2]Consolidated!K$1)</f>
        <v>0</v>
      </c>
      <c r="L100" s="32">
        <f>VLOOKUP($B100&amp;$C100,'[1]FC3 Prod'!$A$6:$BP$36,[2]Consolidated!L$1)</f>
        <v>0</v>
      </c>
      <c r="M100" s="32">
        <f>VLOOKUP($B100&amp;$C100,'[1]FC3 Prod'!$A$6:$BP$36,[2]Consolidated!M$1)</f>
        <v>0</v>
      </c>
      <c r="N100" s="32">
        <f>VLOOKUP($B100&amp;$C100,'[1]FC3 Prod'!$A$6:$BP$36,[2]Consolidated!N$1)</f>
        <v>0</v>
      </c>
      <c r="O100" s="32">
        <f>VLOOKUP($B100&amp;$C100,'[1]FC3 Prod'!$A$6:$BP$36,[2]Consolidated!O$1)</f>
        <v>0</v>
      </c>
      <c r="P100" s="33">
        <f>VLOOKUP($B100&amp;$C100,'[1]FC3 Prod'!$A$6:$BP$36,[2]Consolidated!P$1)</f>
        <v>2</v>
      </c>
      <c r="Q100" s="29">
        <f>VLOOKUP($B100&amp;$C100,'[1]FC3 Prod'!$A$6:$BP$36,[2]Consolidated!Q$1)</f>
        <v>0</v>
      </c>
      <c r="R100" s="29">
        <f>VLOOKUP($B100&amp;$C100,'[1]FC3 Prod'!$A$6:$BP$36,[2]Consolidated!R$1)</f>
        <v>0</v>
      </c>
      <c r="S100" s="34" t="e">
        <f>VLOOKUP($B100&amp;$C100,'[1]FC3 Prod'!$A$6:$BP$36,[2]Consolidated!S$1)</f>
        <v>#REF!</v>
      </c>
      <c r="T100" s="34" t="e">
        <f>VLOOKUP($B100&amp;$C100,'[1]FC3 Prod'!$A$6:$BP$36,[2]Consolidated!T$1)</f>
        <v>#REF!</v>
      </c>
      <c r="U100" s="34" t="e">
        <f>VLOOKUP($B100&amp;$C100,'[1]FC3 Prod'!$A$6:$BP$36,[2]Consolidated!U$1)</f>
        <v>#REF!</v>
      </c>
      <c r="V100" s="34">
        <f>VLOOKUP($B100&amp;$C100,'[1]FC3 Prod'!$A$6:$BP$36,[2]Consolidated!V$1)</f>
        <v>0</v>
      </c>
      <c r="W100" s="35">
        <f>VLOOKUP($B100&amp;$C100,'[1]FC3 Prod'!$A$6:$BP$36,[2]Consolidated!W$1)</f>
        <v>0</v>
      </c>
      <c r="X100" s="35">
        <f>VLOOKUP($B100&amp;$C100,'[1]FC3 Prod'!$A$6:$BP$36,[2]Consolidated!X$1)</f>
        <v>0</v>
      </c>
      <c r="Y100" s="36">
        <f>VLOOKUP($B100&amp;$C100,'[1]FC3 Prod'!$A$6:$BP$36,[2]Consolidated!Y$1)</f>
        <v>0</v>
      </c>
      <c r="Z100" s="37" t="e">
        <f>VLOOKUP($B100&amp;$C100,'[1]FC3 Prod'!$A$6:$BP$36,[2]Consolidated!Z$1)</f>
        <v>#REF!</v>
      </c>
      <c r="AA100" s="31">
        <f>VLOOKUP($B100&amp;$C100,'[1]FC3 Prod'!$A$6:$BP$36,[2]Consolidated!AA$1)</f>
        <v>0</v>
      </c>
      <c r="AB100" s="31">
        <f>VLOOKUP($B100&amp;$C100,'[1]FC3 Prod'!$A$6:$BP$36,[2]Consolidated!AB$1)</f>
        <v>0</v>
      </c>
      <c r="AC100" s="31" t="e">
        <f>VLOOKUP($B100&amp;$C100,'[1]FC3 Prod'!$A$6:$BP$36,[2]Consolidated!AC$1)</f>
        <v>#REF!</v>
      </c>
      <c r="AD100" s="38">
        <f>VLOOKUP($B100&amp;$C100,'[1]FC3 Prod'!$A$6:$BP$36,[2]Consolidated!AD$1)</f>
        <v>0</v>
      </c>
      <c r="AE100" s="38">
        <f>VLOOKUP($B100&amp;$C100,'[1]FC3 Prod'!$A$6:$BP$36,[2]Consolidated!AE$1)</f>
        <v>0</v>
      </c>
      <c r="AF100" s="39">
        <f>VLOOKUP($B100&amp;$C100,'[1]FC3 Prod'!$A$6:$BP$36,[2]Consolidated!AF$1)</f>
        <v>0</v>
      </c>
      <c r="AG100" s="39">
        <f>VLOOKUP($B100&amp;$C100,'[1]FC3 Prod'!$A$6:$BP$36,[2]Consolidated!AG$1)</f>
        <v>0</v>
      </c>
      <c r="AH100" s="34">
        <f>VLOOKUP($B100&amp;$C100,'[1]FC3 Prod'!$A$6:$BP$36,[2]Consolidated!AH$1)</f>
        <v>0</v>
      </c>
      <c r="AI100" s="33">
        <f>VLOOKUP($B100&amp;$C100,'[1]FC3 Prod'!$A$6:$BP$36,[2]Consolidated!AI$1)</f>
        <v>0</v>
      </c>
      <c r="AJ100" s="39">
        <f>VLOOKUP($B100&amp;$C100,'[1]FC3 Prod'!$A$6:$BP$36,[2]Consolidated!AJ$1)</f>
        <v>0</v>
      </c>
      <c r="AK100" s="39">
        <f>VLOOKUP($B100&amp;$C100,'[1]FC3 Prod'!$A$6:$BP$36,[2]Consolidated!AK$1)</f>
        <v>0</v>
      </c>
      <c r="AL100" s="40" t="e">
        <f>VLOOKUP($B100&amp;$C100,'[1]FC3 Prod'!$A$6:$BP$36,[2]Consolidated!AL$1)</f>
        <v>#REF!</v>
      </c>
      <c r="AM100" s="41">
        <f>VLOOKUP($B100&amp;$C100,'[1]FC3 Prod'!$A$6:$BP$36,[2]Consolidated!AM$1)</f>
        <v>0</v>
      </c>
      <c r="AN100" s="42" t="e">
        <f>VLOOKUP($B100&amp;$C100,'[1]FC3 Prod'!$A$6:$BP$36,[2]Consolidated!AN$1)</f>
        <v>#REF!</v>
      </c>
      <c r="AO100" s="43" t="e">
        <f>VLOOKUP($B100&amp;$C100,'[1]FC3 Prod'!$A$6:$BP$36,[2]Consolidated!AO$1)</f>
        <v>#REF!</v>
      </c>
      <c r="AP100" s="44">
        <f>VLOOKUP($B100&amp;$C100,'[1]FC3 Prod'!$A$6:$BP$36,[2]Consolidated!AP$1)</f>
        <v>0</v>
      </c>
      <c r="AQ100" s="44">
        <f>VLOOKUP($B100&amp;$C100,'[1]FC3 Prod'!$A$6:$BP$36,[2]Consolidated!AQ$1)</f>
        <v>0</v>
      </c>
      <c r="AR100" s="45">
        <f>VLOOKUP($B100&amp;$C100,'[1]FC3 Prod'!$A$6:$BP$36,[2]Consolidated!AR$1)</f>
        <v>0</v>
      </c>
      <c r="AS100" s="46">
        <f>VLOOKUP($B100&amp;$C100,'[1]FC3 Prod'!$A$6:$BP$36,[2]Consolidated!AS$1)</f>
        <v>0</v>
      </c>
      <c r="AT100" s="29">
        <f>VLOOKUP($B100&amp;$C100,'[1]FC3 Prod'!$A$6:$BP$36,[2]Consolidated!AT$1)</f>
        <v>0</v>
      </c>
      <c r="AU100" s="34">
        <f>VLOOKUP($B100&amp;$C100,'[1]FC3 Prod'!$A$6:$BP$36,[2]Consolidated!AU$1)</f>
        <v>0</v>
      </c>
      <c r="AV100" s="34">
        <f>VLOOKUP($B100&amp;$C100,'[1]FC3 Prod'!$A$6:$BP$36,[2]Consolidated!AV$1)</f>
        <v>0</v>
      </c>
      <c r="AW100" s="47">
        <f>VLOOKUP($B100&amp;$C100,'[1]FC3 Prod'!$A$6:$BP$36,[2]Consolidated!AW$1)</f>
        <v>0</v>
      </c>
      <c r="AX100" s="47">
        <f>VLOOKUP($B100&amp;$C100,'[1]FC3 Prod'!$A$6:$BP$36,[2]Consolidated!AX$1)</f>
        <v>0</v>
      </c>
      <c r="AY100" s="48">
        <f>VLOOKUP($B100&amp;$C100,'[1]FC3 Prod'!$A$6:$BP$36,[2]Consolidated!AY$1)</f>
        <v>0</v>
      </c>
      <c r="AZ100" s="47">
        <f>VLOOKUP($B100&amp;$C100,'[1]FC3 Prod'!$A$6:$BP$36,[2]Consolidated!AZ$1)</f>
        <v>0</v>
      </c>
      <c r="BA100" s="47">
        <f>VLOOKUP($B100&amp;$C100,'[1]FC3 Prod'!$A$6:$BP$36,[2]Consolidated!BA$1)</f>
        <v>0</v>
      </c>
      <c r="BB100" s="47">
        <f>VLOOKUP($B100&amp;$C100,'[1]FC3 Prod'!$A$6:$BP$36,[2]Consolidated!BB$1)</f>
        <v>0</v>
      </c>
      <c r="BC100" s="47">
        <f>VLOOKUP($B100&amp;$C100,'[1]FC3 Prod'!$A$6:$BP$36,[2]Consolidated!BC$1)</f>
        <v>0</v>
      </c>
      <c r="BD100" s="49">
        <f>VLOOKUP($B100&amp;$C100,'[1]FC3 Prod'!$A$6:$BP$36,[2]Consolidated!BD$1)</f>
        <v>0</v>
      </c>
      <c r="BE100" s="47">
        <f>VLOOKUP($B100&amp;$C100,'[1]FC3 Prod'!$A$6:$BP$36,[2]Consolidated!BE$1)</f>
        <v>0</v>
      </c>
      <c r="BF100" s="47">
        <f>VLOOKUP($B100&amp;$C100,'[1]FC3 Prod'!$A$6:$BP$36,[2]Consolidated!BF$1)</f>
        <v>0</v>
      </c>
      <c r="BG100" s="50">
        <f>VLOOKUP($B100&amp;$C100,'[1]FC3 Prod'!$A$6:$BP$36,[2]Consolidated!BG$1)</f>
        <v>0</v>
      </c>
      <c r="BH100" s="50">
        <f>VLOOKUP($B100&amp;$C100,'[1]FC3 Prod'!$A$6:$BP$36,[2]Consolidated!BH$1)</f>
        <v>0</v>
      </c>
      <c r="BI100" s="50">
        <f>VLOOKUP($B100&amp;$C100,'[1]FC3 Prod'!$A$6:$BP$36,[2]Consolidated!BI$1)</f>
        <v>0</v>
      </c>
      <c r="BJ100" s="37" t="e">
        <f>VLOOKUP($B100&amp;$C100,'[1]FC3 Prod'!$A$6:$BP$36,[2]Consolidated!BJ$1)</f>
        <v>#REF!</v>
      </c>
      <c r="BK100" s="37" t="e">
        <f>VLOOKUP($B100&amp;$C100,'[1]FC3 Prod'!$A$6:$BP$36,[2]Consolidated!BK$1)</f>
        <v>#REF!</v>
      </c>
      <c r="BL100" s="37" t="e">
        <f>VLOOKUP($B100&amp;$C100,'[1]FC3 Prod'!$A$6:$BP$36,[2]Consolidated!BL$1)</f>
        <v>#REF!</v>
      </c>
      <c r="BM100" s="37" t="e">
        <f>VLOOKUP($B100&amp;$C100,'[1]FC3 Prod'!$A$6:$BP$36,[2]Consolidated!BM$1)</f>
        <v>#REF!</v>
      </c>
      <c r="BN100" s="37" t="e">
        <f>VLOOKUP($B100&amp;$C100,'[1]FC3 Prod'!$A$6:$BP$36,[2]Consolidated!BN$1)</f>
        <v>#REF!</v>
      </c>
      <c r="BO100" s="37" t="e">
        <f>VLOOKUP($B100&amp;$C100,'[1]FC3 Prod'!$A$6:$BP$36,[2]Consolidated!BO$1)</f>
        <v>#REF!</v>
      </c>
      <c r="BP100" s="37" t="e">
        <f>VLOOKUP($B100&amp;$C100,'[1]FC3 Prod'!$A$6:$BP$36,[2]Consolidated!BP$1)</f>
        <v>#REF!</v>
      </c>
      <c r="BQ100" s="51" t="e">
        <f>VLOOKUP($B100&amp;$C100,'[1]FC3 Prod'!$A$6:$BP$36,[2]Consolidated!BQ$1)</f>
        <v>#REF!</v>
      </c>
      <c r="BR100" s="51">
        <f>VLOOKUP($B100&amp;$C100,'[1]FC3 Prod'!$A$6:$BQ$36,[2]Consolidated!BR$1)</f>
        <v>60369</v>
      </c>
      <c r="BS100" s="52">
        <f t="shared" si="120"/>
        <v>0</v>
      </c>
      <c r="BT100" s="32">
        <f t="shared" ref="BT100:BT101" si="122">BR100-BS100</f>
        <v>60369</v>
      </c>
      <c r="BU100" s="37">
        <f t="shared" ref="BU100:BU101" si="123">E100*BT100</f>
        <v>0</v>
      </c>
      <c r="BV100" s="53" t="s">
        <v>133</v>
      </c>
      <c r="BW100" s="54" cm="1">
        <f t="array" ref="BW100">IFERROR(VLOOKUP($A100,TRANSPOSE('[1]Fur 3 PLC'!$AS$1:$BX$38),8,0),0)</f>
        <v>0</v>
      </c>
      <c r="BX100" s="54" cm="1">
        <f t="array" ref="BX100">IFERROR(VLOOKUP($A100,TRANSPOSE('[1]Fur 3 PLC'!$AS$1:$BX$38),30,0),0)</f>
        <v>0</v>
      </c>
      <c r="BY100" s="54" cm="1">
        <f t="array" ref="BY100">IFERROR(VLOOKUP($A100,TRANSPOSE('[1]Fur 3 PLC'!$AS$1:$BX$38),14,0),0)</f>
        <v>0</v>
      </c>
      <c r="BZ100" s="54" cm="1">
        <f t="array" ref="BZ100">IFERROR(VLOOKUP($A100,TRANSPOSE('[1]Fur 3 PLC'!$AS$1:$BX$38),16,0),0)</f>
        <v>0</v>
      </c>
      <c r="CA100" s="54" cm="1">
        <f t="array" ref="CA100">IFERROR(VLOOKUP($A100,TRANSPOSE('[1]Fur 3 PLC'!$AS$1:$BX$38),9,0),0)</f>
        <v>0</v>
      </c>
      <c r="CB100" s="54" cm="1">
        <f t="array" ref="CB100">IFERROR(VLOOKUP($A100,TRANSPOSE('[1]Fur 3 PLC'!$AS$1:$BX$38),17,0),0)</f>
        <v>0</v>
      </c>
      <c r="CC100" s="54" cm="1">
        <f t="array" ref="CC100">IFERROR(VLOOKUP($A100,TRANSPOSE('[1]Fur 3 PLC'!$AS$1:$BX$38),20,0),0)</f>
        <v>0</v>
      </c>
      <c r="CD100" s="54" cm="1">
        <f t="array" ref="CD100">IFERROR(VLOOKUP($A100,TRANSPOSE('[1]Fur 3 PLC'!$AS$1:$BX$38),28,0),0)</f>
        <v>0</v>
      </c>
      <c r="CE100" s="54" cm="1">
        <f t="array" ref="CE100">IFERROR(VLOOKUP($A100,TRANSPOSE('[1]Fur 3 PLC'!$AS$1:$BX$38),13,0),0)</f>
        <v>0</v>
      </c>
      <c r="CF100" s="54" cm="1">
        <f t="array" ref="CF100">IFERROR(VLOOKUP($A100,TRANSPOSE('[1]Fur 3 PLC'!$AS$1:$BX$38),37,0),0)</f>
        <v>0</v>
      </c>
      <c r="CG100" s="54" cm="1">
        <f t="array" ref="CG100">IFERROR(VLOOKUP($A100,TRANSPOSE('[1]Fur 3 PLC'!$AS$1:$BX$38),6,0),0)</f>
        <v>0</v>
      </c>
      <c r="CH100" s="54" cm="1">
        <f t="array" ref="CH100">IFERROR(VLOOKUP($A100,TRANSPOSE('[1]Fur 3 PLC'!$AS$1:$BX$38),21,0),0)</f>
        <v>0</v>
      </c>
      <c r="CI100" s="54" cm="1">
        <f t="array" ref="CI100">IFERROR(VLOOKUP($A100,TRANSPOSE('[1]Fur 3 PLC'!$AS$1:$BX$38),12,0),0)</f>
        <v>0</v>
      </c>
      <c r="CJ100" s="54" cm="1">
        <f t="array" ref="CJ100">IFERROR(VLOOKUP($A100,TRANSPOSE('[1]Fur 3 PLC'!$AS$1:$BX$38),25,0),0)</f>
        <v>0</v>
      </c>
      <c r="CK100" s="54" cm="1">
        <f t="array" ref="CK100">IFERROR(VLOOKUP($A100,TRANSPOSE('[1]Fur 3 PLC'!$AS$1:$BX$38),26,0),0)</f>
        <v>0</v>
      </c>
      <c r="CL100" s="54" cm="1">
        <f t="array" ref="CL100">IFERROR(VLOOKUP($A100,TRANSPOSE('[1]Fur 3 PLC'!$AS$1:$BX$38),27,0),0)</f>
        <v>0</v>
      </c>
      <c r="CM100" s="54" cm="1">
        <f t="array" ref="CM100">IFERROR(VLOOKUP($A100,TRANSPOSE('[1]Fur 3 PLC'!$AS$1:$BX$38),22,0),0)</f>
        <v>0</v>
      </c>
      <c r="CN100" s="54"/>
      <c r="CO100" s="54" cm="1">
        <f t="array" ref="CO100">IFERROR(VLOOKUP($A100,TRANSPOSE('[1]Fur 3 PLC'!$AS$1:$BX$38),29,0),0)</f>
        <v>0</v>
      </c>
      <c r="CP100" s="54" cm="1">
        <f t="array" ref="CP100">IFERROR(VLOOKUP($A100,TRANSPOSE('[1]Fur 3 PLC'!$AS$1:$BX$38),10,0),0)</f>
        <v>0</v>
      </c>
      <c r="CQ100" s="54" cm="1">
        <f t="array" ref="CQ100">IFERROR(VLOOKUP($A100,TRANSPOSE('[1]Fur 3 PLC'!$AS$1:$BX$38),7,0),0)</f>
        <v>0</v>
      </c>
      <c r="CR100" s="54" cm="1">
        <f t="array" ref="CR100">IFERROR(VLOOKUP($A100,TRANSPOSE('[1]Fur 3 PLC'!$AS$1:$BX$38),35,0),0)</f>
        <v>0</v>
      </c>
      <c r="CS100" s="54" cm="1">
        <f t="array" ref="CS100">IFERROR(VLOOKUP($A100,TRANSPOSE('[1]Fur 3 PLC'!$AS$1:$BX$38),11,0),0)</f>
        <v>0</v>
      </c>
      <c r="CT100" s="54" cm="1">
        <f t="array" ref="CT100">IFERROR(VLOOKUP($A100,TRANSPOSE('[1]Fur 3 PLC'!$AS$1:$BX$38),19,0),0)</f>
        <v>0</v>
      </c>
      <c r="CU100" s="54" cm="1">
        <f t="array" ref="CU100">IFERROR(VLOOKUP($A100,TRANSPOSE('[1]Fur 3 PLC'!$AS$1:$BX$38),18,0),0)</f>
        <v>0</v>
      </c>
      <c r="CV100" s="54" cm="1">
        <f t="array" ref="CV100">IFERROR(VLOOKUP($A100,TRANSPOSE('[1]Fur 3 PLC'!$AR$1:$BV$38),15,0),0)</f>
        <v>0</v>
      </c>
      <c r="CW100" s="54" cm="1">
        <f t="array" ref="CW100">IFERROR(VLOOKUP($A100,TRANSPOSE('[1]Fur 3 PLC'!$CK$1:$DO$38),8,0),0)</f>
        <v>0</v>
      </c>
      <c r="CX100" s="54" cm="1">
        <f t="array" ref="CX100">IFERROR(VLOOKUP($A100,TRANSPOSE('[1]Fur 3 PLC'!$CK$1:$DO$38),30,0),0)</f>
        <v>0</v>
      </c>
      <c r="CY100" s="54" cm="1">
        <f t="array" ref="CY100">IFERROR(VLOOKUP($A100,TRANSPOSE('[1]Fur 3 PLC'!$CK$1:$DO$38),14,0),0)</f>
        <v>0</v>
      </c>
      <c r="CZ100" s="54" cm="1">
        <f t="array" ref="CZ100">IFERROR(VLOOKUP($A100,TRANSPOSE('[1]Fur 3 PLC'!$CK$1:$DO$38),16,0),0)</f>
        <v>0</v>
      </c>
      <c r="DA100" s="54" cm="1">
        <f t="array" ref="DA100">IFERROR(VLOOKUP($A100,TRANSPOSE('[1]Fur 3 PLC'!$CK$1:$DO$38),9,0),0)</f>
        <v>0</v>
      </c>
      <c r="DB100" s="55" cm="1">
        <f t="array" ref="DB100">IFERROR(VLOOKUP($A100,TRANSPOSE('[1]Fur 3 PLC'!$CK$1:$DO$38),17,0),0)</f>
        <v>0</v>
      </c>
      <c r="DC100" s="55" cm="1">
        <f t="array" ref="DC100">IFERROR(VLOOKUP($A100,TRANSPOSE('[1]Fur 3 PLC'!$CK$1:$DO$38),20,0),0)</f>
        <v>0</v>
      </c>
      <c r="DD100" s="54" cm="1">
        <f t="array" ref="DD100">IFERROR(VLOOKUP($A100,TRANSPOSE('[1]Fur 3 PLC'!$CK$1:$DO$38),28,0),0)</f>
        <v>0</v>
      </c>
      <c r="DE100" s="54" cm="1">
        <f t="array" ref="DE100">IFERROR(VLOOKUP($A100,TRANSPOSE('[1]Fur 3 PLC'!$CK$1:$DO$38),13,0),0)</f>
        <v>0</v>
      </c>
      <c r="DF100" s="54" cm="1">
        <f t="array" ref="DF100">IFERROR(VLOOKUP($A100,TRANSPOSE('[1]Fur 3 PLC'!$CK$1:$DO$38),37,0),0)</f>
        <v>0</v>
      </c>
      <c r="DG100" s="54" cm="1">
        <f t="array" ref="DG100">IFERROR(VLOOKUP($A100,TRANSPOSE('[1]Fur 3 PLC'!$CK$1:$DO$38),6,0),0)</f>
        <v>0</v>
      </c>
      <c r="DH100" s="54" cm="1">
        <f t="array" ref="DH100">IFERROR(VLOOKUP($A100,TRANSPOSE('[1]Fur 3 PLC'!$CK$1:$DO$38),21,0),0)</f>
        <v>0</v>
      </c>
      <c r="DI100" s="54" cm="1">
        <f t="array" ref="DI100">IFERROR(VLOOKUP($A100,TRANSPOSE('[1]Fur 3 PLC'!$CK$1:$DO$38),12,0),0)</f>
        <v>0</v>
      </c>
      <c r="DJ100" s="54" cm="1">
        <f t="array" ref="DJ100">IFERROR(VLOOKUP($A100,TRANSPOSE('[1]Fur 3 PLC'!$CK$1:$DO$38),25,0),0)</f>
        <v>0</v>
      </c>
      <c r="DK100" s="54" cm="1">
        <f t="array" ref="DK100">IFERROR(VLOOKUP($A100,TRANSPOSE('[1]Fur 3 PLC'!$CK$1:$DO$38),26,0),0)</f>
        <v>0</v>
      </c>
      <c r="DL100" s="54" cm="1">
        <f t="array" ref="DL100">IFERROR(VLOOKUP($A100,TRANSPOSE('[1]Fur 3 PLC'!$CK$1:$DO$38),27,0),0)</f>
        <v>0</v>
      </c>
      <c r="DM100" s="54" cm="1">
        <f t="array" ref="DM100">IFERROR(VLOOKUP($A100,TRANSPOSE('[1]Fur 3 PLC'!$CK$1:$DO$38),22,0),0)</f>
        <v>0</v>
      </c>
      <c r="DN100" s="54" cm="1">
        <f t="array" ref="DN100">IFERROR(VLOOKUP($A100,TRANSPOSE('[1]Fur 3 PLC'!$CK$1:$DO$38),19,0),0)</f>
        <v>0</v>
      </c>
      <c r="DO100" s="54" cm="1">
        <f t="array" ref="DO100">IFERROR(VLOOKUP($A100,TRANSPOSE('[1]Fur 3 PLC'!$CK$1:$DO$38),29,0),0)</f>
        <v>0</v>
      </c>
      <c r="DP100" s="54" cm="1">
        <f t="array" ref="DP100">IFERROR(VLOOKUP($A100,TRANSPOSE('[1]Fur 3 PLC'!$CK$1:$DO$38),10,0),0)</f>
        <v>0</v>
      </c>
      <c r="DQ100" s="54" cm="1">
        <f t="array" ref="DQ100">IFERROR(VLOOKUP($A100,TRANSPOSE('[1]Fur 3 PLC'!$CK$1:$DO$38),7,0),0)</f>
        <v>0</v>
      </c>
      <c r="DR100" s="54" cm="1">
        <f t="array" ref="DR100">IFERROR(VLOOKUP($A100,TRANSPOSE('[1]Fur 3 PLC'!$CK$1:$DO$38),35,0),0)</f>
        <v>0</v>
      </c>
      <c r="DS100" s="54" cm="1">
        <f t="array" ref="DS100">IFERROR(VLOOKUP($A100,TRANSPOSE('[1]Fur 3 PLC'!$CK$1:$DO$38),11,0),0)</f>
        <v>0</v>
      </c>
      <c r="DT100" s="54" cm="1">
        <f t="array" ref="DT100">IFERROR(VLOOKUP($A100,TRANSPOSE('[1]Fur 3 PLC'!$CK$1:$DO$38),19,0),0)</f>
        <v>0</v>
      </c>
      <c r="DU100" s="54" cm="1">
        <f t="array" ref="DU100">IFERROR(VLOOKUP($A100,TRANSPOSE('[1]Fur 3 PLC'!$CK$1:$DO$38),18,0),0)</f>
        <v>0</v>
      </c>
      <c r="DV100" s="54" cm="1">
        <f t="array" ref="DV100">IFERROR(VLOOKUP($A100,TRANSPOSE('[1]Fur 3 PLC'!$CK$1:$DO$38),15,0),0)</f>
        <v>0</v>
      </c>
      <c r="DW100" t="str">
        <f t="shared" si="121"/>
        <v>Dec-25</v>
      </c>
    </row>
    <row r="101" spans="1:127" x14ac:dyDescent="0.3">
      <c r="A101" s="28" t="str">
        <f t="shared" si="59"/>
        <v>F446016</v>
      </c>
      <c r="B101" s="29" t="s">
        <v>29</v>
      </c>
      <c r="C101" s="30">
        <f>C100</f>
        <v>46016</v>
      </c>
      <c r="D101" s="29" t="str">
        <f>VLOOKUP($B101&amp;$C101,'[1]FC4 Prod'!$A$6:$BP$36,[2]Consolidated!D$1)</f>
        <v>Mr.Ganesh Ghosh Ji</v>
      </c>
      <c r="E101" s="29">
        <f>VLOOKUP($B101&amp;$C101,'[1]FC4 Prod'!$A$6:$BP$36,[2]Consolidated!E$1)</f>
        <v>0</v>
      </c>
      <c r="F101" s="31">
        <f>VLOOKUP($B101&amp;$C101,'[1]FC4 Prod'!$A$6:$BP$36,[2]Consolidated!F$1)</f>
        <v>0</v>
      </c>
      <c r="G101" s="32" t="e">
        <f>VLOOKUP($B101&amp;$C101,'[1]FC4 Prod'!$A$6:$BP$36,[2]Consolidated!G$1)</f>
        <v>#REF!</v>
      </c>
      <c r="H101" s="32">
        <f>VLOOKUP($B101&amp;$C101,'[1]FC4 Prod'!$A$6:$BP$36,[2]Consolidated!H$1)</f>
        <v>0</v>
      </c>
      <c r="I101" s="32">
        <f>VLOOKUP($B101&amp;$C101,'[1]FC4 Prod'!$A$6:$BP$36,[2]Consolidated!I$1)</f>
        <v>0</v>
      </c>
      <c r="J101" s="32">
        <f>VLOOKUP($B101&amp;$C101,'[1]FC4 Prod'!$A$6:$BP$36,[2]Consolidated!J$1)</f>
        <v>0</v>
      </c>
      <c r="K101" s="32">
        <f>VLOOKUP($B101&amp;$C101,'[1]FC4 Prod'!$A$6:$BP$36,[2]Consolidated!K$1)</f>
        <v>0</v>
      </c>
      <c r="L101" s="32">
        <f>VLOOKUP($B101&amp;$C101,'[1]FC4 Prod'!$A$6:$BP$36,[2]Consolidated!L$1)</f>
        <v>0</v>
      </c>
      <c r="M101" s="32">
        <f>VLOOKUP($B101&amp;$C101,'[1]FC4 Prod'!$A$6:$BP$36,[2]Consolidated!M$1)</f>
        <v>0</v>
      </c>
      <c r="N101" s="32">
        <f>VLOOKUP($B101&amp;$C101,'[1]FC4 Prod'!$A$6:$BP$36,[2]Consolidated!N$1)</f>
        <v>0</v>
      </c>
      <c r="O101" s="32">
        <f>VLOOKUP($B101&amp;$C101,'[1]FC4 Prod'!$A$6:$BP$36,[2]Consolidated!O$1)</f>
        <v>0</v>
      </c>
      <c r="P101" s="33">
        <f>VLOOKUP($B101&amp;$C101,'[1]FC4 Prod'!$A$6:$BP$36,[2]Consolidated!P$1)</f>
        <v>2</v>
      </c>
      <c r="Q101" s="29">
        <f>VLOOKUP($B101&amp;$C101,'[1]FC4 Prod'!$A$6:$BP$36,[2]Consolidated!Q$1)</f>
        <v>0</v>
      </c>
      <c r="R101" s="29">
        <f>VLOOKUP($B101&amp;$C101,'[1]FC4 Prod'!$A$6:$BP$36,[2]Consolidated!R$1)</f>
        <v>0</v>
      </c>
      <c r="S101" s="34" t="e">
        <f>VLOOKUP($B101&amp;$C101,'[1]FC4 Prod'!$A$6:$BP$36,[2]Consolidated!S$1)</f>
        <v>#REF!</v>
      </c>
      <c r="T101" s="34" t="e">
        <f>VLOOKUP($B101&amp;$C101,'[1]FC4 Prod'!$A$6:$BP$36,[2]Consolidated!T$1)</f>
        <v>#REF!</v>
      </c>
      <c r="U101" s="34" t="e">
        <f>VLOOKUP($B101&amp;$C101,'[1]FC4 Prod'!$A$6:$BP$36,[2]Consolidated!U$1)</f>
        <v>#REF!</v>
      </c>
      <c r="V101" s="34">
        <f>VLOOKUP($B101&amp;$C101,'[1]FC4 Prod'!$A$6:$BP$36,[2]Consolidated!V$1)</f>
        <v>0</v>
      </c>
      <c r="W101" s="35">
        <f>VLOOKUP($B101&amp;$C101,'[1]FC4 Prod'!$A$6:$BP$36,[2]Consolidated!W$1)</f>
        <v>0</v>
      </c>
      <c r="X101" s="35">
        <f>VLOOKUP($B101&amp;$C101,'[1]FC4 Prod'!$A$6:$BP$36,[2]Consolidated!X$1)</f>
        <v>0</v>
      </c>
      <c r="Y101" s="36">
        <f>VLOOKUP($B101&amp;$C101,'[1]FC4 Prod'!$A$6:$BP$36,[2]Consolidated!Y$1)</f>
        <v>0</v>
      </c>
      <c r="Z101" s="37" t="e">
        <f>VLOOKUP($B101&amp;$C101,'[1]FC4 Prod'!$A$6:$BP$36,[2]Consolidated!Z$1)</f>
        <v>#REF!</v>
      </c>
      <c r="AA101" s="31">
        <f>VLOOKUP($B101&amp;$C101,'[1]FC4 Prod'!$A$6:$BP$36,[2]Consolidated!AA$1)</f>
        <v>0</v>
      </c>
      <c r="AB101" s="31">
        <f>VLOOKUP($B101&amp;$C101,'[1]FC4 Prod'!$A$6:$BP$36,[2]Consolidated!AB$1)</f>
        <v>0</v>
      </c>
      <c r="AC101" s="31">
        <f>VLOOKUP($B101&amp;$C101,'[1]FC4 Prod'!$A$6:$BP$36,[2]Consolidated!AC$1)</f>
        <v>0</v>
      </c>
      <c r="AD101" s="38">
        <f>VLOOKUP($B101&amp;$C101,'[1]FC4 Prod'!$A$6:$BP$36,[2]Consolidated!AD$1)</f>
        <v>0</v>
      </c>
      <c r="AE101" s="38">
        <f>VLOOKUP($B101&amp;$C101,'[1]FC4 Prod'!$A$6:$BP$36,[2]Consolidated!AE$1)</f>
        <v>0</v>
      </c>
      <c r="AF101" s="39">
        <f>VLOOKUP($B101&amp;$C101,'[1]FC4 Prod'!$A$6:$BP$36,[2]Consolidated!AF$1)</f>
        <v>0</v>
      </c>
      <c r="AG101" s="39">
        <f>VLOOKUP($B101&amp;$C101,'[1]FC4 Prod'!$A$6:$BP$36,[2]Consolidated!AG$1)</f>
        <v>0</v>
      </c>
      <c r="AH101" s="34">
        <f>VLOOKUP($B101&amp;$C101,'[1]FC4 Prod'!$A$6:$BP$36,[2]Consolidated!AH$1)</f>
        <v>0</v>
      </c>
      <c r="AI101" s="33">
        <f>VLOOKUP($B101&amp;$C101,'[1]FC4 Prod'!$A$6:$BP$36,[2]Consolidated!AI$1)</f>
        <v>0</v>
      </c>
      <c r="AJ101" s="39">
        <f>VLOOKUP($B101&amp;$C101,'[1]FC4 Prod'!$A$6:$BP$36,[2]Consolidated!AJ$1)</f>
        <v>0</v>
      </c>
      <c r="AK101" s="39">
        <f>VLOOKUP($B101&amp;$C101,'[1]FC4 Prod'!$A$6:$BP$36,[2]Consolidated!AK$1)</f>
        <v>0</v>
      </c>
      <c r="AL101" s="40" t="e">
        <f>VLOOKUP($B101&amp;$C101,'[1]FC4 Prod'!$A$6:$BP$36,[2]Consolidated!AL$1)</f>
        <v>#REF!</v>
      </c>
      <c r="AM101" s="41">
        <f>VLOOKUP($B101&amp;$C101,'[1]FC4 Prod'!$A$6:$BP$36,[2]Consolidated!AM$1)</f>
        <v>0</v>
      </c>
      <c r="AN101" s="42" t="e">
        <f>VLOOKUP($B101&amp;$C101,'[1]FC4 Prod'!$A$6:$BP$36,[2]Consolidated!AN$1)</f>
        <v>#REF!</v>
      </c>
      <c r="AO101" s="43" t="e">
        <f>VLOOKUP($B101&amp;$C101,'[1]FC4 Prod'!$A$6:$BP$36,[2]Consolidated!AO$1)</f>
        <v>#REF!</v>
      </c>
      <c r="AP101" s="44">
        <f>VLOOKUP($B101&amp;$C101,'[1]FC4 Prod'!$A$6:$BP$36,[2]Consolidated!AP$1)</f>
        <v>0</v>
      </c>
      <c r="AQ101" s="44">
        <f>VLOOKUP($B101&amp;$C101,'[1]FC4 Prod'!$A$6:$BP$36,[2]Consolidated!AQ$1)</f>
        <v>0</v>
      </c>
      <c r="AR101" s="45">
        <f>VLOOKUP($B101&amp;$C101,'[1]FC4 Prod'!$A$6:$BP$36,[2]Consolidated!AR$1)</f>
        <v>0</v>
      </c>
      <c r="AS101" s="46">
        <f>VLOOKUP($B101&amp;$C101,'[1]FC4 Prod'!$A$6:$BP$36,[2]Consolidated!AS$1)</f>
        <v>0</v>
      </c>
      <c r="AT101" s="29">
        <f>VLOOKUP($B101&amp;$C101,'[1]FC4 Prod'!$A$6:$BP$36,[2]Consolidated!AT$1)</f>
        <v>0</v>
      </c>
      <c r="AU101" s="34">
        <f>VLOOKUP($B101&amp;$C101,'[1]FC4 Prod'!$A$6:$BP$36,[2]Consolidated!AU$1)</f>
        <v>0</v>
      </c>
      <c r="AV101" s="34">
        <f>VLOOKUP($B101&amp;$C101,'[1]FC4 Prod'!$A$6:$BP$36,[2]Consolidated!AV$1)</f>
        <v>0</v>
      </c>
      <c r="AW101" s="47">
        <f>VLOOKUP($B101&amp;$C101,'[1]FC4 Prod'!$A$6:$BP$36,[2]Consolidated!AW$1)</f>
        <v>0</v>
      </c>
      <c r="AX101" s="47">
        <f>VLOOKUP($B101&amp;$C101,'[1]FC4 Prod'!$A$6:$BP$36,[2]Consolidated!AX$1)</f>
        <v>0</v>
      </c>
      <c r="AY101" s="48">
        <f>VLOOKUP($B101&amp;$C101,'[1]FC4 Prod'!$A$6:$BP$36,[2]Consolidated!AY$1)</f>
        <v>0</v>
      </c>
      <c r="AZ101" s="47">
        <f>VLOOKUP($B101&amp;$C101,'[1]FC4 Prod'!$A$6:$BP$36,[2]Consolidated!AZ$1)</f>
        <v>0</v>
      </c>
      <c r="BA101" s="47">
        <f>VLOOKUP($B101&amp;$C101,'[1]FC4 Prod'!$A$6:$BP$36,[2]Consolidated!BA$1)</f>
        <v>0</v>
      </c>
      <c r="BB101" s="47">
        <f>VLOOKUP($B101&amp;$C101,'[1]FC4 Prod'!$A$6:$BP$36,[2]Consolidated!BB$1)</f>
        <v>0</v>
      </c>
      <c r="BC101" s="47">
        <f>VLOOKUP($B101&amp;$C101,'[1]FC4 Prod'!$A$6:$BP$36,[2]Consolidated!BC$1)</f>
        <v>0</v>
      </c>
      <c r="BD101" s="49">
        <f>VLOOKUP($B101&amp;$C101,'[1]FC4 Prod'!$A$6:$BP$36,[2]Consolidated!BD$1)</f>
        <v>0</v>
      </c>
      <c r="BE101" s="47">
        <f>VLOOKUP($B101&amp;$C101,'[1]FC4 Prod'!$A$6:$BP$36,[2]Consolidated!BE$1)</f>
        <v>0</v>
      </c>
      <c r="BF101" s="47">
        <f>VLOOKUP($B101&amp;$C101,'[1]FC4 Prod'!$A$6:$BP$36,[2]Consolidated!BF$1)</f>
        <v>0</v>
      </c>
      <c r="BG101" s="50">
        <f>VLOOKUP($B101&amp;$C101,'[1]FC4 Prod'!$A$6:$BP$36,[2]Consolidated!BG$1)</f>
        <v>0</v>
      </c>
      <c r="BH101" s="50">
        <f>VLOOKUP($B101&amp;$C101,'[1]FC4 Prod'!$A$6:$BP$36,[2]Consolidated!BH$1)</f>
        <v>0</v>
      </c>
      <c r="BI101" s="50">
        <f>VLOOKUP($B101&amp;$C101,'[1]FC4 Prod'!$A$6:$BP$36,[2]Consolidated!BI$1)</f>
        <v>0</v>
      </c>
      <c r="BJ101" s="37" t="e">
        <f>VLOOKUP($B101&amp;$C101,'[1]FC4 Prod'!$A$6:$BP$36,[2]Consolidated!BJ$1)</f>
        <v>#REF!</v>
      </c>
      <c r="BK101" s="37" t="e">
        <f>VLOOKUP($B101&amp;$C101,'[1]FC4 Prod'!$A$6:$BP$36,[2]Consolidated!BK$1)</f>
        <v>#REF!</v>
      </c>
      <c r="BL101" s="37" t="e">
        <f>VLOOKUP($B101&amp;$C101,'[1]FC4 Prod'!$A$6:$BP$36,[2]Consolidated!BL$1)</f>
        <v>#REF!</v>
      </c>
      <c r="BM101" s="37" t="e">
        <f>VLOOKUP($B101&amp;$C101,'[1]FC4 Prod'!$A$6:$BP$36,[2]Consolidated!BM$1)</f>
        <v>#REF!</v>
      </c>
      <c r="BN101" s="37" t="e">
        <f>VLOOKUP($B101&amp;$C101,'[1]FC4 Prod'!$A$6:$BP$36,[2]Consolidated!BN$1)</f>
        <v>#REF!</v>
      </c>
      <c r="BO101" s="37" t="e">
        <f>VLOOKUP($B101&amp;$C101,'[1]FC4 Prod'!$A$6:$BP$36,[2]Consolidated!BO$1)</f>
        <v>#REF!</v>
      </c>
      <c r="BP101" s="37" t="e">
        <f>VLOOKUP($B101&amp;$C101,'[1]FC4 Prod'!$A$6:$BP$36,[2]Consolidated!BP$1)</f>
        <v>#REF!</v>
      </c>
      <c r="BQ101" s="51" t="e">
        <f>VLOOKUP($B101&amp;$C101,'[1]FC4 Prod'!$A$6:$BP$36,[2]Consolidated!BQ$1)</f>
        <v>#REF!</v>
      </c>
      <c r="BR101" s="51">
        <f>VLOOKUP($B101&amp;$C101,'[1]FC4 Prod'!$A$6:$BQ$36,[2]Consolidated!BR$1)</f>
        <v>41644</v>
      </c>
      <c r="BS101" s="52">
        <f t="shared" ref="BS101" si="124">BE101+BF101*110%+BG101+BA101</f>
        <v>0</v>
      </c>
      <c r="BT101" s="32">
        <f t="shared" si="122"/>
        <v>41644</v>
      </c>
      <c r="BU101" s="37">
        <f t="shared" si="123"/>
        <v>0</v>
      </c>
      <c r="BV101" s="53" t="s">
        <v>133</v>
      </c>
      <c r="BW101" s="54" cm="1">
        <f t="array" ref="BW101">IFERROR(VLOOKUP($A101,TRANSPOSE('[1]Fur 4 PLC'!$AR$1:$BV$39),8,0),0)</f>
        <v>0</v>
      </c>
      <c r="BX101" s="54" cm="1">
        <f t="array" ref="BX101">IFERROR(VLOOKUP($A101,TRANSPOSE('[1]Fur 4 PLC'!$AR$1:$BV$39),30,0),0)</f>
        <v>0</v>
      </c>
      <c r="BY101" s="54" cm="1">
        <f t="array" ref="BY101">IFERROR(VLOOKUP($A101,TRANSPOSE('[1]Fur 4 PLC'!$AR$1:$BV$39),14,0),0)</f>
        <v>0</v>
      </c>
      <c r="BZ101" s="54" cm="1">
        <f t="array" ref="BZ101">IFERROR(VLOOKUP($A101,TRANSPOSE('[1]Fur 4 PLC'!$AR$1:$BV$39),16,0),0)</f>
        <v>0</v>
      </c>
      <c r="CA101" s="54" cm="1">
        <f t="array" ref="CA101">IFERROR(VLOOKUP($A101,TRANSPOSE('[1]Fur 4 PLC'!$AR$1:$BV$39),9,0),0)</f>
        <v>0</v>
      </c>
      <c r="CB101" s="54" cm="1">
        <f t="array" ref="CB101">IFERROR(VLOOKUP($A101,TRANSPOSE('[1]Fur 4 PLC'!$AR$1:$BV$39),17,0),0)</f>
        <v>0</v>
      </c>
      <c r="CC101" s="54" cm="1">
        <f t="array" ref="CC101">IFERROR(VLOOKUP($A101,TRANSPOSE('[1]Fur 4 PLC'!$AR$1:$BV$39),20,0),0)</f>
        <v>0</v>
      </c>
      <c r="CD101" s="54" cm="1">
        <f t="array" ref="CD101">IFERROR(VLOOKUP($A101,TRANSPOSE('[1]Fur 4 PLC'!$AR$1:$BV$39),28,0),0)</f>
        <v>0</v>
      </c>
      <c r="CE101" s="54" cm="1">
        <f t="array" ref="CE101">IFERROR(VLOOKUP($A101,TRANSPOSE('[1]Fur 4 PLC'!$AR$1:$BV$39),13,0),0)</f>
        <v>0</v>
      </c>
      <c r="CF101" s="54" cm="1">
        <f t="array" ref="CF101">IFERROR(VLOOKUP($A101,TRANSPOSE('[1]Fur 4 PLC'!$AR$1:$BV$39),37,0),0)</f>
        <v>0</v>
      </c>
      <c r="CG101" s="54" cm="1">
        <f t="array" ref="CG101">IFERROR(VLOOKUP($A101,TRANSPOSE('[1]Fur 4 PLC'!$AR$1:$BV$39),6,0),0)</f>
        <v>0</v>
      </c>
      <c r="CH101" s="54" cm="1">
        <f t="array" ref="CH101">IFERROR(VLOOKUP($A101,TRANSPOSE('[1]Fur 4 PLC'!$AR$1:$BV$39),21,0),0)</f>
        <v>0</v>
      </c>
      <c r="CI101" s="54" cm="1">
        <f t="array" ref="CI101">IFERROR(VLOOKUP($A101,TRANSPOSE('[1]Fur 4 PLC'!$AR$1:$BV$39),12,0),0)</f>
        <v>0</v>
      </c>
      <c r="CJ101" s="54" cm="1">
        <f t="array" ref="CJ101">IFERROR(VLOOKUP($A101,TRANSPOSE('[1]Fur 4 PLC'!$AR$1:$BV$39),25,0),0)</f>
        <v>0</v>
      </c>
      <c r="CK101" s="54" cm="1">
        <f t="array" ref="CK101">IFERROR(VLOOKUP($A101,TRANSPOSE('[1]Fur 4 PLC'!$AR$1:$BV$39),26,0),0)</f>
        <v>0</v>
      </c>
      <c r="CL101" s="54" cm="1">
        <f t="array" ref="CL101">IFERROR(VLOOKUP($A101,TRANSPOSE('[1]Fur 4 PLC'!$AR$1:$BV$39),27,0),0)</f>
        <v>0</v>
      </c>
      <c r="CM101" s="54" cm="1">
        <f t="array" ref="CM101">IFERROR(VLOOKUP($A101,TRANSPOSE('[1]Fur 4 PLC'!$AR$1:$BV$39),22,0),0)</f>
        <v>0</v>
      </c>
      <c r="CN101" s="54"/>
      <c r="CO101" s="54" cm="1">
        <f t="array" ref="CO101">IFERROR(VLOOKUP($A101,TRANSPOSE('[1]Fur 4 PLC'!$AR$1:$BV$39),29,0),0)</f>
        <v>0</v>
      </c>
      <c r="CP101" s="54" cm="1">
        <f t="array" ref="CP101">IFERROR(VLOOKUP($A101,TRANSPOSE('[1]Fur 4 PLC'!$AR$1:$BV$39),10,0),0)</f>
        <v>0</v>
      </c>
      <c r="CQ101" s="54" cm="1">
        <f t="array" ref="CQ101">IFERROR(VLOOKUP($A101,TRANSPOSE('[1]Fur 4 PLC'!$AR$1:$BV$39),7,0),0)</f>
        <v>0</v>
      </c>
      <c r="CR101" s="54" cm="1">
        <f t="array" ref="CR101">IFERROR(VLOOKUP($A101,TRANSPOSE('[1]Fur 4 PLC'!$AR$1:$BV$39),36,0),0)</f>
        <v>0</v>
      </c>
      <c r="CS101" s="54" cm="1">
        <f t="array" ref="CS101">IFERROR(VLOOKUP($A101,TRANSPOSE('[1]Fur 4 PLC'!$AR$1:$BV$39),11,0),0)</f>
        <v>0</v>
      </c>
      <c r="CT101" s="54" cm="1">
        <f t="array" ref="CT101">IFERROR(VLOOKUP($A101,TRANSPOSE('[1]Fur 4 PLC'!$AR$1:$BV$39),19,0),0)</f>
        <v>0</v>
      </c>
      <c r="CU101" s="54" cm="1">
        <f t="array" ref="CU101">IFERROR(VLOOKUP($A101,TRANSPOSE('[1]Fur 4 PLC'!$AR$1:$BV$39),18,0),0)</f>
        <v>0</v>
      </c>
      <c r="CV101" s="54" cm="1">
        <f t="array" ref="CV101">IFERROR(VLOOKUP($A101,TRANSPOSE('[1]Fur 4 PLC'!$AR$1:$BV$38),15,0),0)</f>
        <v>0</v>
      </c>
      <c r="CW101" s="54" cm="1">
        <f t="array" ref="CW101">IFERROR(VLOOKUP($A101,TRANSPOSE('[1]Fur 4 PLC'!$CK$1:$DO$39),8,0),0)</f>
        <v>0</v>
      </c>
      <c r="CX101" s="54" cm="1">
        <f t="array" ref="CX101">IFERROR(VLOOKUP($A101,TRANSPOSE('[1]Fur 4 PLC'!$CK$1:$DO$39),30,0),0)</f>
        <v>0</v>
      </c>
      <c r="CY101" s="54" cm="1">
        <f t="array" ref="CY101">IFERROR(VLOOKUP($A101,TRANSPOSE('[1]Fur 4 PLC'!$CK$1:$DO$39),14,0),0)</f>
        <v>0</v>
      </c>
      <c r="CZ101" s="54" cm="1">
        <f t="array" ref="CZ101">IFERROR(VLOOKUP($A101,TRANSPOSE('[1]Fur 4 PLC'!$CK$1:$DO$39),16,0),0)</f>
        <v>0</v>
      </c>
      <c r="DA101" s="54" cm="1">
        <f t="array" ref="DA101">IFERROR(VLOOKUP($A101,TRANSPOSE('[1]Fur 4 PLC'!$CK$1:$DO$39),9,0),0)</f>
        <v>0</v>
      </c>
      <c r="DB101" s="55" cm="1">
        <f t="array" ref="DB101">IFERROR(VLOOKUP($A101,TRANSPOSE('[1]Fur 4 PLC'!$CK$1:$DO$39),17,0),0)</f>
        <v>0</v>
      </c>
      <c r="DC101" s="55" cm="1">
        <f t="array" ref="DC101">IFERROR(VLOOKUP($A101,TRANSPOSE('[1]Fur 4 PLC'!$CK$1:$DO$39),20,0),0)</f>
        <v>0</v>
      </c>
      <c r="DD101" s="54" cm="1">
        <f t="array" ref="DD101">IFERROR(VLOOKUP($A101,TRANSPOSE('[1]Fur 4 PLC'!$CK$1:$DO$39),28,0),0)</f>
        <v>0</v>
      </c>
      <c r="DE101" s="54" cm="1">
        <f t="array" ref="DE101">IFERROR(VLOOKUP($A101,TRANSPOSE('[1]Fur 4 PLC'!$CK$1:$DO$39),13,0),0)</f>
        <v>0</v>
      </c>
      <c r="DF101" s="54" cm="1">
        <f t="array" ref="DF101">IFERROR(VLOOKUP($A101,TRANSPOSE('[1]Fur 4 PLC'!$CK$1:$DO$39),37,0),0)</f>
        <v>0</v>
      </c>
      <c r="DG101" s="54" cm="1">
        <f t="array" ref="DG101">IFERROR(VLOOKUP($A101,TRANSPOSE('[1]Fur 4 PLC'!$CK$1:$DO$39),6,0),0)</f>
        <v>0</v>
      </c>
      <c r="DH101" s="54" cm="1">
        <f t="array" ref="DH101">IFERROR(VLOOKUP($A101,TRANSPOSE('[1]Fur 4 PLC'!$CK$1:$DO$39),21,0),0)</f>
        <v>0</v>
      </c>
      <c r="DI101" s="54" cm="1">
        <f t="array" ref="DI101">IFERROR(VLOOKUP($A101,TRANSPOSE('[1]Fur 4 PLC'!$CK$1:$DO$39),12,0),0)</f>
        <v>0</v>
      </c>
      <c r="DJ101" s="54" cm="1">
        <f t="array" ref="DJ101">IFERROR(VLOOKUP($A101,TRANSPOSE('[1]Fur 4 PLC'!$CK$1:$DO$39),25,0),0)</f>
        <v>0</v>
      </c>
      <c r="DK101" s="54" cm="1">
        <f t="array" ref="DK101">IFERROR(VLOOKUP($A101,TRANSPOSE('[1]Fur 4 PLC'!$CK$1:$DO$39),26,0),0)</f>
        <v>0</v>
      </c>
      <c r="DL101" s="54" cm="1">
        <f t="array" ref="DL101">IFERROR(VLOOKUP($A101,TRANSPOSE('[1]Fur 4 PLC'!$CK$1:$DO$39),27,0),0)</f>
        <v>0</v>
      </c>
      <c r="DM101" s="54" cm="1">
        <f t="array" ref="DM101">IFERROR(VLOOKUP($A101,TRANSPOSE('[1]Fur 4 PLC'!$CK$1:$DO$39),22,0),0)</f>
        <v>0</v>
      </c>
      <c r="DN101" s="54" cm="1">
        <f t="array" ref="DN101">IFERROR(VLOOKUP($A101,TRANSPOSE('[1]Fur 4 PLC'!$CK$1:$DO$39),19,0),0)</f>
        <v>0</v>
      </c>
      <c r="DO101" s="54" cm="1">
        <f t="array" ref="DO101">IFERROR(VLOOKUP($A101,TRANSPOSE('[1]Fur 4 PLC'!$CK$1:$DO$39),29,0),0)</f>
        <v>0</v>
      </c>
      <c r="DP101" s="54" cm="1">
        <f t="array" ref="DP101">IFERROR(VLOOKUP($A101,TRANSPOSE('[1]Fur 4 PLC'!$CK$1:$DO$39),10,0),0)</f>
        <v>0</v>
      </c>
      <c r="DQ101" s="54" cm="1">
        <f t="array" ref="DQ101">IFERROR(VLOOKUP($A101,TRANSPOSE('[1]Fur 4 PLC'!$CK$1:$DO$39),7,0),0)</f>
        <v>0</v>
      </c>
      <c r="DR101" s="54" cm="1">
        <f t="array" ref="DR101">IFERROR(VLOOKUP($A101,TRANSPOSE('[1]Fur 4 PLC'!$CK$1:$DO$39),36,0),0)</f>
        <v>0</v>
      </c>
      <c r="DS101" s="54" cm="1">
        <f t="array" ref="DS101">IFERROR(VLOOKUP($A101,TRANSPOSE('[1]Fur 4 PLC'!$CK$1:$DO$39),11,0),0)</f>
        <v>0</v>
      </c>
      <c r="DT101" s="54" cm="1">
        <f t="array" ref="DT101">IFERROR(VLOOKUP($A101,TRANSPOSE('[1]Fur 4 PLC'!$CK$1:$DO$39),19,0),0)</f>
        <v>0</v>
      </c>
      <c r="DU101" s="54" cm="1">
        <f t="array" ref="DU101">IFERROR(VLOOKUP($A101,TRANSPOSE('[1]Fur 4 PLC'!$CK$1:$DO$39),18,0),0)</f>
        <v>0</v>
      </c>
      <c r="DV101" s="54" cm="1">
        <f t="array" ref="DV101">IFERROR(VLOOKUP($A101,TRANSPOSE('[1]Fur 4 PLC'!$CK$1:$DO$39),15,0),0)</f>
        <v>0</v>
      </c>
      <c r="DW101" t="str">
        <f t="shared" si="121"/>
        <v>Dec-25</v>
      </c>
    </row>
    <row r="102" spans="1:127" x14ac:dyDescent="0.3">
      <c r="A102" s="28" t="str">
        <f t="shared" si="59"/>
        <v>F146017</v>
      </c>
      <c r="B102" s="29" t="s">
        <v>26</v>
      </c>
      <c r="C102" s="30">
        <f>C98+1</f>
        <v>46017</v>
      </c>
      <c r="D102" s="29" t="str">
        <f>VLOOKUP($B102&amp;$C102,'[1]FC1 Prod'!$A$6:$BP$36,[2]Consolidated!D$1)</f>
        <v>Raju Singh</v>
      </c>
      <c r="E102" s="29">
        <f>VLOOKUP($B102&amp;$C102,'[1]FC1 Prod'!$A$6:$BP$36,[2]Consolidated!E$1)</f>
        <v>0</v>
      </c>
      <c r="F102" s="31">
        <f>VLOOKUP($B102&amp;$C102,'[1]FC1 Prod'!$A$6:$BP$36,[2]Consolidated!F$1)</f>
        <v>0</v>
      </c>
      <c r="G102" s="32" t="e">
        <f>VLOOKUP($B102&amp;$C102,'[1]FC1 Prod'!$A$6:$BP$36,[2]Consolidated!G$1)</f>
        <v>#REF!</v>
      </c>
      <c r="H102" s="32">
        <f>VLOOKUP($B102&amp;$C102,'[1]FC1 Prod'!$A$6:$BP$36,[2]Consolidated!H$1)</f>
        <v>0</v>
      </c>
      <c r="I102" s="32">
        <f>VLOOKUP($B102&amp;$C102,'[1]FC1 Prod'!$A$6:$BP$36,[2]Consolidated!I$1)</f>
        <v>0</v>
      </c>
      <c r="J102" s="32">
        <f>VLOOKUP($B102&amp;$C102,'[1]FC1 Prod'!$A$6:$BP$36,[2]Consolidated!J$1)</f>
        <v>0</v>
      </c>
      <c r="K102" s="32">
        <f>VLOOKUP($B102&amp;$C102,'[1]FC1 Prod'!$A$6:$BP$36,[2]Consolidated!K$1)</f>
        <v>0</v>
      </c>
      <c r="L102" s="32">
        <f>VLOOKUP($B102&amp;$C102,'[1]FC1 Prod'!$A$6:$BP$36,[2]Consolidated!L$1)</f>
        <v>0</v>
      </c>
      <c r="M102" s="32">
        <f>VLOOKUP($B102&amp;$C102,'[1]FC1 Prod'!$A$6:$BP$36,[2]Consolidated!M$1)</f>
        <v>0</v>
      </c>
      <c r="N102" s="32">
        <f>VLOOKUP($B102&amp;$C102,'[1]FC1 Prod'!$A$6:$BP$36,[2]Consolidated!N$1)</f>
        <v>0</v>
      </c>
      <c r="O102" s="32">
        <f>VLOOKUP($B102&amp;$C102,'[1]FC1 Prod'!$A$6:$BP$36,[2]Consolidated!O$1)</f>
        <v>0</v>
      </c>
      <c r="P102" s="33">
        <f>VLOOKUP($B102&amp;$C102,'[1]FC1 Prod'!$A$6:$BP$36,[2]Consolidated!P$1)</f>
        <v>4</v>
      </c>
      <c r="Q102" s="29">
        <f>VLOOKUP($B102&amp;$C102,'[1]FC1 Prod'!$A$6:$BP$36,[2]Consolidated!Q$1)</f>
        <v>0</v>
      </c>
      <c r="R102" s="29">
        <f>VLOOKUP($B102&amp;$C102,'[1]FC1 Prod'!$A$6:$BP$36,[2]Consolidated!R$1)</f>
        <v>0</v>
      </c>
      <c r="S102" s="34" t="e">
        <f>VLOOKUP($B102&amp;$C102,'[1]FC1 Prod'!$A$6:$BP$36,[2]Consolidated!S$1)</f>
        <v>#REF!</v>
      </c>
      <c r="T102" s="34" t="e">
        <f>VLOOKUP($B102&amp;$C102,'[1]FC1 Prod'!$A$6:$BP$36,[2]Consolidated!T$1)</f>
        <v>#REF!</v>
      </c>
      <c r="U102" s="34" t="e">
        <f>VLOOKUP($B102&amp;$C102,'[1]FC1 Prod'!$A$6:$BP$36,[2]Consolidated!U$1)</f>
        <v>#REF!</v>
      </c>
      <c r="V102" s="34">
        <f>VLOOKUP($B102&amp;$C102,'[1]FC1 Prod'!$A$6:$BP$36,[2]Consolidated!V$1)</f>
        <v>0</v>
      </c>
      <c r="W102" s="35">
        <f>VLOOKUP($B102&amp;$C102,'[1]FC1 Prod'!$A$6:$BP$36,[2]Consolidated!W$1)</f>
        <v>0</v>
      </c>
      <c r="X102" s="35">
        <f>VLOOKUP($B102&amp;$C102,'[1]FC1 Prod'!$A$6:$BP$36,[2]Consolidated!X$1)</f>
        <v>0</v>
      </c>
      <c r="Y102" s="36">
        <f>VLOOKUP($B102&amp;$C102,'[1]FC1 Prod'!$A$6:$BP$36,[2]Consolidated!Y$1)</f>
        <v>0</v>
      </c>
      <c r="Z102" s="37" t="e">
        <f>VLOOKUP($B102&amp;$C102,'[1]FC1 Prod'!$A$6:$BP$36,[2]Consolidated!Z$1)</f>
        <v>#REF!</v>
      </c>
      <c r="AA102" s="31">
        <f>VLOOKUP($B102&amp;$C102,'[1]FC1 Prod'!$A$6:$BP$36,[2]Consolidated!AA$1)</f>
        <v>0</v>
      </c>
      <c r="AB102" s="31">
        <f>VLOOKUP($B102&amp;$C102,'[1]FC1 Prod'!$A$6:$BP$36,[2]Consolidated!AB$1)</f>
        <v>0</v>
      </c>
      <c r="AC102" s="31">
        <f>VLOOKUP($B102&amp;$C102,'[1]FC1 Prod'!$A$6:$BP$36,[2]Consolidated!AC$1)</f>
        <v>0</v>
      </c>
      <c r="AD102" s="38">
        <f>VLOOKUP($B102&amp;$C102,'[1]FC1 Prod'!$A$6:$BP$36,[2]Consolidated!AD$1)</f>
        <v>0</v>
      </c>
      <c r="AE102" s="38">
        <f>VLOOKUP($B102&amp;$C102,'[1]FC1 Prod'!$A$6:$BP$36,[2]Consolidated!AE$1)</f>
        <v>0</v>
      </c>
      <c r="AF102" s="39">
        <f>VLOOKUP($B102&amp;$C102,'[1]FC1 Prod'!$A$6:$BP$36,[2]Consolidated!AF$1)</f>
        <v>0</v>
      </c>
      <c r="AG102" s="39">
        <f>VLOOKUP($B102&amp;$C102,'[1]FC1 Prod'!$A$6:$BP$36,[2]Consolidated!AG$1)</f>
        <v>0</v>
      </c>
      <c r="AH102" s="34">
        <f>VLOOKUP($B102&amp;$C102,'[1]FC1 Prod'!$A$6:$BP$36,[2]Consolidated!AH$1)</f>
        <v>0</v>
      </c>
      <c r="AI102" s="33">
        <f>VLOOKUP($B102&amp;$C102,'[1]FC1 Prod'!$A$6:$BP$36,[2]Consolidated!AI$1)</f>
        <v>0</v>
      </c>
      <c r="AJ102" s="39">
        <f>VLOOKUP($B102&amp;$C102,'[1]FC1 Prod'!$A$6:$BP$36,[2]Consolidated!AJ$1)</f>
        <v>0</v>
      </c>
      <c r="AK102" s="39">
        <f>VLOOKUP($B102&amp;$C102,'[1]FC1 Prod'!$A$6:$BP$36,[2]Consolidated!AK$1)</f>
        <v>0</v>
      </c>
      <c r="AL102" s="40" t="e">
        <f>VLOOKUP($B102&amp;$C102,'[1]FC1 Prod'!$A$6:$BP$36,[2]Consolidated!AL$1)</f>
        <v>#REF!</v>
      </c>
      <c r="AM102" s="41">
        <f>VLOOKUP($B102&amp;$C102,'[1]FC1 Prod'!$A$6:$BP$36,[2]Consolidated!AM$1)</f>
        <v>0</v>
      </c>
      <c r="AN102" s="42" t="e">
        <f>VLOOKUP($B102&amp;$C102,'[1]FC1 Prod'!$A$6:$BP$36,[2]Consolidated!AN$1)</f>
        <v>#REF!</v>
      </c>
      <c r="AO102" s="43" t="e">
        <f>VLOOKUP($B102&amp;$C102,'[1]FC1 Prod'!$A$6:$BP$36,[2]Consolidated!AO$1)</f>
        <v>#REF!</v>
      </c>
      <c r="AP102" s="44">
        <f>VLOOKUP($B102&amp;$C102,'[1]FC1 Prod'!$A$6:$BP$36,[2]Consolidated!AP$1)</f>
        <v>0</v>
      </c>
      <c r="AQ102" s="44">
        <f>VLOOKUP($B102&amp;$C102,'[1]FC1 Prod'!$A$6:$BP$36,[2]Consolidated!AQ$1)</f>
        <v>0</v>
      </c>
      <c r="AR102" s="45">
        <f>VLOOKUP($B102&amp;$C102,'[1]FC1 Prod'!$A$6:$BP$36,[2]Consolidated!AR$1)</f>
        <v>0</v>
      </c>
      <c r="AS102" s="46">
        <f>VLOOKUP($B102&amp;$C102,'[1]FC1 Prod'!$A$6:$BP$36,[2]Consolidated!AS$1)</f>
        <v>0</v>
      </c>
      <c r="AT102" s="29">
        <f>VLOOKUP($B102&amp;$C102,'[1]FC1 Prod'!$A$6:$BP$36,[2]Consolidated!AT$1)</f>
        <v>0</v>
      </c>
      <c r="AU102" s="34">
        <f>VLOOKUP($B102&amp;$C102,'[1]FC1 Prod'!$A$6:$BP$36,[2]Consolidated!AU$1)</f>
        <v>0</v>
      </c>
      <c r="AV102" s="34">
        <f>VLOOKUP($B102&amp;$C102,'[1]FC1 Prod'!$A$6:$BP$36,[2]Consolidated!AV$1)</f>
        <v>0</v>
      </c>
      <c r="AW102" s="47">
        <f>VLOOKUP($B102&amp;$C102,'[1]FC1 Prod'!$A$6:$BP$36,[2]Consolidated!AW$1)</f>
        <v>0</v>
      </c>
      <c r="AX102" s="47">
        <f>VLOOKUP($B102&amp;$C102,'[1]FC1 Prod'!$A$6:$BP$36,[2]Consolidated!AX$1)</f>
        <v>0</v>
      </c>
      <c r="AY102" s="48">
        <f>VLOOKUP($B102&amp;$C102,'[1]FC1 Prod'!$A$6:$BP$36,[2]Consolidated!AY$1)</f>
        <v>0</v>
      </c>
      <c r="AZ102" s="47">
        <f>VLOOKUP($B102&amp;$C102,'[1]FC1 Prod'!$A$6:$BP$36,[2]Consolidated!AZ$1)</f>
        <v>0</v>
      </c>
      <c r="BA102" s="47">
        <f>VLOOKUP($B102&amp;$C102,'[1]FC1 Prod'!$A$6:$BP$36,[2]Consolidated!BA$1)</f>
        <v>0</v>
      </c>
      <c r="BB102" s="47">
        <f>VLOOKUP($B102&amp;$C102,'[1]FC1 Prod'!$A$6:$BP$36,[2]Consolidated!BB$1)</f>
        <v>0</v>
      </c>
      <c r="BC102" s="47">
        <f>VLOOKUP($B102&amp;$C102,'[1]FC1 Prod'!$A$6:$BP$36,[2]Consolidated!BC$1)</f>
        <v>0</v>
      </c>
      <c r="BD102" s="49">
        <f>VLOOKUP($B102&amp;$C102,'[1]FC1 Prod'!$A$6:$BP$36,[2]Consolidated!BD$1)</f>
        <v>0</v>
      </c>
      <c r="BE102" s="47">
        <f>VLOOKUP($B102&amp;$C102,'[1]FC1 Prod'!$A$6:$BP$36,[2]Consolidated!BE$1)</f>
        <v>0</v>
      </c>
      <c r="BF102" s="47">
        <f>VLOOKUP($B102&amp;$C102,'[1]FC1 Prod'!$A$6:$BP$36,[2]Consolidated!BF$1)</f>
        <v>0</v>
      </c>
      <c r="BG102" s="50">
        <f>VLOOKUP($B102&amp;$C102,'[1]FC1 Prod'!$A$6:$BP$36,[2]Consolidated!BG$1)</f>
        <v>0</v>
      </c>
      <c r="BH102" s="50">
        <f>VLOOKUP($B102&amp;$C102,'[1]FC1 Prod'!$A$6:$BP$36,[2]Consolidated!BH$1)</f>
        <v>0</v>
      </c>
      <c r="BI102" s="50">
        <f>VLOOKUP($B102&amp;$C102,'[1]FC1 Prod'!$A$6:$BP$36,[2]Consolidated!BI$1)</f>
        <v>0</v>
      </c>
      <c r="BJ102" s="37" t="e">
        <f>VLOOKUP($B102&amp;$C102,'[1]FC1 Prod'!$A$6:$BP$36,[2]Consolidated!BJ$1)</f>
        <v>#REF!</v>
      </c>
      <c r="BK102" s="37" t="e">
        <f>VLOOKUP($B102&amp;$C102,'[1]FC1 Prod'!$A$6:$BP$36,[2]Consolidated!BK$1)</f>
        <v>#REF!</v>
      </c>
      <c r="BL102" s="37" t="e">
        <f>VLOOKUP($B102&amp;$C102,'[1]FC1 Prod'!$A$6:$BP$36,[2]Consolidated!BL$1)</f>
        <v>#REF!</v>
      </c>
      <c r="BM102" s="37" t="e">
        <f>VLOOKUP($B102&amp;$C102,'[1]FC1 Prod'!$A$6:$BP$36,[2]Consolidated!BM$1)</f>
        <v>#REF!</v>
      </c>
      <c r="BN102" s="37" t="e">
        <f>VLOOKUP($B102&amp;$C102,'[1]FC1 Prod'!$A$6:$BP$36,[2]Consolidated!BN$1)</f>
        <v>#REF!</v>
      </c>
      <c r="BO102" s="37" t="e">
        <f>VLOOKUP($B102&amp;$C102,'[1]FC1 Prod'!$A$6:$BP$36,[2]Consolidated!BO$1)</f>
        <v>#REF!</v>
      </c>
      <c r="BP102" s="37" t="e">
        <f>VLOOKUP($B102&amp;$C102,'[1]FC1 Prod'!$A$6:$BP$36,[2]Consolidated!BP$1)</f>
        <v>#REF!</v>
      </c>
      <c r="BQ102" s="51" t="e">
        <f>VLOOKUP($B102&amp;$C102,'[1]FC1 Prod'!$A$6:$BP$36,[2]Consolidated!BQ$1)</f>
        <v>#REF!</v>
      </c>
      <c r="BR102" s="51">
        <f>VLOOKUP($B102&amp;$C102,'[1]FC1 Prod'!$A$6:$BQ$36,[2]Consolidated!BR$1)</f>
        <v>69902</v>
      </c>
      <c r="BS102" s="52">
        <f t="shared" ref="BS102:BS104" si="125">BE102+BF102+BG102+BA102</f>
        <v>0</v>
      </c>
      <c r="BT102" s="32">
        <f>BR102-BS102</f>
        <v>69902</v>
      </c>
      <c r="BU102" s="37">
        <f>E102*BT102</f>
        <v>0</v>
      </c>
      <c r="BV102" s="53" t="s">
        <v>133</v>
      </c>
      <c r="BW102" s="54" cm="1">
        <f t="array" ref="BW102">IFERROR(VLOOKUP($A102,TRANSPOSE('[1]Fur 1 PLC'!$AR$1:$BV$38),8,0),0)</f>
        <v>0</v>
      </c>
      <c r="BX102" s="54" cm="1">
        <f t="array" ref="BX102">IFERROR(VLOOKUP($A102,TRANSPOSE('[1]Fur 1 PLC'!$AR$1:$BV$38),30,0),0)</f>
        <v>0</v>
      </c>
      <c r="BY102" s="54" cm="1">
        <f t="array" ref="BY102">IFERROR(VLOOKUP($A102,TRANSPOSE('[1]Fur 1 PLC'!$AR$1:$BV$38),14,0),0)</f>
        <v>0</v>
      </c>
      <c r="BZ102" s="54" cm="1">
        <f t="array" ref="BZ102">IFERROR(VLOOKUP($A102,TRANSPOSE('[1]Fur 1 PLC'!$AR$1:$BV$38),16,0),0)</f>
        <v>0</v>
      </c>
      <c r="CA102" s="54" cm="1">
        <f t="array" ref="CA102">IFERROR(VLOOKUP($A102,TRANSPOSE('[1]Fur 1 PLC'!$AR$1:$BV$38),9,0),0)</f>
        <v>0</v>
      </c>
      <c r="CB102" s="54" cm="1">
        <f t="array" ref="CB102">IFERROR(VLOOKUP($A102,TRANSPOSE('[1]Fur 1 PLC'!$AR$1:$BV$38),17,0),0)</f>
        <v>0</v>
      </c>
      <c r="CC102" s="54" cm="1">
        <f t="array" ref="CC102">IFERROR(VLOOKUP($A102,TRANSPOSE('[1]Fur 1 PLC'!$AR$1:$BV$38),20,0),0)</f>
        <v>0</v>
      </c>
      <c r="CD102" s="54" cm="1">
        <f t="array" ref="CD102">IFERROR(VLOOKUP($A102,TRANSPOSE('[1]Fur 1 PLC'!$AR$1:$BV$38),28,0),0)</f>
        <v>0</v>
      </c>
      <c r="CE102" s="54" cm="1">
        <f t="array" ref="CE102">IFERROR(VLOOKUP($A102,TRANSPOSE('[1]Fur 1 PLC'!$AR$1:$BV$38),13,0),0)</f>
        <v>0</v>
      </c>
      <c r="CF102" s="54" cm="1">
        <f t="array" ref="CF102">IFERROR(VLOOKUP($A102,TRANSPOSE('[1]Fur 1 PLC'!$AR$1:$BV$38),37,0),0)</f>
        <v>0</v>
      </c>
      <c r="CG102" s="54" cm="1">
        <f t="array" ref="CG102">IFERROR(VLOOKUP($A102,TRANSPOSE('[1]Fur 1 PLC'!$AR$1:$BV$38),6,0),0)</f>
        <v>0</v>
      </c>
      <c r="CH102" s="54" cm="1">
        <f t="array" ref="CH102">IFERROR(VLOOKUP($A102,TRANSPOSE('[1]Fur 1 PLC'!$AR$1:$BV$38),21,0),0)</f>
        <v>0</v>
      </c>
      <c r="CI102" s="54" cm="1">
        <f t="array" ref="CI102">IFERROR(VLOOKUP($A102,TRANSPOSE('[1]Fur 1 PLC'!$AR$1:$BV$38),12,0),0)</f>
        <v>0</v>
      </c>
      <c r="CJ102" s="54" cm="1">
        <f t="array" ref="CJ102">IFERROR(VLOOKUP($A102,TRANSPOSE('[1]Fur 1 PLC'!$AR$1:$BV$38),25,0),0)</f>
        <v>0</v>
      </c>
      <c r="CK102" s="54" cm="1">
        <f t="array" ref="CK102">IFERROR(VLOOKUP($A102,TRANSPOSE('[1]Fur 1 PLC'!$AR$1:$BV$38),26,0),0)</f>
        <v>0</v>
      </c>
      <c r="CL102" s="54" cm="1">
        <f t="array" ref="CL102">IFERROR(VLOOKUP($A102,TRANSPOSE('[1]Fur 1 PLC'!$AR$1:$BV$38),27,0),0)</f>
        <v>0</v>
      </c>
      <c r="CM102" s="54" cm="1">
        <f t="array" ref="CM102">IFERROR(VLOOKUP($A102,TRANSPOSE('[1]Fur 1 PLC'!$AR$1:$BV$38),22,0),0)</f>
        <v>0</v>
      </c>
      <c r="CN102" s="54"/>
      <c r="CO102" s="54" cm="1">
        <f t="array" ref="CO102">IFERROR(VLOOKUP($A102,TRANSPOSE('[1]Fur 1 PLC'!$AR$1:$BV$38),29,0),0)</f>
        <v>0</v>
      </c>
      <c r="CP102" s="54" cm="1">
        <f t="array" ref="CP102">IFERROR(VLOOKUP($A102,TRANSPOSE('[1]Fur 1 PLC'!$AR$1:$BV$38),10,0),0)</f>
        <v>0</v>
      </c>
      <c r="CQ102" s="54" cm="1">
        <f t="array" ref="CQ102">IFERROR(VLOOKUP($A102,TRANSPOSE('[1]Fur 1 PLC'!$AR$1:$BV$38),7,0),0)</f>
        <v>0</v>
      </c>
      <c r="CR102" s="54" cm="1">
        <f t="array" ref="CR102">IFERROR(VLOOKUP($A102,TRANSPOSE('[1]Fur 1 PLC'!$AR$1:$BV$38),35,0),0)</f>
        <v>0</v>
      </c>
      <c r="CS102" s="54" cm="1">
        <f t="array" ref="CS102">IFERROR(VLOOKUP($A102,TRANSPOSE('[1]Fur 1 PLC'!$AR$1:$BV$38),11,0),0)</f>
        <v>0</v>
      </c>
      <c r="CT102" s="54" cm="1">
        <f t="array" ref="CT102">IFERROR(VLOOKUP($A102,TRANSPOSE('[1]Fur 1 PLC'!$AR$1:$BV$38),19,0),0)</f>
        <v>0</v>
      </c>
      <c r="CU102" s="54" cm="1">
        <f t="array" ref="CU102">IFERROR(VLOOKUP($A102,TRANSPOSE('[1]Fur 1 PLC'!$AR$1:$BV$38),18,0),0)</f>
        <v>0</v>
      </c>
      <c r="CV102" s="54" cm="1">
        <f t="array" ref="CV102">IFERROR(VLOOKUP($A102,TRANSPOSE('[1]Fur 1 PLC'!$AR$1:$BV$38),15,0),0)</f>
        <v>0</v>
      </c>
      <c r="CW102" s="54" cm="1">
        <f t="array" ref="CW102">IFERROR(VLOOKUP($A102,TRANSPOSE('[1]Fur 1 PLC'!$CL$1:$DP$38),8,0),0)</f>
        <v>0</v>
      </c>
      <c r="CX102" s="54" cm="1">
        <f t="array" ref="CX102">IFERROR(VLOOKUP($A102,TRANSPOSE('[1]Fur 1 PLC'!$CL$1:$DP$38),30,0),0)</f>
        <v>0</v>
      </c>
      <c r="CY102" s="54" cm="1">
        <f t="array" ref="CY102">IFERROR(VLOOKUP($A102,TRANSPOSE('[1]Fur 1 PLC'!$CL$1:$DP$38),14,0),0)</f>
        <v>0</v>
      </c>
      <c r="CZ102" s="54" cm="1">
        <f t="array" ref="CZ102">IFERROR(VLOOKUP($A102,TRANSPOSE('[1]Fur 1 PLC'!$CL$1:$DP$38),16,0),0)</f>
        <v>0</v>
      </c>
      <c r="DA102" s="54" cm="1">
        <f t="array" ref="DA102">IFERROR(VLOOKUP($A102,TRANSPOSE('[1]Fur 1 PLC'!$CL$1:$DP$38),9,0),0)</f>
        <v>0</v>
      </c>
      <c r="DB102" s="55" cm="1">
        <f t="array" ref="DB102">IFERROR(VLOOKUP($A102,TRANSPOSE('[1]Fur 1 PLC'!$CL$1:$DP$38),17,0),0)</f>
        <v>0</v>
      </c>
      <c r="DC102" s="55" cm="1">
        <f t="array" ref="DC102">IFERROR(VLOOKUP($A102,TRANSPOSE('[1]Fur 1 PLC'!$CL$1:$DP$38),20,0),0)</f>
        <v>0</v>
      </c>
      <c r="DD102" s="54" cm="1">
        <f t="array" ref="DD102">IFERROR(VLOOKUP($A102,TRANSPOSE('[1]Fur 1 PLC'!$CL$1:$DP$38),28,0),0)</f>
        <v>0</v>
      </c>
      <c r="DE102" s="54" cm="1">
        <f t="array" ref="DE102">IFERROR(VLOOKUP($A102,TRANSPOSE('[1]Fur 1 PLC'!$CL$1:$DP$38),13,0),0)</f>
        <v>0</v>
      </c>
      <c r="DF102" s="54" cm="1">
        <f t="array" ref="DF102">IFERROR(VLOOKUP($A102,TRANSPOSE('[1]Fur 1 PLC'!$CL$1:$DP$38),37,0),0)</f>
        <v>0</v>
      </c>
      <c r="DG102" s="54" cm="1">
        <f t="array" ref="DG102">IFERROR(VLOOKUP($A102,TRANSPOSE('[1]Fur 1 PLC'!$CL$1:$DP$38),6,0),0)</f>
        <v>0</v>
      </c>
      <c r="DH102" s="54" cm="1">
        <f t="array" ref="DH102">IFERROR(VLOOKUP($A102,TRANSPOSE('[1]Fur 1 PLC'!$CL$1:$DP$38),21,0),0)</f>
        <v>0</v>
      </c>
      <c r="DI102" s="54" cm="1">
        <f t="array" ref="DI102">IFERROR(VLOOKUP($A102,TRANSPOSE('[1]Fur 1 PLC'!$CL$1:$DP$38),12,0),0)</f>
        <v>0</v>
      </c>
      <c r="DJ102" s="54" cm="1">
        <f t="array" ref="DJ102">IFERROR(VLOOKUP($A102,TRANSPOSE('[1]Fur 1 PLC'!$CL$1:$DP$38),25,0),0)</f>
        <v>0</v>
      </c>
      <c r="DK102" s="54" cm="1">
        <f t="array" ref="DK102">IFERROR(VLOOKUP($A102,TRANSPOSE('[1]Fur 1 PLC'!$CL$1:$DP$38),26,0),0)</f>
        <v>0</v>
      </c>
      <c r="DL102" s="54" cm="1">
        <f t="array" ref="DL102">IFERROR(VLOOKUP($A102,TRANSPOSE('[1]Fur 1 PLC'!$CL$1:$DP$38),27,0),0)</f>
        <v>0</v>
      </c>
      <c r="DM102" s="54" cm="1">
        <f t="array" ref="DM102">IFERROR(VLOOKUP($A102,TRANSPOSE('[1]Fur 1 PLC'!$CL$1:$DP$38),22,0),0)</f>
        <v>0</v>
      </c>
      <c r="DN102" s="54" cm="1">
        <f t="array" ref="DN102">IFERROR(VLOOKUP($A102,TRANSPOSE('[1]Fur 1 PLC'!$CL$1:$DP$38),19,0),0)</f>
        <v>0</v>
      </c>
      <c r="DO102" s="54" cm="1">
        <f t="array" ref="DO102">IFERROR(VLOOKUP($A102,TRANSPOSE('[1]Fur 1 PLC'!$CL$1:$DP$38),29,0),0)</f>
        <v>0</v>
      </c>
      <c r="DP102" s="54" cm="1">
        <f t="array" ref="DP102">IFERROR(VLOOKUP($A102,TRANSPOSE('[1]Fur 1 PLC'!$CL$1:$DP$38),10,0),0)</f>
        <v>0</v>
      </c>
      <c r="DQ102" s="54" cm="1">
        <f t="array" ref="DQ102">IFERROR(VLOOKUP($A102,TRANSPOSE('[1]Fur 1 PLC'!$CL$1:$DP$38),7,0),0)</f>
        <v>0</v>
      </c>
      <c r="DR102" s="54" cm="1">
        <f t="array" ref="DR102">IFERROR(VLOOKUP($A102,TRANSPOSE('[1]Fur 1 PLC'!$CL$1:$DP$38),35,0),0)</f>
        <v>0</v>
      </c>
      <c r="DS102" s="54" cm="1">
        <f t="array" ref="DS102">IFERROR(VLOOKUP($A102,TRANSPOSE('[1]Fur 1 PLC'!$CL$1:$DP$38),11,0),0)</f>
        <v>0</v>
      </c>
      <c r="DT102" s="54" cm="1">
        <f t="array" ref="DT102">IFERROR(VLOOKUP($A102,TRANSPOSE('[1]Fur 1 PLC'!$CL$1:$DP$38),19,0),0)</f>
        <v>0</v>
      </c>
      <c r="DU102" s="54" cm="1">
        <f t="array" ref="DU102">IFERROR(VLOOKUP($A102,TRANSPOSE('[1]Fur 1 PLC'!$CL$1:$DP$38),18,0),0)</f>
        <v>0</v>
      </c>
      <c r="DV102" s="54" cm="1">
        <f t="array" ref="DV102">IFERROR(VLOOKUP($A102,TRANSPOSE('[1]Fur 1 PLC'!$CL$1:$DP$38),15,0),0)</f>
        <v>0</v>
      </c>
      <c r="DW102" t="str">
        <f>TEXT(C102,"Mmm-yy")</f>
        <v>Dec-25</v>
      </c>
    </row>
    <row r="103" spans="1:127" x14ac:dyDescent="0.3">
      <c r="A103" s="28" t="str">
        <f t="shared" si="59"/>
        <v>F246017</v>
      </c>
      <c r="B103" s="29" t="s">
        <v>27</v>
      </c>
      <c r="C103" s="30">
        <f>C102</f>
        <v>46017</v>
      </c>
      <c r="D103" s="29" t="str">
        <f>VLOOKUP($B103&amp;$C103,'[1]FC2 Prod'!$A$6:$BP$36,[2]Consolidated!D$1)</f>
        <v>Mr. Girish Malik</v>
      </c>
      <c r="E103" s="29">
        <f>VLOOKUP($B103&amp;$C103,'[1]FC2 Prod'!$A$6:$BP$36,[2]Consolidated!E$1)</f>
        <v>0</v>
      </c>
      <c r="F103" s="29">
        <f>VLOOKUP($B103&amp;$C103,'[1]FC2 Prod'!$A$6:$BP$36,[2]Consolidated!F$1)</f>
        <v>0</v>
      </c>
      <c r="G103" s="29" t="e">
        <f>VLOOKUP($B103&amp;$C103,'[1]FC2 Prod'!$A$6:$BP$36,[2]Consolidated!G$1)</f>
        <v>#REF!</v>
      </c>
      <c r="H103" s="32">
        <f>VLOOKUP($B103&amp;$C103,'[1]FC2 Prod'!$A$6:$BP$36,[2]Consolidated!H$1)</f>
        <v>0</v>
      </c>
      <c r="I103" s="32">
        <f>VLOOKUP($B103&amp;$C103,'[1]FC2 Prod'!$A$6:$BP$36,[2]Consolidated!I$1)</f>
        <v>0</v>
      </c>
      <c r="J103" s="32">
        <f>VLOOKUP($B103&amp;$C103,'[1]FC2 Prod'!$A$6:$BP$36,[2]Consolidated!J$1)</f>
        <v>0</v>
      </c>
      <c r="K103" s="32">
        <f>VLOOKUP($B103&amp;$C103,'[1]FC2 Prod'!$A$6:$BP$36,[2]Consolidated!K$1)</f>
        <v>0</v>
      </c>
      <c r="L103" s="32">
        <f>VLOOKUP($B103&amp;$C103,'[1]FC2 Prod'!$A$6:$BP$36,[2]Consolidated!L$1)</f>
        <v>0</v>
      </c>
      <c r="M103" s="32">
        <f>VLOOKUP($B103&amp;$C103,'[1]FC2 Prod'!$A$6:$BP$36,[2]Consolidated!M$1)</f>
        <v>0</v>
      </c>
      <c r="N103" s="32">
        <f>VLOOKUP($B103&amp;$C103,'[1]FC2 Prod'!$A$6:$BP$36,[2]Consolidated!N$1)</f>
        <v>0</v>
      </c>
      <c r="O103" s="32">
        <f>VLOOKUP($B103&amp;$C103,'[1]FC2 Prod'!$A$6:$BP$36,[2]Consolidated!O$1)</f>
        <v>0</v>
      </c>
      <c r="P103" s="34">
        <f>VLOOKUP($B103&amp;$C103,'[1]FC2 Prod'!$A$6:$BP$36,[2]Consolidated!P$1)</f>
        <v>4</v>
      </c>
      <c r="Q103" s="29">
        <f>VLOOKUP($B103&amp;$C103,'[1]FC2 Prod'!$A$6:$BP$36,[2]Consolidated!Q$1)</f>
        <v>0</v>
      </c>
      <c r="R103" s="29">
        <f>VLOOKUP($B103&amp;$C103,'[1]FC2 Prod'!$A$6:$BP$36,[2]Consolidated!R$1)</f>
        <v>0</v>
      </c>
      <c r="S103" s="34" t="e">
        <f>VLOOKUP($B103&amp;$C103,'[1]FC2 Prod'!$A$6:$BP$36,[2]Consolidated!S$1)</f>
        <v>#REF!</v>
      </c>
      <c r="T103" s="34" t="e">
        <f>VLOOKUP($B103&amp;$C103,'[1]FC2 Prod'!$A$6:$BP$36,[2]Consolidated!T$1)</f>
        <v>#REF!</v>
      </c>
      <c r="U103" s="34" t="e">
        <f>VLOOKUP($B103&amp;$C103,'[1]FC2 Prod'!$A$6:$BP$36,[2]Consolidated!U$1)</f>
        <v>#REF!</v>
      </c>
      <c r="V103" s="34">
        <f>VLOOKUP($B103&amp;$C103,'[1]FC2 Prod'!$A$6:$BP$36,[2]Consolidated!V$1)</f>
        <v>0</v>
      </c>
      <c r="W103" s="29">
        <f>VLOOKUP($B103&amp;$C103,'[1]FC2 Prod'!$A$6:$BP$36,[2]Consolidated!W$1)</f>
        <v>0</v>
      </c>
      <c r="X103" s="35">
        <f>VLOOKUP($B103&amp;$C103,'[1]FC2 Prod'!$A$6:$BP$36,[2]Consolidated!X$1)</f>
        <v>0</v>
      </c>
      <c r="Y103" s="36">
        <f>VLOOKUP($B103&amp;$C103,'[1]FC2 Prod'!$A$6:$BP$36,[2]Consolidated!Y$1)</f>
        <v>0</v>
      </c>
      <c r="Z103" s="37" t="e">
        <f>VLOOKUP($B103&amp;$C103,'[1]FC2 Prod'!$A$6:$BP$36,[2]Consolidated!Z$1)</f>
        <v>#REF!</v>
      </c>
      <c r="AA103" s="31">
        <f>VLOOKUP($B103&amp;$C103,'[1]FC2 Prod'!$A$6:$BP$36,[2]Consolidated!AA$1)</f>
        <v>0</v>
      </c>
      <c r="AB103" s="31">
        <f>VLOOKUP($B103&amp;$C103,'[1]FC2 Prod'!$A$6:$BP$36,[2]Consolidated!AB$1)</f>
        <v>0</v>
      </c>
      <c r="AC103" s="31">
        <f>VLOOKUP($B103&amp;$C103,'[1]FC2 Prod'!$A$6:$BP$36,[2]Consolidated!AC$1)</f>
        <v>0</v>
      </c>
      <c r="AD103" s="38">
        <f>VLOOKUP($B103&amp;$C103,'[1]FC2 Prod'!$A$6:$BP$36,[2]Consolidated!AD$1)</f>
        <v>0</v>
      </c>
      <c r="AE103" s="38">
        <f>VLOOKUP($B103&amp;$C103,'[1]FC2 Prod'!$A$6:$BP$36,[2]Consolidated!AE$1)</f>
        <v>0</v>
      </c>
      <c r="AF103" s="39">
        <f>VLOOKUP($B103&amp;$C103,'[1]FC2 Prod'!$A$6:$BP$36,[2]Consolidated!AF$1)</f>
        <v>0</v>
      </c>
      <c r="AG103" s="39">
        <f>VLOOKUP($B103&amp;$C103,'[1]FC2 Prod'!$A$6:$BP$36,[2]Consolidated!AG$1)</f>
        <v>0</v>
      </c>
      <c r="AH103" s="34">
        <f>VLOOKUP($B103&amp;$C103,'[1]FC2 Prod'!$A$6:$BP$36,[2]Consolidated!AH$1)</f>
        <v>0</v>
      </c>
      <c r="AI103" s="33">
        <f>VLOOKUP($B103&amp;$C103,'[1]FC2 Prod'!$A$6:$BP$36,[2]Consolidated!AI$1)</f>
        <v>0</v>
      </c>
      <c r="AJ103" s="39">
        <f>VLOOKUP($B103&amp;$C103,'[1]FC2 Prod'!$A$6:$BP$36,[2]Consolidated!AJ$1)</f>
        <v>0</v>
      </c>
      <c r="AK103" s="39">
        <f>VLOOKUP($B103&amp;$C103,'[1]FC2 Prod'!$A$6:$BP$36,[2]Consolidated!AK$1)</f>
        <v>0</v>
      </c>
      <c r="AL103" s="40" t="e">
        <f>VLOOKUP($B103&amp;$C103,'[1]FC2 Prod'!$A$6:$BP$36,[2]Consolidated!AL$1)</f>
        <v>#REF!</v>
      </c>
      <c r="AM103" s="41">
        <f>VLOOKUP($B103&amp;$C103,'[1]FC2 Prod'!$A$6:$BP$36,[2]Consolidated!AM$1)</f>
        <v>0</v>
      </c>
      <c r="AN103" s="42" t="e">
        <f>VLOOKUP($B103&amp;$C103,'[1]FC2 Prod'!$A$6:$BP$36,[2]Consolidated!AN$1)</f>
        <v>#REF!</v>
      </c>
      <c r="AO103" s="43" t="e">
        <f>VLOOKUP($B103&amp;$C103,'[1]FC2 Prod'!$A$6:$BP$36,[2]Consolidated!AO$1)</f>
        <v>#REF!</v>
      </c>
      <c r="AP103" s="44">
        <f>VLOOKUP($B103&amp;$C103,'[1]FC2 Prod'!$A$6:$BP$36,[2]Consolidated!AP$1)</f>
        <v>0</v>
      </c>
      <c r="AQ103" s="44">
        <f>VLOOKUP($B103&amp;$C103,'[1]FC2 Prod'!$A$6:$BP$36,[2]Consolidated!AQ$1)</f>
        <v>0</v>
      </c>
      <c r="AR103" s="45">
        <f>VLOOKUP($B103&amp;$C103,'[1]FC2 Prod'!$A$6:$BP$36,[2]Consolidated!AR$1)</f>
        <v>0</v>
      </c>
      <c r="AS103" s="46">
        <f>VLOOKUP($B103&amp;$C103,'[1]FC2 Prod'!$A$6:$BP$36,[2]Consolidated!AS$1)</f>
        <v>0</v>
      </c>
      <c r="AT103" s="29">
        <f>VLOOKUP($B103&amp;$C103,'[1]FC2 Prod'!$A$6:$BP$36,[2]Consolidated!AT$1)</f>
        <v>0</v>
      </c>
      <c r="AU103" s="34">
        <f>VLOOKUP($B103&amp;$C103,'[1]FC2 Prod'!$A$6:$BP$36,[2]Consolidated!AU$1)</f>
        <v>0</v>
      </c>
      <c r="AV103" s="34">
        <f>VLOOKUP($B103&amp;$C103,'[1]FC2 Prod'!$A$6:$BP$36,[2]Consolidated!AV$1)</f>
        <v>0</v>
      </c>
      <c r="AW103" s="47">
        <f>VLOOKUP($B103&amp;$C103,'[1]FC2 Prod'!$A$6:$BP$36,[2]Consolidated!AW$1)</f>
        <v>0</v>
      </c>
      <c r="AX103" s="47">
        <f>VLOOKUP($B103&amp;$C103,'[1]FC2 Prod'!$A$6:$BP$36,[2]Consolidated!AX$1)</f>
        <v>0</v>
      </c>
      <c r="AY103" s="48">
        <f>VLOOKUP($B103&amp;$C103,'[1]FC2 Prod'!$A$6:$BP$36,[2]Consolidated!AY$1)</f>
        <v>0</v>
      </c>
      <c r="AZ103" s="47">
        <f>VLOOKUP($B103&amp;$C103,'[1]FC2 Prod'!$A$6:$BP$36,[2]Consolidated!AZ$1)</f>
        <v>0</v>
      </c>
      <c r="BA103" s="47">
        <f>VLOOKUP($B103&amp;$C103,'[1]FC2 Prod'!$A$6:$BP$36,[2]Consolidated!BA$1)</f>
        <v>0</v>
      </c>
      <c r="BB103" s="47">
        <f>VLOOKUP($B103&amp;$C103,'[1]FC2 Prod'!$A$6:$BP$36,[2]Consolidated!BB$1)</f>
        <v>0</v>
      </c>
      <c r="BC103" s="47">
        <f>VLOOKUP($B103&amp;$C103,'[1]FC2 Prod'!$A$6:$BP$36,[2]Consolidated!BC$1)</f>
        <v>0</v>
      </c>
      <c r="BD103" s="49">
        <f>VLOOKUP($B103&amp;$C103,'[1]FC2 Prod'!$A$6:$BP$36,[2]Consolidated!BD$1)</f>
        <v>0</v>
      </c>
      <c r="BE103" s="47">
        <f>VLOOKUP($B103&amp;$C103,'[1]FC2 Prod'!$A$6:$BP$36,[2]Consolidated!BE$1)</f>
        <v>0</v>
      </c>
      <c r="BF103" s="47">
        <f>VLOOKUP($B103&amp;$C103,'[1]FC2 Prod'!$A$6:$BP$36,[2]Consolidated!BF$1)</f>
        <v>0</v>
      </c>
      <c r="BG103" s="50">
        <f>VLOOKUP($B103&amp;$C103,'[1]FC2 Prod'!$A$6:$BP$36,[2]Consolidated!BG$1)</f>
        <v>0</v>
      </c>
      <c r="BH103" s="50">
        <f>VLOOKUP($B103&amp;$C103,'[1]FC2 Prod'!$A$6:$BP$36,[2]Consolidated!BH$1)</f>
        <v>0</v>
      </c>
      <c r="BI103" s="50">
        <f>VLOOKUP($B103&amp;$C103,'[1]FC2 Prod'!$A$6:$BP$36,[2]Consolidated!BI$1)</f>
        <v>0</v>
      </c>
      <c r="BJ103" s="37" t="e">
        <f>VLOOKUP($B103&amp;$C103,'[1]FC2 Prod'!$A$6:$BP$36,[2]Consolidated!BJ$1)</f>
        <v>#REF!</v>
      </c>
      <c r="BK103" s="37" t="e">
        <f>VLOOKUP($B103&amp;$C103,'[1]FC2 Prod'!$A$6:$BP$36,[2]Consolidated!BK$1)</f>
        <v>#REF!</v>
      </c>
      <c r="BL103" s="37" t="e">
        <f>VLOOKUP($B103&amp;$C103,'[1]FC2 Prod'!$A$6:$BP$36,[2]Consolidated!BL$1)</f>
        <v>#REF!</v>
      </c>
      <c r="BM103" s="37" t="e">
        <f>VLOOKUP($B103&amp;$C103,'[1]FC2 Prod'!$A$6:$BP$36,[2]Consolidated!BM$1)</f>
        <v>#REF!</v>
      </c>
      <c r="BN103" s="37" t="e">
        <f>VLOOKUP($B103&amp;$C103,'[1]FC2 Prod'!$A$6:$BP$36,[2]Consolidated!BN$1)</f>
        <v>#REF!</v>
      </c>
      <c r="BO103" s="37" t="e">
        <f>VLOOKUP($B103&amp;$C103,'[1]FC2 Prod'!$A$6:$BP$36,[2]Consolidated!BO$1)</f>
        <v>#REF!</v>
      </c>
      <c r="BP103" s="37" t="e">
        <f>VLOOKUP($B103&amp;$C103,'[1]FC2 Prod'!$A$6:$BP$36,[2]Consolidated!BP$1)</f>
        <v>#REF!</v>
      </c>
      <c r="BQ103" s="29" t="e">
        <f>VLOOKUP($B103&amp;$C103,'[1]FC2 Prod'!$A$6:$BP$36,[2]Consolidated!BQ$1)</f>
        <v>#REF!</v>
      </c>
      <c r="BR103" s="51">
        <f>VLOOKUP($B103&amp;$C103,'[1]FC2 Prod'!$A$6:$BQ$36,[2]Consolidated!BR$1)</f>
        <v>68163</v>
      </c>
      <c r="BS103" s="52">
        <f t="shared" si="125"/>
        <v>0</v>
      </c>
      <c r="BT103" s="32">
        <f>BR103-BS103</f>
        <v>68163</v>
      </c>
      <c r="BU103" s="37">
        <f>E103*BT103</f>
        <v>0</v>
      </c>
      <c r="BV103" s="53" t="s">
        <v>133</v>
      </c>
      <c r="BW103" s="54" cm="1">
        <f t="array" ref="BW103">IFERROR(VLOOKUP($A103,TRANSPOSE('[1]Fur 2 PLC'!$AR$1:$BV$38),8,0),0)</f>
        <v>0</v>
      </c>
      <c r="BX103" s="54" cm="1">
        <f t="array" ref="BX103">IFERROR(VLOOKUP($A103,TRANSPOSE('[1]Fur 2 PLC'!$AR$1:$BV$38),30,0),0)</f>
        <v>0</v>
      </c>
      <c r="BY103" s="54" cm="1">
        <f t="array" ref="BY103">IFERROR(VLOOKUP($A103,TRANSPOSE('[1]Fur 2 PLC'!$AR$1:$BV$38),14,0),0)</f>
        <v>0</v>
      </c>
      <c r="BZ103" s="54" cm="1">
        <f t="array" ref="BZ103">IFERROR(VLOOKUP($A103,TRANSPOSE('[1]Fur 2 PLC'!$AR$1:$BV$38),16,0),0)</f>
        <v>0</v>
      </c>
      <c r="CA103" s="54" cm="1">
        <f t="array" ref="CA103">IFERROR(VLOOKUP($A103,TRANSPOSE('[1]Fur 2 PLC'!$AR$1:$BV$38),9,0),0)</f>
        <v>0</v>
      </c>
      <c r="CB103" s="54" cm="1">
        <f t="array" ref="CB103">IFERROR(VLOOKUP($A103,TRANSPOSE('[1]Fur 2 PLC'!$AR$1:$BV$38),17,0),0)</f>
        <v>0</v>
      </c>
      <c r="CC103" s="54" cm="1">
        <f t="array" ref="CC103">IFERROR(VLOOKUP($A103,TRANSPOSE('[1]Fur 2 PLC'!$AR$1:$BV$38),20,0),0)</f>
        <v>0</v>
      </c>
      <c r="CD103" s="54" cm="1">
        <f t="array" ref="CD103">IFERROR(VLOOKUP($A103,TRANSPOSE('[1]Fur 2 PLC'!$AR$1:$BV$38),28,0),0)</f>
        <v>0</v>
      </c>
      <c r="CE103" s="54" cm="1">
        <f t="array" ref="CE103">IFERROR(VLOOKUP($A103,TRANSPOSE('[1]Fur 2 PLC'!$AR$1:$BV$38),13,0),0)</f>
        <v>0</v>
      </c>
      <c r="CF103" s="54" cm="1">
        <f t="array" ref="CF103">IFERROR(VLOOKUP($A103,TRANSPOSE('[1]Fur 2 PLC'!$AR$1:$BV$38),37,0),0)</f>
        <v>0</v>
      </c>
      <c r="CG103" s="54" cm="1">
        <f t="array" ref="CG103">IFERROR(VLOOKUP($A103,TRANSPOSE('[1]Fur 2 PLC'!$AR$1:$BV$38),6,0),0)</f>
        <v>0</v>
      </c>
      <c r="CH103" s="54" cm="1">
        <f t="array" ref="CH103">IFERROR(VLOOKUP($A103,TRANSPOSE('[1]Fur 2 PLC'!$AR$1:$BV$38),21,0),0)</f>
        <v>0</v>
      </c>
      <c r="CI103" s="54" cm="1">
        <f t="array" ref="CI103">IFERROR(VLOOKUP($A103,TRANSPOSE('[1]Fur 2 PLC'!$AR$1:$BV$38),12,0),0)</f>
        <v>0</v>
      </c>
      <c r="CJ103" s="54" cm="1">
        <f t="array" ref="CJ103">IFERROR(VLOOKUP($A103,TRANSPOSE('[1]Fur 2 PLC'!$AR$1:$BV$38),25,0),0)</f>
        <v>0</v>
      </c>
      <c r="CK103" s="54" cm="1">
        <f t="array" ref="CK103">IFERROR(VLOOKUP($A103,TRANSPOSE('[1]Fur 2 PLC'!$AR$1:$BV$38),26,0),0)</f>
        <v>0</v>
      </c>
      <c r="CL103" s="54" cm="1">
        <f t="array" ref="CL103">IFERROR(VLOOKUP($A103,TRANSPOSE('[1]Fur 2 PLC'!$AR$1:$BV$38),27,0),0)</f>
        <v>0</v>
      </c>
      <c r="CM103" s="54" cm="1">
        <f t="array" ref="CM103">IFERROR(VLOOKUP($A103,TRANSPOSE('[1]Fur 2 PLC'!$AR$1:$BV$38),22,0),0)</f>
        <v>0</v>
      </c>
      <c r="CN103" s="54"/>
      <c r="CO103" s="54" cm="1">
        <f t="array" ref="CO103">IFERROR(VLOOKUP($A103,TRANSPOSE('[1]Fur 2 PLC'!$AR$1:$BV$38),29,0),0)</f>
        <v>0</v>
      </c>
      <c r="CP103" s="54" cm="1">
        <f t="array" ref="CP103">IFERROR(VLOOKUP($A103,TRANSPOSE('[1]Fur 2 PLC'!$AR$1:$BV$38),10,0),0)</f>
        <v>0</v>
      </c>
      <c r="CQ103" s="54" cm="1">
        <f t="array" ref="CQ103">IFERROR(VLOOKUP($A103,TRANSPOSE('[1]Fur 2 PLC'!$AR$1:$BV$38),7,0),0)</f>
        <v>0</v>
      </c>
      <c r="CR103" s="54" cm="1">
        <f t="array" ref="CR103">IFERROR(VLOOKUP($A103,TRANSPOSE('[1]Fur 2 PLC'!$AR$1:$BV$38),35,0),0)</f>
        <v>0</v>
      </c>
      <c r="CS103" s="54" cm="1">
        <f t="array" ref="CS103">IFERROR(VLOOKUP($A103,TRANSPOSE('[1]Fur 2 PLC'!$AR$1:$BV$38),11,0),0)</f>
        <v>0</v>
      </c>
      <c r="CT103" s="54" cm="1">
        <f t="array" ref="CT103">IFERROR(VLOOKUP($A103,TRANSPOSE('[1]Fur 2 PLC'!$AR$1:$BV$38),19,0),0)</f>
        <v>0</v>
      </c>
      <c r="CU103" s="54" cm="1">
        <f t="array" ref="CU103">IFERROR(VLOOKUP($A103,TRANSPOSE('[1]Fur 2 PLC'!$AR$1:$BV$38),18,0),0)</f>
        <v>0</v>
      </c>
      <c r="CV103" s="54" cm="1">
        <f t="array" ref="CV103">IFERROR(VLOOKUP($A103,TRANSPOSE('[1]Fur 2 PLC'!$AR$1:$BV$38),15,0),0)</f>
        <v>0</v>
      </c>
      <c r="CW103" s="54" cm="1">
        <f t="array" ref="CW103">IFERROR(VLOOKUP($A103,TRANSPOSE('[1]Fur 2 PLC'!$CI$1:$DM$38),8,0),0)</f>
        <v>0</v>
      </c>
      <c r="CX103" s="54" cm="1">
        <f t="array" ref="CX103">IFERROR(VLOOKUP($A103,TRANSPOSE('[1]Fur 2 PLC'!$CI$1:$DM$38),30,0),0)</f>
        <v>0</v>
      </c>
      <c r="CY103" s="54" cm="1">
        <f t="array" ref="CY103">IFERROR(VLOOKUP($A103,TRANSPOSE('[1]Fur 2 PLC'!$CI$1:$DM$38),14,0),0)</f>
        <v>0</v>
      </c>
      <c r="CZ103" s="54" cm="1">
        <f t="array" ref="CZ103">IFERROR(VLOOKUP($A103,TRANSPOSE('[1]Fur 2 PLC'!$CI$1:$DM$38),16,0),0)</f>
        <v>0</v>
      </c>
      <c r="DA103" s="54" cm="1">
        <f t="array" ref="DA103">IFERROR(VLOOKUP($A103,TRANSPOSE('[1]Fur 2 PLC'!$CI$1:$DM$38),9,0),0)</f>
        <v>0</v>
      </c>
      <c r="DB103" s="55" cm="1">
        <f t="array" ref="DB103">IFERROR(VLOOKUP($A103,TRANSPOSE('[1]Fur 2 PLC'!$CI$1:$DM$38),17,0),0)</f>
        <v>0</v>
      </c>
      <c r="DC103" s="55" cm="1">
        <f t="array" ref="DC103">IFERROR(VLOOKUP($A103,TRANSPOSE('[1]Fur 2 PLC'!$CI$1:$DM$38),20,0),0)</f>
        <v>0</v>
      </c>
      <c r="DD103" s="54" cm="1">
        <f t="array" ref="DD103">IFERROR(VLOOKUP($A103,TRANSPOSE('[1]Fur 2 PLC'!$CI$1:$DM$38),28,0),0)</f>
        <v>0</v>
      </c>
      <c r="DE103" s="54" cm="1">
        <f t="array" ref="DE103">IFERROR(VLOOKUP($A103,TRANSPOSE('[1]Fur 2 PLC'!$CI$1:$DM$38),13,0),0)</f>
        <v>0</v>
      </c>
      <c r="DF103" s="54" cm="1">
        <f t="array" ref="DF103">IFERROR(VLOOKUP($A103,TRANSPOSE('[1]Fur 2 PLC'!$CI$1:$DM$38),37,0),0)</f>
        <v>0</v>
      </c>
      <c r="DG103" s="54" cm="1">
        <f t="array" ref="DG103">IFERROR(VLOOKUP($A103,TRANSPOSE('[1]Fur 2 PLC'!$CI$1:$DM$38),6,0),0)</f>
        <v>0</v>
      </c>
      <c r="DH103" s="54" cm="1">
        <f t="array" ref="DH103">IFERROR(VLOOKUP($A103,TRANSPOSE('[1]Fur 2 PLC'!$CI$1:$DM$38),21,0),0)</f>
        <v>0</v>
      </c>
      <c r="DI103" s="54" cm="1">
        <f t="array" ref="DI103">IFERROR(VLOOKUP($A103,TRANSPOSE('[1]Fur 2 PLC'!$CI$1:$DM$38),12,0),0)</f>
        <v>0</v>
      </c>
      <c r="DJ103" s="54" cm="1">
        <f t="array" ref="DJ103">IFERROR(VLOOKUP($A103,TRANSPOSE('[1]Fur 2 PLC'!$CI$1:$DM$38),25,0),0)</f>
        <v>0</v>
      </c>
      <c r="DK103" s="54" cm="1">
        <f t="array" ref="DK103">IFERROR(VLOOKUP($A103,TRANSPOSE('[1]Fur 2 PLC'!$CI$1:$DM$38),26,0),0)</f>
        <v>0</v>
      </c>
      <c r="DL103" s="54" cm="1">
        <f t="array" ref="DL103">IFERROR(VLOOKUP($A103,TRANSPOSE('[1]Fur 2 PLC'!$CI$1:$DM$38),27,0),0)</f>
        <v>0</v>
      </c>
      <c r="DM103" s="54" cm="1">
        <f t="array" ref="DM103">IFERROR(VLOOKUP($A103,TRANSPOSE('[1]Fur 2 PLC'!$CI$1:$DM$38),22,0),0)</f>
        <v>0</v>
      </c>
      <c r="DN103" s="54" cm="1">
        <f t="array" ref="DN103">IFERROR(VLOOKUP($A103,TRANSPOSE('[1]Fur 2 PLC'!$CI$1:$DM$38),19,0),0)</f>
        <v>0</v>
      </c>
      <c r="DO103" s="54" cm="1">
        <f t="array" ref="DO103">IFERROR(VLOOKUP($A103,TRANSPOSE('[1]Fur 2 PLC'!$CI$1:$DM$38),29,0),0)</f>
        <v>0</v>
      </c>
      <c r="DP103" s="54" cm="1">
        <f t="array" ref="DP103">IFERROR(VLOOKUP($A103,TRANSPOSE('[1]Fur 2 PLC'!$CI$1:$DM$38),10,0),0)</f>
        <v>0</v>
      </c>
      <c r="DQ103" s="54" cm="1">
        <f t="array" ref="DQ103">IFERROR(VLOOKUP($A103,TRANSPOSE('[1]Fur 2 PLC'!$CI$1:$DM$38),7,0),0)</f>
        <v>0</v>
      </c>
      <c r="DR103" s="54" cm="1">
        <f t="array" ref="DR103">IFERROR(VLOOKUP($A103,TRANSPOSE('[1]Fur 2 PLC'!$CI$1:$DM$38),35,0),0)</f>
        <v>0</v>
      </c>
      <c r="DS103" s="54" cm="1">
        <f t="array" ref="DS103">IFERROR(VLOOKUP($A103,TRANSPOSE('[1]Fur 2 PLC'!$CI$1:$DM$38),11,0),0)</f>
        <v>0</v>
      </c>
      <c r="DT103" s="54" cm="1">
        <f t="array" ref="DT103">IFERROR(VLOOKUP($A103,TRANSPOSE('[1]Fur 2 PLC'!$CI$1:$DM$38),19,0),0)</f>
        <v>0</v>
      </c>
      <c r="DU103" s="54" cm="1">
        <f t="array" ref="DU103">IFERROR(VLOOKUP($A103,TRANSPOSE('[1]Fur 2 PLC'!$CI$1:$DM$38),18,0),0)</f>
        <v>0</v>
      </c>
      <c r="DV103" s="54" cm="1">
        <f t="array" ref="DV103">IFERROR(VLOOKUP($A103,TRANSPOSE('[1]Fur 2 PLC'!$CI$1:$DM$38),15,0),0)</f>
        <v>0</v>
      </c>
      <c r="DW103" t="str">
        <f t="shared" ref="DW103:DW105" si="126">TEXT(C103,"Mmm-yy")</f>
        <v>Dec-25</v>
      </c>
    </row>
    <row r="104" spans="1:127" x14ac:dyDescent="0.3">
      <c r="A104" s="28" t="str">
        <f t="shared" si="59"/>
        <v>F346017</v>
      </c>
      <c r="B104" s="29" t="s">
        <v>28</v>
      </c>
      <c r="C104" s="30">
        <f>C103</f>
        <v>46017</v>
      </c>
      <c r="D104" s="29" t="str">
        <f>VLOOKUP($B104&amp;$C104,'[1]FC3 Prod'!$A$6:$BP$36,[2]Consolidated!D$1)</f>
        <v>Mr. Ajay Singh</v>
      </c>
      <c r="E104" s="29">
        <f>VLOOKUP($B104&amp;$C104,'[1]FC3 Prod'!$A$6:$BP$36,[2]Consolidated!E$1)</f>
        <v>0</v>
      </c>
      <c r="F104" s="31">
        <f>VLOOKUP($B104&amp;$C104,'[1]FC3 Prod'!$A$6:$BP$36,[2]Consolidated!F$1)</f>
        <v>0</v>
      </c>
      <c r="G104" s="32" t="e">
        <f>VLOOKUP($B104&amp;$C104,'[1]FC3 Prod'!$A$6:$BP$36,[2]Consolidated!G$1)</f>
        <v>#REF!</v>
      </c>
      <c r="H104" s="32">
        <f>VLOOKUP($B104&amp;$C104,'[1]FC3 Prod'!$A$6:$BP$36,[2]Consolidated!H$1)</f>
        <v>0</v>
      </c>
      <c r="I104" s="32">
        <f>VLOOKUP($B104&amp;$C104,'[1]FC3 Prod'!$A$6:$BP$36,[2]Consolidated!I$1)</f>
        <v>0</v>
      </c>
      <c r="J104" s="32">
        <f>VLOOKUP($B104&amp;$C104,'[1]FC3 Prod'!$A$6:$BP$36,[2]Consolidated!J$1)</f>
        <v>0</v>
      </c>
      <c r="K104" s="32">
        <f>VLOOKUP($B104&amp;$C104,'[1]FC3 Prod'!$A$6:$BP$36,[2]Consolidated!K$1)</f>
        <v>0</v>
      </c>
      <c r="L104" s="32">
        <f>VLOOKUP($B104&amp;$C104,'[1]FC3 Prod'!$A$6:$BP$36,[2]Consolidated!L$1)</f>
        <v>0</v>
      </c>
      <c r="M104" s="32">
        <f>VLOOKUP($B104&amp;$C104,'[1]FC3 Prod'!$A$6:$BP$36,[2]Consolidated!M$1)</f>
        <v>0</v>
      </c>
      <c r="N104" s="32">
        <f>VLOOKUP($B104&amp;$C104,'[1]FC3 Prod'!$A$6:$BP$36,[2]Consolidated!N$1)</f>
        <v>0</v>
      </c>
      <c r="O104" s="32">
        <f>VLOOKUP($B104&amp;$C104,'[1]FC3 Prod'!$A$6:$BP$36,[2]Consolidated!O$1)</f>
        <v>0</v>
      </c>
      <c r="P104" s="33">
        <f>VLOOKUP($B104&amp;$C104,'[1]FC3 Prod'!$A$6:$BP$36,[2]Consolidated!P$1)</f>
        <v>4</v>
      </c>
      <c r="Q104" s="29">
        <f>VLOOKUP($B104&amp;$C104,'[1]FC3 Prod'!$A$6:$BP$36,[2]Consolidated!Q$1)</f>
        <v>0</v>
      </c>
      <c r="R104" s="29">
        <f>VLOOKUP($B104&amp;$C104,'[1]FC3 Prod'!$A$6:$BP$36,[2]Consolidated!R$1)</f>
        <v>0</v>
      </c>
      <c r="S104" s="34" t="e">
        <f>VLOOKUP($B104&amp;$C104,'[1]FC3 Prod'!$A$6:$BP$36,[2]Consolidated!S$1)</f>
        <v>#REF!</v>
      </c>
      <c r="T104" s="34" t="e">
        <f>VLOOKUP($B104&amp;$C104,'[1]FC3 Prod'!$A$6:$BP$36,[2]Consolidated!T$1)</f>
        <v>#REF!</v>
      </c>
      <c r="U104" s="34" t="e">
        <f>VLOOKUP($B104&amp;$C104,'[1]FC3 Prod'!$A$6:$BP$36,[2]Consolidated!U$1)</f>
        <v>#REF!</v>
      </c>
      <c r="V104" s="34">
        <f>VLOOKUP($B104&amp;$C104,'[1]FC3 Prod'!$A$6:$BP$36,[2]Consolidated!V$1)</f>
        <v>0</v>
      </c>
      <c r="W104" s="35">
        <f>VLOOKUP($B104&amp;$C104,'[1]FC3 Prod'!$A$6:$BP$36,[2]Consolidated!W$1)</f>
        <v>0</v>
      </c>
      <c r="X104" s="35">
        <f>VLOOKUP($B104&amp;$C104,'[1]FC3 Prod'!$A$6:$BP$36,[2]Consolidated!X$1)</f>
        <v>0</v>
      </c>
      <c r="Y104" s="36">
        <f>VLOOKUP($B104&amp;$C104,'[1]FC3 Prod'!$A$6:$BP$36,[2]Consolidated!Y$1)</f>
        <v>0</v>
      </c>
      <c r="Z104" s="37" t="e">
        <f>VLOOKUP($B104&amp;$C104,'[1]FC3 Prod'!$A$6:$BP$36,[2]Consolidated!Z$1)</f>
        <v>#REF!</v>
      </c>
      <c r="AA104" s="31">
        <f>VLOOKUP($B104&amp;$C104,'[1]FC3 Prod'!$A$6:$BP$36,[2]Consolidated!AA$1)</f>
        <v>0</v>
      </c>
      <c r="AB104" s="31">
        <f>VLOOKUP($B104&amp;$C104,'[1]FC3 Prod'!$A$6:$BP$36,[2]Consolidated!AB$1)</f>
        <v>0</v>
      </c>
      <c r="AC104" s="31" t="e">
        <f>VLOOKUP($B104&amp;$C104,'[1]FC3 Prod'!$A$6:$BP$36,[2]Consolidated!AC$1)</f>
        <v>#REF!</v>
      </c>
      <c r="AD104" s="38">
        <f>VLOOKUP($B104&amp;$C104,'[1]FC3 Prod'!$A$6:$BP$36,[2]Consolidated!AD$1)</f>
        <v>0</v>
      </c>
      <c r="AE104" s="38">
        <f>VLOOKUP($B104&amp;$C104,'[1]FC3 Prod'!$A$6:$BP$36,[2]Consolidated!AE$1)</f>
        <v>0</v>
      </c>
      <c r="AF104" s="39">
        <f>VLOOKUP($B104&amp;$C104,'[1]FC3 Prod'!$A$6:$BP$36,[2]Consolidated!AF$1)</f>
        <v>0</v>
      </c>
      <c r="AG104" s="39">
        <f>VLOOKUP($B104&amp;$C104,'[1]FC3 Prod'!$A$6:$BP$36,[2]Consolidated!AG$1)</f>
        <v>0</v>
      </c>
      <c r="AH104" s="34">
        <f>VLOOKUP($B104&amp;$C104,'[1]FC3 Prod'!$A$6:$BP$36,[2]Consolidated!AH$1)</f>
        <v>0</v>
      </c>
      <c r="AI104" s="33">
        <f>VLOOKUP($B104&amp;$C104,'[1]FC3 Prod'!$A$6:$BP$36,[2]Consolidated!AI$1)</f>
        <v>0</v>
      </c>
      <c r="AJ104" s="39">
        <f>VLOOKUP($B104&amp;$C104,'[1]FC3 Prod'!$A$6:$BP$36,[2]Consolidated!AJ$1)</f>
        <v>0</v>
      </c>
      <c r="AK104" s="39">
        <f>VLOOKUP($B104&amp;$C104,'[1]FC3 Prod'!$A$6:$BP$36,[2]Consolidated!AK$1)</f>
        <v>0</v>
      </c>
      <c r="AL104" s="40" t="e">
        <f>VLOOKUP($B104&amp;$C104,'[1]FC3 Prod'!$A$6:$BP$36,[2]Consolidated!AL$1)</f>
        <v>#REF!</v>
      </c>
      <c r="AM104" s="41">
        <f>VLOOKUP($B104&amp;$C104,'[1]FC3 Prod'!$A$6:$BP$36,[2]Consolidated!AM$1)</f>
        <v>0</v>
      </c>
      <c r="AN104" s="42" t="e">
        <f>VLOOKUP($B104&amp;$C104,'[1]FC3 Prod'!$A$6:$BP$36,[2]Consolidated!AN$1)</f>
        <v>#REF!</v>
      </c>
      <c r="AO104" s="43" t="e">
        <f>VLOOKUP($B104&amp;$C104,'[1]FC3 Prod'!$A$6:$BP$36,[2]Consolidated!AO$1)</f>
        <v>#REF!</v>
      </c>
      <c r="AP104" s="44">
        <f>VLOOKUP($B104&amp;$C104,'[1]FC3 Prod'!$A$6:$BP$36,[2]Consolidated!AP$1)</f>
        <v>0</v>
      </c>
      <c r="AQ104" s="44">
        <f>VLOOKUP($B104&amp;$C104,'[1]FC3 Prod'!$A$6:$BP$36,[2]Consolidated!AQ$1)</f>
        <v>0</v>
      </c>
      <c r="AR104" s="45">
        <f>VLOOKUP($B104&amp;$C104,'[1]FC3 Prod'!$A$6:$BP$36,[2]Consolidated!AR$1)</f>
        <v>0</v>
      </c>
      <c r="AS104" s="46">
        <f>VLOOKUP($B104&amp;$C104,'[1]FC3 Prod'!$A$6:$BP$36,[2]Consolidated!AS$1)</f>
        <v>0</v>
      </c>
      <c r="AT104" s="29">
        <f>VLOOKUP($B104&amp;$C104,'[1]FC3 Prod'!$A$6:$BP$36,[2]Consolidated!AT$1)</f>
        <v>0</v>
      </c>
      <c r="AU104" s="34">
        <f>VLOOKUP($B104&amp;$C104,'[1]FC3 Prod'!$A$6:$BP$36,[2]Consolidated!AU$1)</f>
        <v>0</v>
      </c>
      <c r="AV104" s="34">
        <f>VLOOKUP($B104&amp;$C104,'[1]FC3 Prod'!$A$6:$BP$36,[2]Consolidated!AV$1)</f>
        <v>0</v>
      </c>
      <c r="AW104" s="47">
        <f>VLOOKUP($B104&amp;$C104,'[1]FC3 Prod'!$A$6:$BP$36,[2]Consolidated!AW$1)</f>
        <v>0</v>
      </c>
      <c r="AX104" s="47">
        <f>VLOOKUP($B104&amp;$C104,'[1]FC3 Prod'!$A$6:$BP$36,[2]Consolidated!AX$1)</f>
        <v>0</v>
      </c>
      <c r="AY104" s="48">
        <f>VLOOKUP($B104&amp;$C104,'[1]FC3 Prod'!$A$6:$BP$36,[2]Consolidated!AY$1)</f>
        <v>0</v>
      </c>
      <c r="AZ104" s="47">
        <f>VLOOKUP($B104&amp;$C104,'[1]FC3 Prod'!$A$6:$BP$36,[2]Consolidated!AZ$1)</f>
        <v>0</v>
      </c>
      <c r="BA104" s="47">
        <f>VLOOKUP($B104&amp;$C104,'[1]FC3 Prod'!$A$6:$BP$36,[2]Consolidated!BA$1)</f>
        <v>0</v>
      </c>
      <c r="BB104" s="47">
        <f>VLOOKUP($B104&amp;$C104,'[1]FC3 Prod'!$A$6:$BP$36,[2]Consolidated!BB$1)</f>
        <v>0</v>
      </c>
      <c r="BC104" s="47">
        <f>VLOOKUP($B104&amp;$C104,'[1]FC3 Prod'!$A$6:$BP$36,[2]Consolidated!BC$1)</f>
        <v>0</v>
      </c>
      <c r="BD104" s="49">
        <f>VLOOKUP($B104&amp;$C104,'[1]FC3 Prod'!$A$6:$BP$36,[2]Consolidated!BD$1)</f>
        <v>0</v>
      </c>
      <c r="BE104" s="47">
        <f>VLOOKUP($B104&amp;$C104,'[1]FC3 Prod'!$A$6:$BP$36,[2]Consolidated!BE$1)</f>
        <v>0</v>
      </c>
      <c r="BF104" s="47">
        <f>VLOOKUP($B104&amp;$C104,'[1]FC3 Prod'!$A$6:$BP$36,[2]Consolidated!BF$1)</f>
        <v>0</v>
      </c>
      <c r="BG104" s="50">
        <f>VLOOKUP($B104&amp;$C104,'[1]FC3 Prod'!$A$6:$BP$36,[2]Consolidated!BG$1)</f>
        <v>0</v>
      </c>
      <c r="BH104" s="50">
        <f>VLOOKUP($B104&amp;$C104,'[1]FC3 Prod'!$A$6:$BP$36,[2]Consolidated!BH$1)</f>
        <v>0</v>
      </c>
      <c r="BI104" s="50">
        <f>VLOOKUP($B104&amp;$C104,'[1]FC3 Prod'!$A$6:$BP$36,[2]Consolidated!BI$1)</f>
        <v>0</v>
      </c>
      <c r="BJ104" s="37" t="e">
        <f>VLOOKUP($B104&amp;$C104,'[1]FC3 Prod'!$A$6:$BP$36,[2]Consolidated!BJ$1)</f>
        <v>#REF!</v>
      </c>
      <c r="BK104" s="37" t="e">
        <f>VLOOKUP($B104&amp;$C104,'[1]FC3 Prod'!$A$6:$BP$36,[2]Consolidated!BK$1)</f>
        <v>#REF!</v>
      </c>
      <c r="BL104" s="37" t="e">
        <f>VLOOKUP($B104&amp;$C104,'[1]FC3 Prod'!$A$6:$BP$36,[2]Consolidated!BL$1)</f>
        <v>#REF!</v>
      </c>
      <c r="BM104" s="37" t="e">
        <f>VLOOKUP($B104&amp;$C104,'[1]FC3 Prod'!$A$6:$BP$36,[2]Consolidated!BM$1)</f>
        <v>#REF!</v>
      </c>
      <c r="BN104" s="37" t="e">
        <f>VLOOKUP($B104&amp;$C104,'[1]FC3 Prod'!$A$6:$BP$36,[2]Consolidated!BN$1)</f>
        <v>#REF!</v>
      </c>
      <c r="BO104" s="37" t="e">
        <f>VLOOKUP($B104&amp;$C104,'[1]FC3 Prod'!$A$6:$BP$36,[2]Consolidated!BO$1)</f>
        <v>#REF!</v>
      </c>
      <c r="BP104" s="37" t="e">
        <f>VLOOKUP($B104&amp;$C104,'[1]FC3 Prod'!$A$6:$BP$36,[2]Consolidated!BP$1)</f>
        <v>#REF!</v>
      </c>
      <c r="BQ104" s="51" t="e">
        <f>VLOOKUP($B104&amp;$C104,'[1]FC3 Prod'!$A$6:$BP$36,[2]Consolidated!BQ$1)</f>
        <v>#REF!</v>
      </c>
      <c r="BR104" s="51">
        <f>VLOOKUP($B104&amp;$C104,'[1]FC3 Prod'!$A$6:$BQ$36,[2]Consolidated!BR$1)</f>
        <v>60369</v>
      </c>
      <c r="BS104" s="52">
        <f t="shared" si="125"/>
        <v>0</v>
      </c>
      <c r="BT104" s="32">
        <f t="shared" ref="BT104:BT105" si="127">BR104-BS104</f>
        <v>60369</v>
      </c>
      <c r="BU104" s="37">
        <f t="shared" ref="BU104:BU105" si="128">E104*BT104</f>
        <v>0</v>
      </c>
      <c r="BV104" s="53" t="s">
        <v>133</v>
      </c>
      <c r="BW104" s="54" cm="1">
        <f t="array" ref="BW104">IFERROR(VLOOKUP($A104,TRANSPOSE('[1]Fur 3 PLC'!$AS$1:$BX$38),8,0),0)</f>
        <v>0</v>
      </c>
      <c r="BX104" s="54" cm="1">
        <f t="array" ref="BX104">IFERROR(VLOOKUP($A104,TRANSPOSE('[1]Fur 3 PLC'!$AS$1:$BX$38),30,0),0)</f>
        <v>0</v>
      </c>
      <c r="BY104" s="54" cm="1">
        <f t="array" ref="BY104">IFERROR(VLOOKUP($A104,TRANSPOSE('[1]Fur 3 PLC'!$AS$1:$BX$38),14,0),0)</f>
        <v>0</v>
      </c>
      <c r="BZ104" s="54" cm="1">
        <f t="array" ref="BZ104">IFERROR(VLOOKUP($A104,TRANSPOSE('[1]Fur 3 PLC'!$AS$1:$BX$38),16,0),0)</f>
        <v>0</v>
      </c>
      <c r="CA104" s="54" cm="1">
        <f t="array" ref="CA104">IFERROR(VLOOKUP($A104,TRANSPOSE('[1]Fur 3 PLC'!$AS$1:$BX$38),9,0),0)</f>
        <v>0</v>
      </c>
      <c r="CB104" s="54" cm="1">
        <f t="array" ref="CB104">IFERROR(VLOOKUP($A104,TRANSPOSE('[1]Fur 3 PLC'!$AS$1:$BX$38),17,0),0)</f>
        <v>0</v>
      </c>
      <c r="CC104" s="54" cm="1">
        <f t="array" ref="CC104">IFERROR(VLOOKUP($A104,TRANSPOSE('[1]Fur 3 PLC'!$AS$1:$BX$38),20,0),0)</f>
        <v>0</v>
      </c>
      <c r="CD104" s="54" cm="1">
        <f t="array" ref="CD104">IFERROR(VLOOKUP($A104,TRANSPOSE('[1]Fur 3 PLC'!$AS$1:$BX$38),28,0),0)</f>
        <v>0</v>
      </c>
      <c r="CE104" s="54" cm="1">
        <f t="array" ref="CE104">IFERROR(VLOOKUP($A104,TRANSPOSE('[1]Fur 3 PLC'!$AS$1:$BX$38),13,0),0)</f>
        <v>0</v>
      </c>
      <c r="CF104" s="54" cm="1">
        <f t="array" ref="CF104">IFERROR(VLOOKUP($A104,TRANSPOSE('[1]Fur 3 PLC'!$AS$1:$BX$38),37,0),0)</f>
        <v>0</v>
      </c>
      <c r="CG104" s="54" cm="1">
        <f t="array" ref="CG104">IFERROR(VLOOKUP($A104,TRANSPOSE('[1]Fur 3 PLC'!$AS$1:$BX$38),6,0),0)</f>
        <v>0</v>
      </c>
      <c r="CH104" s="54" cm="1">
        <f t="array" ref="CH104">IFERROR(VLOOKUP($A104,TRANSPOSE('[1]Fur 3 PLC'!$AS$1:$BX$38),21,0),0)</f>
        <v>0</v>
      </c>
      <c r="CI104" s="54" cm="1">
        <f t="array" ref="CI104">IFERROR(VLOOKUP($A104,TRANSPOSE('[1]Fur 3 PLC'!$AS$1:$BX$38),12,0),0)</f>
        <v>0</v>
      </c>
      <c r="CJ104" s="54" cm="1">
        <f t="array" ref="CJ104">IFERROR(VLOOKUP($A104,TRANSPOSE('[1]Fur 3 PLC'!$AS$1:$BX$38),25,0),0)</f>
        <v>0</v>
      </c>
      <c r="CK104" s="54" cm="1">
        <f t="array" ref="CK104">IFERROR(VLOOKUP($A104,TRANSPOSE('[1]Fur 3 PLC'!$AS$1:$BX$38),26,0),0)</f>
        <v>0</v>
      </c>
      <c r="CL104" s="54" cm="1">
        <f t="array" ref="CL104">IFERROR(VLOOKUP($A104,TRANSPOSE('[1]Fur 3 PLC'!$AS$1:$BX$38),27,0),0)</f>
        <v>0</v>
      </c>
      <c r="CM104" s="54" cm="1">
        <f t="array" ref="CM104">IFERROR(VLOOKUP($A104,TRANSPOSE('[1]Fur 3 PLC'!$AS$1:$BX$38),22,0),0)</f>
        <v>0</v>
      </c>
      <c r="CN104" s="54"/>
      <c r="CO104" s="54" cm="1">
        <f t="array" ref="CO104">IFERROR(VLOOKUP($A104,TRANSPOSE('[1]Fur 3 PLC'!$AS$1:$BX$38),29,0),0)</f>
        <v>0</v>
      </c>
      <c r="CP104" s="54" cm="1">
        <f t="array" ref="CP104">IFERROR(VLOOKUP($A104,TRANSPOSE('[1]Fur 3 PLC'!$AS$1:$BX$38),10,0),0)</f>
        <v>0</v>
      </c>
      <c r="CQ104" s="54" cm="1">
        <f t="array" ref="CQ104">IFERROR(VLOOKUP($A104,TRANSPOSE('[1]Fur 3 PLC'!$AS$1:$BX$38),7,0),0)</f>
        <v>0</v>
      </c>
      <c r="CR104" s="54" cm="1">
        <f t="array" ref="CR104">IFERROR(VLOOKUP($A104,TRANSPOSE('[1]Fur 3 PLC'!$AS$1:$BX$38),35,0),0)</f>
        <v>0</v>
      </c>
      <c r="CS104" s="54" cm="1">
        <f t="array" ref="CS104">IFERROR(VLOOKUP($A104,TRANSPOSE('[1]Fur 3 PLC'!$AS$1:$BX$38),11,0),0)</f>
        <v>0</v>
      </c>
      <c r="CT104" s="54" cm="1">
        <f t="array" ref="CT104">IFERROR(VLOOKUP($A104,TRANSPOSE('[1]Fur 3 PLC'!$AS$1:$BX$38),19,0),0)</f>
        <v>0</v>
      </c>
      <c r="CU104" s="54" cm="1">
        <f t="array" ref="CU104">IFERROR(VLOOKUP($A104,TRANSPOSE('[1]Fur 3 PLC'!$AS$1:$BX$38),18,0),0)</f>
        <v>0</v>
      </c>
      <c r="CV104" s="54" cm="1">
        <f t="array" ref="CV104">IFERROR(VLOOKUP($A104,TRANSPOSE('[1]Fur 3 PLC'!$AR$1:$BV$38),15,0),0)</f>
        <v>0</v>
      </c>
      <c r="CW104" s="54" cm="1">
        <f t="array" ref="CW104">IFERROR(VLOOKUP($A104,TRANSPOSE('[1]Fur 3 PLC'!$CK$1:$DO$38),8,0),0)</f>
        <v>0</v>
      </c>
      <c r="CX104" s="54" cm="1">
        <f t="array" ref="CX104">IFERROR(VLOOKUP($A104,TRANSPOSE('[1]Fur 3 PLC'!$CK$1:$DO$38),30,0),0)</f>
        <v>0</v>
      </c>
      <c r="CY104" s="54" cm="1">
        <f t="array" ref="CY104">IFERROR(VLOOKUP($A104,TRANSPOSE('[1]Fur 3 PLC'!$CK$1:$DO$38),14,0),0)</f>
        <v>0</v>
      </c>
      <c r="CZ104" s="54" cm="1">
        <f t="array" ref="CZ104">IFERROR(VLOOKUP($A104,TRANSPOSE('[1]Fur 3 PLC'!$CK$1:$DO$38),16,0),0)</f>
        <v>0</v>
      </c>
      <c r="DA104" s="54" cm="1">
        <f t="array" ref="DA104">IFERROR(VLOOKUP($A104,TRANSPOSE('[1]Fur 3 PLC'!$CK$1:$DO$38),9,0),0)</f>
        <v>0</v>
      </c>
      <c r="DB104" s="55" cm="1">
        <f t="array" ref="DB104">IFERROR(VLOOKUP($A104,TRANSPOSE('[1]Fur 3 PLC'!$CK$1:$DO$38),17,0),0)</f>
        <v>0</v>
      </c>
      <c r="DC104" s="55" cm="1">
        <f t="array" ref="DC104">IFERROR(VLOOKUP($A104,TRANSPOSE('[1]Fur 3 PLC'!$CK$1:$DO$38),20,0),0)</f>
        <v>0</v>
      </c>
      <c r="DD104" s="54" cm="1">
        <f t="array" ref="DD104">IFERROR(VLOOKUP($A104,TRANSPOSE('[1]Fur 3 PLC'!$CK$1:$DO$38),28,0),0)</f>
        <v>0</v>
      </c>
      <c r="DE104" s="54" cm="1">
        <f t="array" ref="DE104">IFERROR(VLOOKUP($A104,TRANSPOSE('[1]Fur 3 PLC'!$CK$1:$DO$38),13,0),0)</f>
        <v>0</v>
      </c>
      <c r="DF104" s="54" cm="1">
        <f t="array" ref="DF104">IFERROR(VLOOKUP($A104,TRANSPOSE('[1]Fur 3 PLC'!$CK$1:$DO$38),37,0),0)</f>
        <v>0</v>
      </c>
      <c r="DG104" s="54" cm="1">
        <f t="array" ref="DG104">IFERROR(VLOOKUP($A104,TRANSPOSE('[1]Fur 3 PLC'!$CK$1:$DO$38),6,0),0)</f>
        <v>0</v>
      </c>
      <c r="DH104" s="54" cm="1">
        <f t="array" ref="DH104">IFERROR(VLOOKUP($A104,TRANSPOSE('[1]Fur 3 PLC'!$CK$1:$DO$38),21,0),0)</f>
        <v>0</v>
      </c>
      <c r="DI104" s="54" cm="1">
        <f t="array" ref="DI104">IFERROR(VLOOKUP($A104,TRANSPOSE('[1]Fur 3 PLC'!$CK$1:$DO$38),12,0),0)</f>
        <v>0</v>
      </c>
      <c r="DJ104" s="54" cm="1">
        <f t="array" ref="DJ104">IFERROR(VLOOKUP($A104,TRANSPOSE('[1]Fur 3 PLC'!$CK$1:$DO$38),25,0),0)</f>
        <v>0</v>
      </c>
      <c r="DK104" s="54" cm="1">
        <f t="array" ref="DK104">IFERROR(VLOOKUP($A104,TRANSPOSE('[1]Fur 3 PLC'!$CK$1:$DO$38),26,0),0)</f>
        <v>0</v>
      </c>
      <c r="DL104" s="54" cm="1">
        <f t="array" ref="DL104">IFERROR(VLOOKUP($A104,TRANSPOSE('[1]Fur 3 PLC'!$CK$1:$DO$38),27,0),0)</f>
        <v>0</v>
      </c>
      <c r="DM104" s="54" cm="1">
        <f t="array" ref="DM104">IFERROR(VLOOKUP($A104,TRANSPOSE('[1]Fur 3 PLC'!$CK$1:$DO$38),22,0),0)</f>
        <v>0</v>
      </c>
      <c r="DN104" s="54" cm="1">
        <f t="array" ref="DN104">IFERROR(VLOOKUP($A104,TRANSPOSE('[1]Fur 3 PLC'!$CK$1:$DO$38),19,0),0)</f>
        <v>0</v>
      </c>
      <c r="DO104" s="54" cm="1">
        <f t="array" ref="DO104">IFERROR(VLOOKUP($A104,TRANSPOSE('[1]Fur 3 PLC'!$CK$1:$DO$38),29,0),0)</f>
        <v>0</v>
      </c>
      <c r="DP104" s="54" cm="1">
        <f t="array" ref="DP104">IFERROR(VLOOKUP($A104,TRANSPOSE('[1]Fur 3 PLC'!$CK$1:$DO$38),10,0),0)</f>
        <v>0</v>
      </c>
      <c r="DQ104" s="54" cm="1">
        <f t="array" ref="DQ104">IFERROR(VLOOKUP($A104,TRANSPOSE('[1]Fur 3 PLC'!$CK$1:$DO$38),7,0),0)</f>
        <v>0</v>
      </c>
      <c r="DR104" s="54" cm="1">
        <f t="array" ref="DR104">IFERROR(VLOOKUP($A104,TRANSPOSE('[1]Fur 3 PLC'!$CK$1:$DO$38),35,0),0)</f>
        <v>0</v>
      </c>
      <c r="DS104" s="54" cm="1">
        <f t="array" ref="DS104">IFERROR(VLOOKUP($A104,TRANSPOSE('[1]Fur 3 PLC'!$CK$1:$DO$38),11,0),0)</f>
        <v>0</v>
      </c>
      <c r="DT104" s="54" cm="1">
        <f t="array" ref="DT104">IFERROR(VLOOKUP($A104,TRANSPOSE('[1]Fur 3 PLC'!$CK$1:$DO$38),19,0),0)</f>
        <v>0</v>
      </c>
      <c r="DU104" s="54" cm="1">
        <f t="array" ref="DU104">IFERROR(VLOOKUP($A104,TRANSPOSE('[1]Fur 3 PLC'!$CK$1:$DO$38),18,0),0)</f>
        <v>0</v>
      </c>
      <c r="DV104" s="54" cm="1">
        <f t="array" ref="DV104">IFERROR(VLOOKUP($A104,TRANSPOSE('[1]Fur 3 PLC'!$CK$1:$DO$38),15,0),0)</f>
        <v>0</v>
      </c>
      <c r="DW104" t="str">
        <f t="shared" si="126"/>
        <v>Dec-25</v>
      </c>
    </row>
    <row r="105" spans="1:127" x14ac:dyDescent="0.3">
      <c r="A105" s="28" t="str">
        <f t="shared" si="59"/>
        <v>F446017</v>
      </c>
      <c r="B105" s="29" t="s">
        <v>29</v>
      </c>
      <c r="C105" s="30">
        <f>C104</f>
        <v>46017</v>
      </c>
      <c r="D105" s="29" t="str">
        <f>VLOOKUP($B105&amp;$C105,'[1]FC4 Prod'!$A$6:$BP$36,[2]Consolidated!D$1)</f>
        <v>Mr.Ganesh Ghosh Ji</v>
      </c>
      <c r="E105" s="29">
        <f>VLOOKUP($B105&amp;$C105,'[1]FC4 Prod'!$A$6:$BP$36,[2]Consolidated!E$1)</f>
        <v>0</v>
      </c>
      <c r="F105" s="31">
        <f>VLOOKUP($B105&amp;$C105,'[1]FC4 Prod'!$A$6:$BP$36,[2]Consolidated!F$1)</f>
        <v>0</v>
      </c>
      <c r="G105" s="32" t="e">
        <f>VLOOKUP($B105&amp;$C105,'[1]FC4 Prod'!$A$6:$BP$36,[2]Consolidated!G$1)</f>
        <v>#REF!</v>
      </c>
      <c r="H105" s="32">
        <f>VLOOKUP($B105&amp;$C105,'[1]FC4 Prod'!$A$6:$BP$36,[2]Consolidated!H$1)</f>
        <v>0</v>
      </c>
      <c r="I105" s="32">
        <f>VLOOKUP($B105&amp;$C105,'[1]FC4 Prod'!$A$6:$BP$36,[2]Consolidated!I$1)</f>
        <v>0</v>
      </c>
      <c r="J105" s="32">
        <f>VLOOKUP($B105&amp;$C105,'[1]FC4 Prod'!$A$6:$BP$36,[2]Consolidated!J$1)</f>
        <v>0</v>
      </c>
      <c r="K105" s="32">
        <f>VLOOKUP($B105&amp;$C105,'[1]FC4 Prod'!$A$6:$BP$36,[2]Consolidated!K$1)</f>
        <v>0</v>
      </c>
      <c r="L105" s="32">
        <f>VLOOKUP($B105&amp;$C105,'[1]FC4 Prod'!$A$6:$BP$36,[2]Consolidated!L$1)</f>
        <v>0</v>
      </c>
      <c r="M105" s="32">
        <f>VLOOKUP($B105&amp;$C105,'[1]FC4 Prod'!$A$6:$BP$36,[2]Consolidated!M$1)</f>
        <v>0</v>
      </c>
      <c r="N105" s="32">
        <f>VLOOKUP($B105&amp;$C105,'[1]FC4 Prod'!$A$6:$BP$36,[2]Consolidated!N$1)</f>
        <v>0</v>
      </c>
      <c r="O105" s="32">
        <f>VLOOKUP($B105&amp;$C105,'[1]FC4 Prod'!$A$6:$BP$36,[2]Consolidated!O$1)</f>
        <v>0</v>
      </c>
      <c r="P105" s="33">
        <f>VLOOKUP($B105&amp;$C105,'[1]FC4 Prod'!$A$6:$BP$36,[2]Consolidated!P$1)</f>
        <v>4</v>
      </c>
      <c r="Q105" s="29">
        <f>VLOOKUP($B105&amp;$C105,'[1]FC4 Prod'!$A$6:$BP$36,[2]Consolidated!Q$1)</f>
        <v>0</v>
      </c>
      <c r="R105" s="29">
        <f>VLOOKUP($B105&amp;$C105,'[1]FC4 Prod'!$A$6:$BP$36,[2]Consolidated!R$1)</f>
        <v>0</v>
      </c>
      <c r="S105" s="34" t="e">
        <f>VLOOKUP($B105&amp;$C105,'[1]FC4 Prod'!$A$6:$BP$36,[2]Consolidated!S$1)</f>
        <v>#REF!</v>
      </c>
      <c r="T105" s="34" t="e">
        <f>VLOOKUP($B105&amp;$C105,'[1]FC4 Prod'!$A$6:$BP$36,[2]Consolidated!T$1)</f>
        <v>#REF!</v>
      </c>
      <c r="U105" s="34" t="e">
        <f>VLOOKUP($B105&amp;$C105,'[1]FC4 Prod'!$A$6:$BP$36,[2]Consolidated!U$1)</f>
        <v>#REF!</v>
      </c>
      <c r="V105" s="34">
        <f>VLOOKUP($B105&amp;$C105,'[1]FC4 Prod'!$A$6:$BP$36,[2]Consolidated!V$1)</f>
        <v>0</v>
      </c>
      <c r="W105" s="35">
        <f>VLOOKUP($B105&amp;$C105,'[1]FC4 Prod'!$A$6:$BP$36,[2]Consolidated!W$1)</f>
        <v>0</v>
      </c>
      <c r="X105" s="35">
        <f>VLOOKUP($B105&amp;$C105,'[1]FC4 Prod'!$A$6:$BP$36,[2]Consolidated!X$1)</f>
        <v>0</v>
      </c>
      <c r="Y105" s="36">
        <f>VLOOKUP($B105&amp;$C105,'[1]FC4 Prod'!$A$6:$BP$36,[2]Consolidated!Y$1)</f>
        <v>0</v>
      </c>
      <c r="Z105" s="37" t="e">
        <f>VLOOKUP($B105&amp;$C105,'[1]FC4 Prod'!$A$6:$BP$36,[2]Consolidated!Z$1)</f>
        <v>#REF!</v>
      </c>
      <c r="AA105" s="31">
        <f>VLOOKUP($B105&amp;$C105,'[1]FC4 Prod'!$A$6:$BP$36,[2]Consolidated!AA$1)</f>
        <v>0</v>
      </c>
      <c r="AB105" s="31">
        <f>VLOOKUP($B105&amp;$C105,'[1]FC4 Prod'!$A$6:$BP$36,[2]Consolidated!AB$1)</f>
        <v>0</v>
      </c>
      <c r="AC105" s="31">
        <f>VLOOKUP($B105&amp;$C105,'[1]FC4 Prod'!$A$6:$BP$36,[2]Consolidated!AC$1)</f>
        <v>0</v>
      </c>
      <c r="AD105" s="38">
        <f>VLOOKUP($B105&amp;$C105,'[1]FC4 Prod'!$A$6:$BP$36,[2]Consolidated!AD$1)</f>
        <v>0</v>
      </c>
      <c r="AE105" s="38">
        <f>VLOOKUP($B105&amp;$C105,'[1]FC4 Prod'!$A$6:$BP$36,[2]Consolidated!AE$1)</f>
        <v>0</v>
      </c>
      <c r="AF105" s="39">
        <f>VLOOKUP($B105&amp;$C105,'[1]FC4 Prod'!$A$6:$BP$36,[2]Consolidated!AF$1)</f>
        <v>0</v>
      </c>
      <c r="AG105" s="39">
        <f>VLOOKUP($B105&amp;$C105,'[1]FC4 Prod'!$A$6:$BP$36,[2]Consolidated!AG$1)</f>
        <v>0</v>
      </c>
      <c r="AH105" s="34">
        <f>VLOOKUP($B105&amp;$C105,'[1]FC4 Prod'!$A$6:$BP$36,[2]Consolidated!AH$1)</f>
        <v>0</v>
      </c>
      <c r="AI105" s="33">
        <f>VLOOKUP($B105&amp;$C105,'[1]FC4 Prod'!$A$6:$BP$36,[2]Consolidated!AI$1)</f>
        <v>0</v>
      </c>
      <c r="AJ105" s="39">
        <f>VLOOKUP($B105&amp;$C105,'[1]FC4 Prod'!$A$6:$BP$36,[2]Consolidated!AJ$1)</f>
        <v>0</v>
      </c>
      <c r="AK105" s="39">
        <f>VLOOKUP($B105&amp;$C105,'[1]FC4 Prod'!$A$6:$BP$36,[2]Consolidated!AK$1)</f>
        <v>0</v>
      </c>
      <c r="AL105" s="40" t="e">
        <f>VLOOKUP($B105&amp;$C105,'[1]FC4 Prod'!$A$6:$BP$36,[2]Consolidated!AL$1)</f>
        <v>#REF!</v>
      </c>
      <c r="AM105" s="41">
        <f>VLOOKUP($B105&amp;$C105,'[1]FC4 Prod'!$A$6:$BP$36,[2]Consolidated!AM$1)</f>
        <v>0</v>
      </c>
      <c r="AN105" s="42" t="e">
        <f>VLOOKUP($B105&amp;$C105,'[1]FC4 Prod'!$A$6:$BP$36,[2]Consolidated!AN$1)</f>
        <v>#REF!</v>
      </c>
      <c r="AO105" s="43" t="e">
        <f>VLOOKUP($B105&amp;$C105,'[1]FC4 Prod'!$A$6:$BP$36,[2]Consolidated!AO$1)</f>
        <v>#REF!</v>
      </c>
      <c r="AP105" s="44">
        <f>VLOOKUP($B105&amp;$C105,'[1]FC4 Prod'!$A$6:$BP$36,[2]Consolidated!AP$1)</f>
        <v>0</v>
      </c>
      <c r="AQ105" s="44">
        <f>VLOOKUP($B105&amp;$C105,'[1]FC4 Prod'!$A$6:$BP$36,[2]Consolidated!AQ$1)</f>
        <v>0</v>
      </c>
      <c r="AR105" s="45">
        <f>VLOOKUP($B105&amp;$C105,'[1]FC4 Prod'!$A$6:$BP$36,[2]Consolidated!AR$1)</f>
        <v>0</v>
      </c>
      <c r="AS105" s="46">
        <f>VLOOKUP($B105&amp;$C105,'[1]FC4 Prod'!$A$6:$BP$36,[2]Consolidated!AS$1)</f>
        <v>0</v>
      </c>
      <c r="AT105" s="29">
        <f>VLOOKUP($B105&amp;$C105,'[1]FC4 Prod'!$A$6:$BP$36,[2]Consolidated!AT$1)</f>
        <v>0</v>
      </c>
      <c r="AU105" s="34">
        <f>VLOOKUP($B105&amp;$C105,'[1]FC4 Prod'!$A$6:$BP$36,[2]Consolidated!AU$1)</f>
        <v>0</v>
      </c>
      <c r="AV105" s="34">
        <f>VLOOKUP($B105&amp;$C105,'[1]FC4 Prod'!$A$6:$BP$36,[2]Consolidated!AV$1)</f>
        <v>0</v>
      </c>
      <c r="AW105" s="47">
        <f>VLOOKUP($B105&amp;$C105,'[1]FC4 Prod'!$A$6:$BP$36,[2]Consolidated!AW$1)</f>
        <v>0</v>
      </c>
      <c r="AX105" s="47">
        <f>VLOOKUP($B105&amp;$C105,'[1]FC4 Prod'!$A$6:$BP$36,[2]Consolidated!AX$1)</f>
        <v>0</v>
      </c>
      <c r="AY105" s="48">
        <f>VLOOKUP($B105&amp;$C105,'[1]FC4 Prod'!$A$6:$BP$36,[2]Consolidated!AY$1)</f>
        <v>0</v>
      </c>
      <c r="AZ105" s="47">
        <f>VLOOKUP($B105&amp;$C105,'[1]FC4 Prod'!$A$6:$BP$36,[2]Consolidated!AZ$1)</f>
        <v>0</v>
      </c>
      <c r="BA105" s="47">
        <f>VLOOKUP($B105&amp;$C105,'[1]FC4 Prod'!$A$6:$BP$36,[2]Consolidated!BA$1)</f>
        <v>0</v>
      </c>
      <c r="BB105" s="47">
        <f>VLOOKUP($B105&amp;$C105,'[1]FC4 Prod'!$A$6:$BP$36,[2]Consolidated!BB$1)</f>
        <v>0</v>
      </c>
      <c r="BC105" s="47">
        <f>VLOOKUP($B105&amp;$C105,'[1]FC4 Prod'!$A$6:$BP$36,[2]Consolidated!BC$1)</f>
        <v>0</v>
      </c>
      <c r="BD105" s="49">
        <f>VLOOKUP($B105&amp;$C105,'[1]FC4 Prod'!$A$6:$BP$36,[2]Consolidated!BD$1)</f>
        <v>0</v>
      </c>
      <c r="BE105" s="47">
        <f>VLOOKUP($B105&amp;$C105,'[1]FC4 Prod'!$A$6:$BP$36,[2]Consolidated!BE$1)</f>
        <v>0</v>
      </c>
      <c r="BF105" s="47">
        <f>VLOOKUP($B105&amp;$C105,'[1]FC4 Prod'!$A$6:$BP$36,[2]Consolidated!BF$1)</f>
        <v>0</v>
      </c>
      <c r="BG105" s="50">
        <f>VLOOKUP($B105&amp;$C105,'[1]FC4 Prod'!$A$6:$BP$36,[2]Consolidated!BG$1)</f>
        <v>0</v>
      </c>
      <c r="BH105" s="50">
        <f>VLOOKUP($B105&amp;$C105,'[1]FC4 Prod'!$A$6:$BP$36,[2]Consolidated!BH$1)</f>
        <v>0</v>
      </c>
      <c r="BI105" s="50">
        <f>VLOOKUP($B105&amp;$C105,'[1]FC4 Prod'!$A$6:$BP$36,[2]Consolidated!BI$1)</f>
        <v>0</v>
      </c>
      <c r="BJ105" s="37" t="e">
        <f>VLOOKUP($B105&amp;$C105,'[1]FC4 Prod'!$A$6:$BP$36,[2]Consolidated!BJ$1)</f>
        <v>#REF!</v>
      </c>
      <c r="BK105" s="37" t="e">
        <f>VLOOKUP($B105&amp;$C105,'[1]FC4 Prod'!$A$6:$BP$36,[2]Consolidated!BK$1)</f>
        <v>#REF!</v>
      </c>
      <c r="BL105" s="37" t="e">
        <f>VLOOKUP($B105&amp;$C105,'[1]FC4 Prod'!$A$6:$BP$36,[2]Consolidated!BL$1)</f>
        <v>#REF!</v>
      </c>
      <c r="BM105" s="37" t="e">
        <f>VLOOKUP($B105&amp;$C105,'[1]FC4 Prod'!$A$6:$BP$36,[2]Consolidated!BM$1)</f>
        <v>#REF!</v>
      </c>
      <c r="BN105" s="37" t="e">
        <f>VLOOKUP($B105&amp;$C105,'[1]FC4 Prod'!$A$6:$BP$36,[2]Consolidated!BN$1)</f>
        <v>#REF!</v>
      </c>
      <c r="BO105" s="37" t="e">
        <f>VLOOKUP($B105&amp;$C105,'[1]FC4 Prod'!$A$6:$BP$36,[2]Consolidated!BO$1)</f>
        <v>#REF!</v>
      </c>
      <c r="BP105" s="37" t="e">
        <f>VLOOKUP($B105&amp;$C105,'[1]FC4 Prod'!$A$6:$BP$36,[2]Consolidated!BP$1)</f>
        <v>#REF!</v>
      </c>
      <c r="BQ105" s="51" t="e">
        <f>VLOOKUP($B105&amp;$C105,'[1]FC4 Prod'!$A$6:$BP$36,[2]Consolidated!BQ$1)</f>
        <v>#REF!</v>
      </c>
      <c r="BR105" s="51">
        <f>VLOOKUP($B105&amp;$C105,'[1]FC4 Prod'!$A$6:$BQ$36,[2]Consolidated!BR$1)</f>
        <v>41644</v>
      </c>
      <c r="BS105" s="52">
        <f t="shared" ref="BS105" si="129">BE105+BF105*110%+BG105+BA105</f>
        <v>0</v>
      </c>
      <c r="BT105" s="32">
        <f t="shared" si="127"/>
        <v>41644</v>
      </c>
      <c r="BU105" s="37">
        <f t="shared" si="128"/>
        <v>0</v>
      </c>
      <c r="BV105" s="53" t="s">
        <v>133</v>
      </c>
      <c r="BW105" s="54" cm="1">
        <f t="array" ref="BW105">IFERROR(VLOOKUP($A105,TRANSPOSE('[1]Fur 4 PLC'!$AR$1:$BV$39),8,0),0)</f>
        <v>0</v>
      </c>
      <c r="BX105" s="54" cm="1">
        <f t="array" ref="BX105">IFERROR(VLOOKUP($A105,TRANSPOSE('[1]Fur 4 PLC'!$AR$1:$BV$39),30,0),0)</f>
        <v>0</v>
      </c>
      <c r="BY105" s="54" cm="1">
        <f t="array" ref="BY105">IFERROR(VLOOKUP($A105,TRANSPOSE('[1]Fur 4 PLC'!$AR$1:$BV$39),14,0),0)</f>
        <v>0</v>
      </c>
      <c r="BZ105" s="54" cm="1">
        <f t="array" ref="BZ105">IFERROR(VLOOKUP($A105,TRANSPOSE('[1]Fur 4 PLC'!$AR$1:$BV$39),16,0),0)</f>
        <v>0</v>
      </c>
      <c r="CA105" s="54" cm="1">
        <f t="array" ref="CA105">IFERROR(VLOOKUP($A105,TRANSPOSE('[1]Fur 4 PLC'!$AR$1:$BV$39),9,0),0)</f>
        <v>0</v>
      </c>
      <c r="CB105" s="54" cm="1">
        <f t="array" ref="CB105">IFERROR(VLOOKUP($A105,TRANSPOSE('[1]Fur 4 PLC'!$AR$1:$BV$39),17,0),0)</f>
        <v>0</v>
      </c>
      <c r="CC105" s="54" cm="1">
        <f t="array" ref="CC105">IFERROR(VLOOKUP($A105,TRANSPOSE('[1]Fur 4 PLC'!$AR$1:$BV$39),20,0),0)</f>
        <v>0</v>
      </c>
      <c r="CD105" s="54" cm="1">
        <f t="array" ref="CD105">IFERROR(VLOOKUP($A105,TRANSPOSE('[1]Fur 4 PLC'!$AR$1:$BV$39),28,0),0)</f>
        <v>0</v>
      </c>
      <c r="CE105" s="54" cm="1">
        <f t="array" ref="CE105">IFERROR(VLOOKUP($A105,TRANSPOSE('[1]Fur 4 PLC'!$AR$1:$BV$39),13,0),0)</f>
        <v>0</v>
      </c>
      <c r="CF105" s="54" cm="1">
        <f t="array" ref="CF105">IFERROR(VLOOKUP($A105,TRANSPOSE('[1]Fur 4 PLC'!$AR$1:$BV$39),37,0),0)</f>
        <v>0</v>
      </c>
      <c r="CG105" s="54" cm="1">
        <f t="array" ref="CG105">IFERROR(VLOOKUP($A105,TRANSPOSE('[1]Fur 4 PLC'!$AR$1:$BV$39),6,0),0)</f>
        <v>0</v>
      </c>
      <c r="CH105" s="54" cm="1">
        <f t="array" ref="CH105">IFERROR(VLOOKUP($A105,TRANSPOSE('[1]Fur 4 PLC'!$AR$1:$BV$39),21,0),0)</f>
        <v>0</v>
      </c>
      <c r="CI105" s="54" cm="1">
        <f t="array" ref="CI105">IFERROR(VLOOKUP($A105,TRANSPOSE('[1]Fur 4 PLC'!$AR$1:$BV$39),12,0),0)</f>
        <v>0</v>
      </c>
      <c r="CJ105" s="54" cm="1">
        <f t="array" ref="CJ105">IFERROR(VLOOKUP($A105,TRANSPOSE('[1]Fur 4 PLC'!$AR$1:$BV$39),25,0),0)</f>
        <v>0</v>
      </c>
      <c r="CK105" s="54" cm="1">
        <f t="array" ref="CK105">IFERROR(VLOOKUP($A105,TRANSPOSE('[1]Fur 4 PLC'!$AR$1:$BV$39),26,0),0)</f>
        <v>0</v>
      </c>
      <c r="CL105" s="54" cm="1">
        <f t="array" ref="CL105">IFERROR(VLOOKUP($A105,TRANSPOSE('[1]Fur 4 PLC'!$AR$1:$BV$39),27,0),0)</f>
        <v>0</v>
      </c>
      <c r="CM105" s="54" cm="1">
        <f t="array" ref="CM105">IFERROR(VLOOKUP($A105,TRANSPOSE('[1]Fur 4 PLC'!$AR$1:$BV$39),22,0),0)</f>
        <v>0</v>
      </c>
      <c r="CN105" s="54"/>
      <c r="CO105" s="54" cm="1">
        <f t="array" ref="CO105">IFERROR(VLOOKUP($A105,TRANSPOSE('[1]Fur 4 PLC'!$AR$1:$BV$39),29,0),0)</f>
        <v>0</v>
      </c>
      <c r="CP105" s="54" cm="1">
        <f t="array" ref="CP105">IFERROR(VLOOKUP($A105,TRANSPOSE('[1]Fur 4 PLC'!$AR$1:$BV$39),10,0),0)</f>
        <v>0</v>
      </c>
      <c r="CQ105" s="54" cm="1">
        <f t="array" ref="CQ105">IFERROR(VLOOKUP($A105,TRANSPOSE('[1]Fur 4 PLC'!$AR$1:$BV$39),7,0),0)</f>
        <v>0</v>
      </c>
      <c r="CR105" s="54" cm="1">
        <f t="array" ref="CR105">IFERROR(VLOOKUP($A105,TRANSPOSE('[1]Fur 4 PLC'!$AR$1:$BV$39),36,0),0)</f>
        <v>0</v>
      </c>
      <c r="CS105" s="54" cm="1">
        <f t="array" ref="CS105">IFERROR(VLOOKUP($A105,TRANSPOSE('[1]Fur 4 PLC'!$AR$1:$BV$39),11,0),0)</f>
        <v>0</v>
      </c>
      <c r="CT105" s="54" cm="1">
        <f t="array" ref="CT105">IFERROR(VLOOKUP($A105,TRANSPOSE('[1]Fur 4 PLC'!$AR$1:$BV$39),19,0),0)</f>
        <v>0</v>
      </c>
      <c r="CU105" s="54" cm="1">
        <f t="array" ref="CU105">IFERROR(VLOOKUP($A105,TRANSPOSE('[1]Fur 4 PLC'!$AR$1:$BV$39),18,0),0)</f>
        <v>0</v>
      </c>
      <c r="CV105" s="54" cm="1">
        <f t="array" ref="CV105">IFERROR(VLOOKUP($A105,TRANSPOSE('[1]Fur 4 PLC'!$AR$1:$BV$38),15,0),0)</f>
        <v>0</v>
      </c>
      <c r="CW105" s="54" cm="1">
        <f t="array" ref="CW105">IFERROR(VLOOKUP($A105,TRANSPOSE('[1]Fur 4 PLC'!$CK$1:$DO$39),8,0),0)</f>
        <v>0</v>
      </c>
      <c r="CX105" s="54" cm="1">
        <f t="array" ref="CX105">IFERROR(VLOOKUP($A105,TRANSPOSE('[1]Fur 4 PLC'!$CK$1:$DO$39),30,0),0)</f>
        <v>0</v>
      </c>
      <c r="CY105" s="54" cm="1">
        <f t="array" ref="CY105">IFERROR(VLOOKUP($A105,TRANSPOSE('[1]Fur 4 PLC'!$CK$1:$DO$39),14,0),0)</f>
        <v>0</v>
      </c>
      <c r="CZ105" s="54" cm="1">
        <f t="array" ref="CZ105">IFERROR(VLOOKUP($A105,TRANSPOSE('[1]Fur 4 PLC'!$CK$1:$DO$39),16,0),0)</f>
        <v>0</v>
      </c>
      <c r="DA105" s="54" cm="1">
        <f t="array" ref="DA105">IFERROR(VLOOKUP($A105,TRANSPOSE('[1]Fur 4 PLC'!$CK$1:$DO$39),9,0),0)</f>
        <v>0</v>
      </c>
      <c r="DB105" s="55" cm="1">
        <f t="array" ref="DB105">IFERROR(VLOOKUP($A105,TRANSPOSE('[1]Fur 4 PLC'!$CK$1:$DO$39),17,0),0)</f>
        <v>0</v>
      </c>
      <c r="DC105" s="55" cm="1">
        <f t="array" ref="DC105">IFERROR(VLOOKUP($A105,TRANSPOSE('[1]Fur 4 PLC'!$CK$1:$DO$39),20,0),0)</f>
        <v>0</v>
      </c>
      <c r="DD105" s="54" cm="1">
        <f t="array" ref="DD105">IFERROR(VLOOKUP($A105,TRANSPOSE('[1]Fur 4 PLC'!$CK$1:$DO$39),28,0),0)</f>
        <v>0</v>
      </c>
      <c r="DE105" s="54" cm="1">
        <f t="array" ref="DE105">IFERROR(VLOOKUP($A105,TRANSPOSE('[1]Fur 4 PLC'!$CK$1:$DO$39),13,0),0)</f>
        <v>0</v>
      </c>
      <c r="DF105" s="54" cm="1">
        <f t="array" ref="DF105">IFERROR(VLOOKUP($A105,TRANSPOSE('[1]Fur 4 PLC'!$CK$1:$DO$39),37,0),0)</f>
        <v>0</v>
      </c>
      <c r="DG105" s="54" cm="1">
        <f t="array" ref="DG105">IFERROR(VLOOKUP($A105,TRANSPOSE('[1]Fur 4 PLC'!$CK$1:$DO$39),6,0),0)</f>
        <v>0</v>
      </c>
      <c r="DH105" s="54" cm="1">
        <f t="array" ref="DH105">IFERROR(VLOOKUP($A105,TRANSPOSE('[1]Fur 4 PLC'!$CK$1:$DO$39),21,0),0)</f>
        <v>0</v>
      </c>
      <c r="DI105" s="54" cm="1">
        <f t="array" ref="DI105">IFERROR(VLOOKUP($A105,TRANSPOSE('[1]Fur 4 PLC'!$CK$1:$DO$39),12,0),0)</f>
        <v>0</v>
      </c>
      <c r="DJ105" s="54" cm="1">
        <f t="array" ref="DJ105">IFERROR(VLOOKUP($A105,TRANSPOSE('[1]Fur 4 PLC'!$CK$1:$DO$39),25,0),0)</f>
        <v>0</v>
      </c>
      <c r="DK105" s="54" cm="1">
        <f t="array" ref="DK105">IFERROR(VLOOKUP($A105,TRANSPOSE('[1]Fur 4 PLC'!$CK$1:$DO$39),26,0),0)</f>
        <v>0</v>
      </c>
      <c r="DL105" s="54" cm="1">
        <f t="array" ref="DL105">IFERROR(VLOOKUP($A105,TRANSPOSE('[1]Fur 4 PLC'!$CK$1:$DO$39),27,0),0)</f>
        <v>0</v>
      </c>
      <c r="DM105" s="54" cm="1">
        <f t="array" ref="DM105">IFERROR(VLOOKUP($A105,TRANSPOSE('[1]Fur 4 PLC'!$CK$1:$DO$39),22,0),0)</f>
        <v>0</v>
      </c>
      <c r="DN105" s="54" cm="1">
        <f t="array" ref="DN105">IFERROR(VLOOKUP($A105,TRANSPOSE('[1]Fur 4 PLC'!$CK$1:$DO$39),19,0),0)</f>
        <v>0</v>
      </c>
      <c r="DO105" s="54" cm="1">
        <f t="array" ref="DO105">IFERROR(VLOOKUP($A105,TRANSPOSE('[1]Fur 4 PLC'!$CK$1:$DO$39),29,0),0)</f>
        <v>0</v>
      </c>
      <c r="DP105" s="54" cm="1">
        <f t="array" ref="DP105">IFERROR(VLOOKUP($A105,TRANSPOSE('[1]Fur 4 PLC'!$CK$1:$DO$39),10,0),0)</f>
        <v>0</v>
      </c>
      <c r="DQ105" s="54" cm="1">
        <f t="array" ref="DQ105">IFERROR(VLOOKUP($A105,TRANSPOSE('[1]Fur 4 PLC'!$CK$1:$DO$39),7,0),0)</f>
        <v>0</v>
      </c>
      <c r="DR105" s="54" cm="1">
        <f t="array" ref="DR105">IFERROR(VLOOKUP($A105,TRANSPOSE('[1]Fur 4 PLC'!$CK$1:$DO$39),36,0),0)</f>
        <v>0</v>
      </c>
      <c r="DS105" s="54" cm="1">
        <f t="array" ref="DS105">IFERROR(VLOOKUP($A105,TRANSPOSE('[1]Fur 4 PLC'!$CK$1:$DO$39),11,0),0)</f>
        <v>0</v>
      </c>
      <c r="DT105" s="54" cm="1">
        <f t="array" ref="DT105">IFERROR(VLOOKUP($A105,TRANSPOSE('[1]Fur 4 PLC'!$CK$1:$DO$39),19,0),0)</f>
        <v>0</v>
      </c>
      <c r="DU105" s="54" cm="1">
        <f t="array" ref="DU105">IFERROR(VLOOKUP($A105,TRANSPOSE('[1]Fur 4 PLC'!$CK$1:$DO$39),18,0),0)</f>
        <v>0</v>
      </c>
      <c r="DV105" s="54" cm="1">
        <f t="array" ref="DV105">IFERROR(VLOOKUP($A105,TRANSPOSE('[1]Fur 4 PLC'!$CK$1:$DO$39),15,0),0)</f>
        <v>0</v>
      </c>
      <c r="DW105" t="str">
        <f t="shared" si="126"/>
        <v>Dec-25</v>
      </c>
    </row>
    <row r="106" spans="1:127" x14ac:dyDescent="0.3">
      <c r="A106" s="28" t="str">
        <f t="shared" si="59"/>
        <v>F146018</v>
      </c>
      <c r="B106" s="29" t="s">
        <v>26</v>
      </c>
      <c r="C106" s="30">
        <f>C102+1</f>
        <v>46018</v>
      </c>
      <c r="D106" s="29" t="str">
        <f>VLOOKUP($B106&amp;$C106,'[1]FC1 Prod'!$A$6:$BP$36,[2]Consolidated!D$1)</f>
        <v>Raju Singh</v>
      </c>
      <c r="E106" s="29">
        <f>VLOOKUP($B106&amp;$C106,'[1]FC1 Prod'!$A$6:$BP$36,[2]Consolidated!E$1)</f>
        <v>0</v>
      </c>
      <c r="F106" s="31">
        <f>VLOOKUP($B106&amp;$C106,'[1]FC1 Prod'!$A$6:$BP$36,[2]Consolidated!F$1)</f>
        <v>0</v>
      </c>
      <c r="G106" s="32" t="e">
        <f>VLOOKUP($B106&amp;$C106,'[1]FC1 Prod'!$A$6:$BP$36,[2]Consolidated!G$1)</f>
        <v>#REF!</v>
      </c>
      <c r="H106" s="32">
        <f>VLOOKUP($B106&amp;$C106,'[1]FC1 Prod'!$A$6:$BP$36,[2]Consolidated!H$1)</f>
        <v>0</v>
      </c>
      <c r="I106" s="32">
        <f>VLOOKUP($B106&amp;$C106,'[1]FC1 Prod'!$A$6:$BP$36,[2]Consolidated!I$1)</f>
        <v>0</v>
      </c>
      <c r="J106" s="32">
        <f>VLOOKUP($B106&amp;$C106,'[1]FC1 Prod'!$A$6:$BP$36,[2]Consolidated!J$1)</f>
        <v>0</v>
      </c>
      <c r="K106" s="32">
        <f>VLOOKUP($B106&amp;$C106,'[1]FC1 Prod'!$A$6:$BP$36,[2]Consolidated!K$1)</f>
        <v>0</v>
      </c>
      <c r="L106" s="32">
        <f>VLOOKUP($B106&amp;$C106,'[1]FC1 Prod'!$A$6:$BP$36,[2]Consolidated!L$1)</f>
        <v>0</v>
      </c>
      <c r="M106" s="32">
        <f>VLOOKUP($B106&amp;$C106,'[1]FC1 Prod'!$A$6:$BP$36,[2]Consolidated!M$1)</f>
        <v>0</v>
      </c>
      <c r="N106" s="32">
        <f>VLOOKUP($B106&amp;$C106,'[1]FC1 Prod'!$A$6:$BP$36,[2]Consolidated!N$1)</f>
        <v>0</v>
      </c>
      <c r="O106" s="32">
        <f>VLOOKUP($B106&amp;$C106,'[1]FC1 Prod'!$A$6:$BP$36,[2]Consolidated!O$1)</f>
        <v>0</v>
      </c>
      <c r="P106" s="33">
        <f>VLOOKUP($B106&amp;$C106,'[1]FC1 Prod'!$A$6:$BP$36,[2]Consolidated!P$1)</f>
        <v>8</v>
      </c>
      <c r="Q106" s="29">
        <f>VLOOKUP($B106&amp;$C106,'[1]FC1 Prod'!$A$6:$BP$36,[2]Consolidated!Q$1)</f>
        <v>0</v>
      </c>
      <c r="R106" s="29">
        <f>VLOOKUP($B106&amp;$C106,'[1]FC1 Prod'!$A$6:$BP$36,[2]Consolidated!R$1)</f>
        <v>0</v>
      </c>
      <c r="S106" s="34" t="e">
        <f>VLOOKUP($B106&amp;$C106,'[1]FC1 Prod'!$A$6:$BP$36,[2]Consolidated!S$1)</f>
        <v>#REF!</v>
      </c>
      <c r="T106" s="34" t="e">
        <f>VLOOKUP($B106&amp;$C106,'[1]FC1 Prod'!$A$6:$BP$36,[2]Consolidated!T$1)</f>
        <v>#REF!</v>
      </c>
      <c r="U106" s="34" t="e">
        <f>VLOOKUP($B106&amp;$C106,'[1]FC1 Prod'!$A$6:$BP$36,[2]Consolidated!U$1)</f>
        <v>#REF!</v>
      </c>
      <c r="V106" s="34">
        <f>VLOOKUP($B106&amp;$C106,'[1]FC1 Prod'!$A$6:$BP$36,[2]Consolidated!V$1)</f>
        <v>0</v>
      </c>
      <c r="W106" s="35">
        <f>VLOOKUP($B106&amp;$C106,'[1]FC1 Prod'!$A$6:$BP$36,[2]Consolidated!W$1)</f>
        <v>0</v>
      </c>
      <c r="X106" s="35">
        <f>VLOOKUP($B106&amp;$C106,'[1]FC1 Prod'!$A$6:$BP$36,[2]Consolidated!X$1)</f>
        <v>0</v>
      </c>
      <c r="Y106" s="36">
        <f>VLOOKUP($B106&amp;$C106,'[1]FC1 Prod'!$A$6:$BP$36,[2]Consolidated!Y$1)</f>
        <v>0</v>
      </c>
      <c r="Z106" s="37" t="e">
        <f>VLOOKUP($B106&amp;$C106,'[1]FC1 Prod'!$A$6:$BP$36,[2]Consolidated!Z$1)</f>
        <v>#REF!</v>
      </c>
      <c r="AA106" s="31">
        <f>VLOOKUP($B106&amp;$C106,'[1]FC1 Prod'!$A$6:$BP$36,[2]Consolidated!AA$1)</f>
        <v>0</v>
      </c>
      <c r="AB106" s="31">
        <f>VLOOKUP($B106&amp;$C106,'[1]FC1 Prod'!$A$6:$BP$36,[2]Consolidated!AB$1)</f>
        <v>0</v>
      </c>
      <c r="AC106" s="31">
        <f>VLOOKUP($B106&amp;$C106,'[1]FC1 Prod'!$A$6:$BP$36,[2]Consolidated!AC$1)</f>
        <v>0</v>
      </c>
      <c r="AD106" s="38">
        <f>VLOOKUP($B106&amp;$C106,'[1]FC1 Prod'!$A$6:$BP$36,[2]Consolidated!AD$1)</f>
        <v>0</v>
      </c>
      <c r="AE106" s="38">
        <f>VLOOKUP($B106&amp;$C106,'[1]FC1 Prod'!$A$6:$BP$36,[2]Consolidated!AE$1)</f>
        <v>0</v>
      </c>
      <c r="AF106" s="39">
        <f>VLOOKUP($B106&amp;$C106,'[1]FC1 Prod'!$A$6:$BP$36,[2]Consolidated!AF$1)</f>
        <v>0</v>
      </c>
      <c r="AG106" s="39">
        <f>VLOOKUP($B106&amp;$C106,'[1]FC1 Prod'!$A$6:$BP$36,[2]Consolidated!AG$1)</f>
        <v>0</v>
      </c>
      <c r="AH106" s="34">
        <f>VLOOKUP($B106&amp;$C106,'[1]FC1 Prod'!$A$6:$BP$36,[2]Consolidated!AH$1)</f>
        <v>0</v>
      </c>
      <c r="AI106" s="33">
        <f>VLOOKUP($B106&amp;$C106,'[1]FC1 Prod'!$A$6:$BP$36,[2]Consolidated!AI$1)</f>
        <v>0</v>
      </c>
      <c r="AJ106" s="39">
        <f>VLOOKUP($B106&amp;$C106,'[1]FC1 Prod'!$A$6:$BP$36,[2]Consolidated!AJ$1)</f>
        <v>0</v>
      </c>
      <c r="AK106" s="39">
        <f>VLOOKUP($B106&amp;$C106,'[1]FC1 Prod'!$A$6:$BP$36,[2]Consolidated!AK$1)</f>
        <v>0</v>
      </c>
      <c r="AL106" s="40" t="e">
        <f>VLOOKUP($B106&amp;$C106,'[1]FC1 Prod'!$A$6:$BP$36,[2]Consolidated!AL$1)</f>
        <v>#REF!</v>
      </c>
      <c r="AM106" s="41">
        <f>VLOOKUP($B106&amp;$C106,'[1]FC1 Prod'!$A$6:$BP$36,[2]Consolidated!AM$1)</f>
        <v>0</v>
      </c>
      <c r="AN106" s="42" t="e">
        <f>VLOOKUP($B106&amp;$C106,'[1]FC1 Prod'!$A$6:$BP$36,[2]Consolidated!AN$1)</f>
        <v>#REF!</v>
      </c>
      <c r="AO106" s="43" t="e">
        <f>VLOOKUP($B106&amp;$C106,'[1]FC1 Prod'!$A$6:$BP$36,[2]Consolidated!AO$1)</f>
        <v>#REF!</v>
      </c>
      <c r="AP106" s="44">
        <f>VLOOKUP($B106&amp;$C106,'[1]FC1 Prod'!$A$6:$BP$36,[2]Consolidated!AP$1)</f>
        <v>0</v>
      </c>
      <c r="AQ106" s="44">
        <f>VLOOKUP($B106&amp;$C106,'[1]FC1 Prod'!$A$6:$BP$36,[2]Consolidated!AQ$1)</f>
        <v>0</v>
      </c>
      <c r="AR106" s="45">
        <f>VLOOKUP($B106&amp;$C106,'[1]FC1 Prod'!$A$6:$BP$36,[2]Consolidated!AR$1)</f>
        <v>0</v>
      </c>
      <c r="AS106" s="46">
        <f>VLOOKUP($B106&amp;$C106,'[1]FC1 Prod'!$A$6:$BP$36,[2]Consolidated!AS$1)</f>
        <v>0</v>
      </c>
      <c r="AT106" s="29">
        <f>VLOOKUP($B106&amp;$C106,'[1]FC1 Prod'!$A$6:$BP$36,[2]Consolidated!AT$1)</f>
        <v>0</v>
      </c>
      <c r="AU106" s="34">
        <f>VLOOKUP($B106&amp;$C106,'[1]FC1 Prod'!$A$6:$BP$36,[2]Consolidated!AU$1)</f>
        <v>0</v>
      </c>
      <c r="AV106" s="34">
        <f>VLOOKUP($B106&amp;$C106,'[1]FC1 Prod'!$A$6:$BP$36,[2]Consolidated!AV$1)</f>
        <v>0</v>
      </c>
      <c r="AW106" s="47">
        <f>VLOOKUP($B106&amp;$C106,'[1]FC1 Prod'!$A$6:$BP$36,[2]Consolidated!AW$1)</f>
        <v>0</v>
      </c>
      <c r="AX106" s="47">
        <f>VLOOKUP($B106&amp;$C106,'[1]FC1 Prod'!$A$6:$BP$36,[2]Consolidated!AX$1)</f>
        <v>0</v>
      </c>
      <c r="AY106" s="48">
        <f>VLOOKUP($B106&amp;$C106,'[1]FC1 Prod'!$A$6:$BP$36,[2]Consolidated!AY$1)</f>
        <v>0</v>
      </c>
      <c r="AZ106" s="47">
        <f>VLOOKUP($B106&amp;$C106,'[1]FC1 Prod'!$A$6:$BP$36,[2]Consolidated!AZ$1)</f>
        <v>0</v>
      </c>
      <c r="BA106" s="47">
        <f>VLOOKUP($B106&amp;$C106,'[1]FC1 Prod'!$A$6:$BP$36,[2]Consolidated!BA$1)</f>
        <v>0</v>
      </c>
      <c r="BB106" s="47">
        <f>VLOOKUP($B106&amp;$C106,'[1]FC1 Prod'!$A$6:$BP$36,[2]Consolidated!BB$1)</f>
        <v>0</v>
      </c>
      <c r="BC106" s="47">
        <f>VLOOKUP($B106&amp;$C106,'[1]FC1 Prod'!$A$6:$BP$36,[2]Consolidated!BC$1)</f>
        <v>0</v>
      </c>
      <c r="BD106" s="49">
        <f>VLOOKUP($B106&amp;$C106,'[1]FC1 Prod'!$A$6:$BP$36,[2]Consolidated!BD$1)</f>
        <v>0</v>
      </c>
      <c r="BE106" s="47">
        <f>VLOOKUP($B106&amp;$C106,'[1]FC1 Prod'!$A$6:$BP$36,[2]Consolidated!BE$1)</f>
        <v>0</v>
      </c>
      <c r="BF106" s="47">
        <f>VLOOKUP($B106&amp;$C106,'[1]FC1 Prod'!$A$6:$BP$36,[2]Consolidated!BF$1)</f>
        <v>0</v>
      </c>
      <c r="BG106" s="50">
        <f>VLOOKUP($B106&amp;$C106,'[1]FC1 Prod'!$A$6:$BP$36,[2]Consolidated!BG$1)</f>
        <v>0</v>
      </c>
      <c r="BH106" s="50">
        <f>VLOOKUP($B106&amp;$C106,'[1]FC1 Prod'!$A$6:$BP$36,[2]Consolidated!BH$1)</f>
        <v>0</v>
      </c>
      <c r="BI106" s="50">
        <f>VLOOKUP($B106&amp;$C106,'[1]FC1 Prod'!$A$6:$BP$36,[2]Consolidated!BI$1)</f>
        <v>0</v>
      </c>
      <c r="BJ106" s="37" t="e">
        <f>VLOOKUP($B106&amp;$C106,'[1]FC1 Prod'!$A$6:$BP$36,[2]Consolidated!BJ$1)</f>
        <v>#REF!</v>
      </c>
      <c r="BK106" s="37" t="e">
        <f>VLOOKUP($B106&amp;$C106,'[1]FC1 Prod'!$A$6:$BP$36,[2]Consolidated!BK$1)</f>
        <v>#REF!</v>
      </c>
      <c r="BL106" s="37" t="e">
        <f>VLOOKUP($B106&amp;$C106,'[1]FC1 Prod'!$A$6:$BP$36,[2]Consolidated!BL$1)</f>
        <v>#REF!</v>
      </c>
      <c r="BM106" s="37" t="e">
        <f>VLOOKUP($B106&amp;$C106,'[1]FC1 Prod'!$A$6:$BP$36,[2]Consolidated!BM$1)</f>
        <v>#REF!</v>
      </c>
      <c r="BN106" s="37" t="e">
        <f>VLOOKUP($B106&amp;$C106,'[1]FC1 Prod'!$A$6:$BP$36,[2]Consolidated!BN$1)</f>
        <v>#REF!</v>
      </c>
      <c r="BO106" s="37" t="e">
        <f>VLOOKUP($B106&amp;$C106,'[1]FC1 Prod'!$A$6:$BP$36,[2]Consolidated!BO$1)</f>
        <v>#REF!</v>
      </c>
      <c r="BP106" s="37" t="e">
        <f>VLOOKUP($B106&amp;$C106,'[1]FC1 Prod'!$A$6:$BP$36,[2]Consolidated!BP$1)</f>
        <v>#REF!</v>
      </c>
      <c r="BQ106" s="51" t="e">
        <f>VLOOKUP($B106&amp;$C106,'[1]FC1 Prod'!$A$6:$BP$36,[2]Consolidated!BQ$1)</f>
        <v>#REF!</v>
      </c>
      <c r="BR106" s="51">
        <f>VLOOKUP($B106&amp;$C106,'[1]FC1 Prod'!$A$6:$BQ$36,[2]Consolidated!BR$1)</f>
        <v>69902</v>
      </c>
      <c r="BS106" s="52">
        <f t="shared" ref="BS106:BS108" si="130">BE106+BF106+BG106+BA106</f>
        <v>0</v>
      </c>
      <c r="BT106" s="32">
        <f>BR106-BS106</f>
        <v>69902</v>
      </c>
      <c r="BU106" s="37">
        <f>E106*BT106</f>
        <v>0</v>
      </c>
      <c r="BV106" s="53" t="s">
        <v>133</v>
      </c>
      <c r="BW106" s="54" cm="1">
        <f t="array" ref="BW106">IFERROR(VLOOKUP($A106,TRANSPOSE('[1]Fur 1 PLC'!$AR$1:$BV$38),8,0),0)</f>
        <v>0</v>
      </c>
      <c r="BX106" s="54" cm="1">
        <f t="array" ref="BX106">IFERROR(VLOOKUP($A106,TRANSPOSE('[1]Fur 1 PLC'!$AR$1:$BV$38),30,0),0)</f>
        <v>0</v>
      </c>
      <c r="BY106" s="54" cm="1">
        <f t="array" ref="BY106">IFERROR(VLOOKUP($A106,TRANSPOSE('[1]Fur 1 PLC'!$AR$1:$BV$38),14,0),0)</f>
        <v>0</v>
      </c>
      <c r="BZ106" s="54" cm="1">
        <f t="array" ref="BZ106">IFERROR(VLOOKUP($A106,TRANSPOSE('[1]Fur 1 PLC'!$AR$1:$BV$38),16,0),0)</f>
        <v>0</v>
      </c>
      <c r="CA106" s="54" cm="1">
        <f t="array" ref="CA106">IFERROR(VLOOKUP($A106,TRANSPOSE('[1]Fur 1 PLC'!$AR$1:$BV$38),9,0),0)</f>
        <v>0</v>
      </c>
      <c r="CB106" s="54" cm="1">
        <f t="array" ref="CB106">IFERROR(VLOOKUP($A106,TRANSPOSE('[1]Fur 1 PLC'!$AR$1:$BV$38),17,0),0)</f>
        <v>0</v>
      </c>
      <c r="CC106" s="54" cm="1">
        <f t="array" ref="CC106">IFERROR(VLOOKUP($A106,TRANSPOSE('[1]Fur 1 PLC'!$AR$1:$BV$38),20,0),0)</f>
        <v>0</v>
      </c>
      <c r="CD106" s="54" cm="1">
        <f t="array" ref="CD106">IFERROR(VLOOKUP($A106,TRANSPOSE('[1]Fur 1 PLC'!$AR$1:$BV$38),28,0),0)</f>
        <v>0</v>
      </c>
      <c r="CE106" s="54" cm="1">
        <f t="array" ref="CE106">IFERROR(VLOOKUP($A106,TRANSPOSE('[1]Fur 1 PLC'!$AR$1:$BV$38),13,0),0)</f>
        <v>0</v>
      </c>
      <c r="CF106" s="54" cm="1">
        <f t="array" ref="CF106">IFERROR(VLOOKUP($A106,TRANSPOSE('[1]Fur 1 PLC'!$AR$1:$BV$38),37,0),0)</f>
        <v>0</v>
      </c>
      <c r="CG106" s="54" cm="1">
        <f t="array" ref="CG106">IFERROR(VLOOKUP($A106,TRANSPOSE('[1]Fur 1 PLC'!$AR$1:$BV$38),6,0),0)</f>
        <v>0</v>
      </c>
      <c r="CH106" s="54" cm="1">
        <f t="array" ref="CH106">IFERROR(VLOOKUP($A106,TRANSPOSE('[1]Fur 1 PLC'!$AR$1:$BV$38),21,0),0)</f>
        <v>0</v>
      </c>
      <c r="CI106" s="54" cm="1">
        <f t="array" ref="CI106">IFERROR(VLOOKUP($A106,TRANSPOSE('[1]Fur 1 PLC'!$AR$1:$BV$38),12,0),0)</f>
        <v>0</v>
      </c>
      <c r="CJ106" s="54" cm="1">
        <f t="array" ref="CJ106">IFERROR(VLOOKUP($A106,TRANSPOSE('[1]Fur 1 PLC'!$AR$1:$BV$38),25,0),0)</f>
        <v>0</v>
      </c>
      <c r="CK106" s="54" cm="1">
        <f t="array" ref="CK106">IFERROR(VLOOKUP($A106,TRANSPOSE('[1]Fur 1 PLC'!$AR$1:$BV$38),26,0),0)</f>
        <v>0</v>
      </c>
      <c r="CL106" s="54" cm="1">
        <f t="array" ref="CL106">IFERROR(VLOOKUP($A106,TRANSPOSE('[1]Fur 1 PLC'!$AR$1:$BV$38),27,0),0)</f>
        <v>0</v>
      </c>
      <c r="CM106" s="54" cm="1">
        <f t="array" ref="CM106">IFERROR(VLOOKUP($A106,TRANSPOSE('[1]Fur 1 PLC'!$AR$1:$BV$38),22,0),0)</f>
        <v>0</v>
      </c>
      <c r="CN106" s="54"/>
      <c r="CO106" s="54" cm="1">
        <f t="array" ref="CO106">IFERROR(VLOOKUP($A106,TRANSPOSE('[1]Fur 1 PLC'!$AR$1:$BV$38),29,0),0)</f>
        <v>0</v>
      </c>
      <c r="CP106" s="54" cm="1">
        <f t="array" ref="CP106">IFERROR(VLOOKUP($A106,TRANSPOSE('[1]Fur 1 PLC'!$AR$1:$BV$38),10,0),0)</f>
        <v>0</v>
      </c>
      <c r="CQ106" s="54" cm="1">
        <f t="array" ref="CQ106">IFERROR(VLOOKUP($A106,TRANSPOSE('[1]Fur 1 PLC'!$AR$1:$BV$38),7,0),0)</f>
        <v>0</v>
      </c>
      <c r="CR106" s="54" cm="1">
        <f t="array" ref="CR106">IFERROR(VLOOKUP($A106,TRANSPOSE('[1]Fur 1 PLC'!$AR$1:$BV$38),35,0),0)</f>
        <v>0</v>
      </c>
      <c r="CS106" s="54" cm="1">
        <f t="array" ref="CS106">IFERROR(VLOOKUP($A106,TRANSPOSE('[1]Fur 1 PLC'!$AR$1:$BV$38),11,0),0)</f>
        <v>0</v>
      </c>
      <c r="CT106" s="54" cm="1">
        <f t="array" ref="CT106">IFERROR(VLOOKUP($A106,TRANSPOSE('[1]Fur 1 PLC'!$AR$1:$BV$38),19,0),0)</f>
        <v>0</v>
      </c>
      <c r="CU106" s="54" cm="1">
        <f t="array" ref="CU106">IFERROR(VLOOKUP($A106,TRANSPOSE('[1]Fur 1 PLC'!$AR$1:$BV$38),18,0),0)</f>
        <v>0</v>
      </c>
      <c r="CV106" s="54" cm="1">
        <f t="array" ref="CV106">IFERROR(VLOOKUP($A106,TRANSPOSE('[1]Fur 1 PLC'!$AR$1:$BV$38),15,0),0)</f>
        <v>0</v>
      </c>
      <c r="CW106" s="54" cm="1">
        <f t="array" ref="CW106">IFERROR(VLOOKUP($A106,TRANSPOSE('[1]Fur 1 PLC'!$CL$1:$DP$38),8,0),0)</f>
        <v>0</v>
      </c>
      <c r="CX106" s="54" cm="1">
        <f t="array" ref="CX106">IFERROR(VLOOKUP($A106,TRANSPOSE('[1]Fur 1 PLC'!$CL$1:$DP$38),30,0),0)</f>
        <v>0</v>
      </c>
      <c r="CY106" s="54" cm="1">
        <f t="array" ref="CY106">IFERROR(VLOOKUP($A106,TRANSPOSE('[1]Fur 1 PLC'!$CL$1:$DP$38),14,0),0)</f>
        <v>0</v>
      </c>
      <c r="CZ106" s="54" cm="1">
        <f t="array" ref="CZ106">IFERROR(VLOOKUP($A106,TRANSPOSE('[1]Fur 1 PLC'!$CL$1:$DP$38),16,0),0)</f>
        <v>0</v>
      </c>
      <c r="DA106" s="54" cm="1">
        <f t="array" ref="DA106">IFERROR(VLOOKUP($A106,TRANSPOSE('[1]Fur 1 PLC'!$CL$1:$DP$38),9,0),0)</f>
        <v>0</v>
      </c>
      <c r="DB106" s="55" cm="1">
        <f t="array" ref="DB106">IFERROR(VLOOKUP($A106,TRANSPOSE('[1]Fur 1 PLC'!$CL$1:$DP$38),17,0),0)</f>
        <v>0</v>
      </c>
      <c r="DC106" s="55" cm="1">
        <f t="array" ref="DC106">IFERROR(VLOOKUP($A106,TRANSPOSE('[1]Fur 1 PLC'!$CL$1:$DP$38),20,0),0)</f>
        <v>0</v>
      </c>
      <c r="DD106" s="54" cm="1">
        <f t="array" ref="DD106">IFERROR(VLOOKUP($A106,TRANSPOSE('[1]Fur 1 PLC'!$CL$1:$DP$38),28,0),0)</f>
        <v>0</v>
      </c>
      <c r="DE106" s="54" cm="1">
        <f t="array" ref="DE106">IFERROR(VLOOKUP($A106,TRANSPOSE('[1]Fur 1 PLC'!$CL$1:$DP$38),13,0),0)</f>
        <v>0</v>
      </c>
      <c r="DF106" s="54" cm="1">
        <f t="array" ref="DF106">IFERROR(VLOOKUP($A106,TRANSPOSE('[1]Fur 1 PLC'!$CL$1:$DP$38),37,0),0)</f>
        <v>0</v>
      </c>
      <c r="DG106" s="54" cm="1">
        <f t="array" ref="DG106">IFERROR(VLOOKUP($A106,TRANSPOSE('[1]Fur 1 PLC'!$CL$1:$DP$38),6,0),0)</f>
        <v>0</v>
      </c>
      <c r="DH106" s="54" cm="1">
        <f t="array" ref="DH106">IFERROR(VLOOKUP($A106,TRANSPOSE('[1]Fur 1 PLC'!$CL$1:$DP$38),21,0),0)</f>
        <v>0</v>
      </c>
      <c r="DI106" s="54" cm="1">
        <f t="array" ref="DI106">IFERROR(VLOOKUP($A106,TRANSPOSE('[1]Fur 1 PLC'!$CL$1:$DP$38),12,0),0)</f>
        <v>0</v>
      </c>
      <c r="DJ106" s="54" cm="1">
        <f t="array" ref="DJ106">IFERROR(VLOOKUP($A106,TRANSPOSE('[1]Fur 1 PLC'!$CL$1:$DP$38),25,0),0)</f>
        <v>0</v>
      </c>
      <c r="DK106" s="54" cm="1">
        <f t="array" ref="DK106">IFERROR(VLOOKUP($A106,TRANSPOSE('[1]Fur 1 PLC'!$CL$1:$DP$38),26,0),0)</f>
        <v>0</v>
      </c>
      <c r="DL106" s="54" cm="1">
        <f t="array" ref="DL106">IFERROR(VLOOKUP($A106,TRANSPOSE('[1]Fur 1 PLC'!$CL$1:$DP$38),27,0),0)</f>
        <v>0</v>
      </c>
      <c r="DM106" s="54" cm="1">
        <f t="array" ref="DM106">IFERROR(VLOOKUP($A106,TRANSPOSE('[1]Fur 1 PLC'!$CL$1:$DP$38),22,0),0)</f>
        <v>0</v>
      </c>
      <c r="DN106" s="54" cm="1">
        <f t="array" ref="DN106">IFERROR(VLOOKUP($A106,TRANSPOSE('[1]Fur 1 PLC'!$CL$1:$DP$38),19,0),0)</f>
        <v>0</v>
      </c>
      <c r="DO106" s="54" cm="1">
        <f t="array" ref="DO106">IFERROR(VLOOKUP($A106,TRANSPOSE('[1]Fur 1 PLC'!$CL$1:$DP$38),29,0),0)</f>
        <v>0</v>
      </c>
      <c r="DP106" s="54" cm="1">
        <f t="array" ref="DP106">IFERROR(VLOOKUP($A106,TRANSPOSE('[1]Fur 1 PLC'!$CL$1:$DP$38),10,0),0)</f>
        <v>0</v>
      </c>
      <c r="DQ106" s="54" cm="1">
        <f t="array" ref="DQ106">IFERROR(VLOOKUP($A106,TRANSPOSE('[1]Fur 1 PLC'!$CL$1:$DP$38),7,0),0)</f>
        <v>0</v>
      </c>
      <c r="DR106" s="54" cm="1">
        <f t="array" ref="DR106">IFERROR(VLOOKUP($A106,TRANSPOSE('[1]Fur 1 PLC'!$CL$1:$DP$38),35,0),0)</f>
        <v>0</v>
      </c>
      <c r="DS106" s="54" cm="1">
        <f t="array" ref="DS106">IFERROR(VLOOKUP($A106,TRANSPOSE('[1]Fur 1 PLC'!$CL$1:$DP$38),11,0),0)</f>
        <v>0</v>
      </c>
      <c r="DT106" s="54" cm="1">
        <f t="array" ref="DT106">IFERROR(VLOOKUP($A106,TRANSPOSE('[1]Fur 1 PLC'!$CL$1:$DP$38),19,0),0)</f>
        <v>0</v>
      </c>
      <c r="DU106" s="54" cm="1">
        <f t="array" ref="DU106">IFERROR(VLOOKUP($A106,TRANSPOSE('[1]Fur 1 PLC'!$CL$1:$DP$38),18,0),0)</f>
        <v>0</v>
      </c>
      <c r="DV106" s="54" cm="1">
        <f t="array" ref="DV106">IFERROR(VLOOKUP($A106,TRANSPOSE('[1]Fur 1 PLC'!$CL$1:$DP$38),15,0),0)</f>
        <v>0</v>
      </c>
      <c r="DW106" t="str">
        <f>TEXT(C106,"Mmm-yy")</f>
        <v>Dec-25</v>
      </c>
    </row>
    <row r="107" spans="1:127" x14ac:dyDescent="0.3">
      <c r="A107" s="28" t="str">
        <f t="shared" si="59"/>
        <v>F246018</v>
      </c>
      <c r="B107" s="29" t="s">
        <v>27</v>
      </c>
      <c r="C107" s="30">
        <f>C106</f>
        <v>46018</v>
      </c>
      <c r="D107" s="29" t="str">
        <f>VLOOKUP($B107&amp;$C107,'[1]FC2 Prod'!$A$6:$BP$36,[2]Consolidated!D$1)</f>
        <v>Mr. Girish Malik</v>
      </c>
      <c r="E107" s="29">
        <f>VLOOKUP($B107&amp;$C107,'[1]FC2 Prod'!$A$6:$BP$36,[2]Consolidated!E$1)</f>
        <v>0</v>
      </c>
      <c r="F107" s="29">
        <f>VLOOKUP($B107&amp;$C107,'[1]FC2 Prod'!$A$6:$BP$36,[2]Consolidated!F$1)</f>
        <v>0</v>
      </c>
      <c r="G107" s="29" t="e">
        <f>VLOOKUP($B107&amp;$C107,'[1]FC2 Prod'!$A$6:$BP$36,[2]Consolidated!G$1)</f>
        <v>#REF!</v>
      </c>
      <c r="H107" s="32">
        <f>VLOOKUP($B107&amp;$C107,'[1]FC2 Prod'!$A$6:$BP$36,[2]Consolidated!H$1)</f>
        <v>0</v>
      </c>
      <c r="I107" s="32">
        <f>VLOOKUP($B107&amp;$C107,'[1]FC2 Prod'!$A$6:$BP$36,[2]Consolidated!I$1)</f>
        <v>0</v>
      </c>
      <c r="J107" s="32">
        <f>VLOOKUP($B107&amp;$C107,'[1]FC2 Prod'!$A$6:$BP$36,[2]Consolidated!J$1)</f>
        <v>0</v>
      </c>
      <c r="K107" s="32">
        <f>VLOOKUP($B107&amp;$C107,'[1]FC2 Prod'!$A$6:$BP$36,[2]Consolidated!K$1)</f>
        <v>0</v>
      </c>
      <c r="L107" s="32">
        <f>VLOOKUP($B107&amp;$C107,'[1]FC2 Prod'!$A$6:$BP$36,[2]Consolidated!L$1)</f>
        <v>0</v>
      </c>
      <c r="M107" s="32">
        <f>VLOOKUP($B107&amp;$C107,'[1]FC2 Prod'!$A$6:$BP$36,[2]Consolidated!M$1)</f>
        <v>0</v>
      </c>
      <c r="N107" s="32">
        <f>VLOOKUP($B107&amp;$C107,'[1]FC2 Prod'!$A$6:$BP$36,[2]Consolidated!N$1)</f>
        <v>0</v>
      </c>
      <c r="O107" s="32">
        <f>VLOOKUP($B107&amp;$C107,'[1]FC2 Prod'!$A$6:$BP$36,[2]Consolidated!O$1)</f>
        <v>0</v>
      </c>
      <c r="P107" s="34">
        <f>VLOOKUP($B107&amp;$C107,'[1]FC2 Prod'!$A$6:$BP$36,[2]Consolidated!P$1)</f>
        <v>9</v>
      </c>
      <c r="Q107" s="29">
        <f>VLOOKUP($B107&amp;$C107,'[1]FC2 Prod'!$A$6:$BP$36,[2]Consolidated!Q$1)</f>
        <v>0</v>
      </c>
      <c r="R107" s="29">
        <f>VLOOKUP($B107&amp;$C107,'[1]FC2 Prod'!$A$6:$BP$36,[2]Consolidated!R$1)</f>
        <v>0</v>
      </c>
      <c r="S107" s="34" t="e">
        <f>VLOOKUP($B107&amp;$C107,'[1]FC2 Prod'!$A$6:$BP$36,[2]Consolidated!S$1)</f>
        <v>#REF!</v>
      </c>
      <c r="T107" s="34" t="e">
        <f>VLOOKUP($B107&amp;$C107,'[1]FC2 Prod'!$A$6:$BP$36,[2]Consolidated!T$1)</f>
        <v>#REF!</v>
      </c>
      <c r="U107" s="34" t="e">
        <f>VLOOKUP($B107&amp;$C107,'[1]FC2 Prod'!$A$6:$BP$36,[2]Consolidated!U$1)</f>
        <v>#REF!</v>
      </c>
      <c r="V107" s="34">
        <f>VLOOKUP($B107&amp;$C107,'[1]FC2 Prod'!$A$6:$BP$36,[2]Consolidated!V$1)</f>
        <v>0</v>
      </c>
      <c r="W107" s="29">
        <f>VLOOKUP($B107&amp;$C107,'[1]FC2 Prod'!$A$6:$BP$36,[2]Consolidated!W$1)</f>
        <v>0</v>
      </c>
      <c r="X107" s="35">
        <f>VLOOKUP($B107&amp;$C107,'[1]FC2 Prod'!$A$6:$BP$36,[2]Consolidated!X$1)</f>
        <v>0</v>
      </c>
      <c r="Y107" s="36">
        <f>VLOOKUP($B107&amp;$C107,'[1]FC2 Prod'!$A$6:$BP$36,[2]Consolidated!Y$1)</f>
        <v>0</v>
      </c>
      <c r="Z107" s="37" t="e">
        <f>VLOOKUP($B107&amp;$C107,'[1]FC2 Prod'!$A$6:$BP$36,[2]Consolidated!Z$1)</f>
        <v>#REF!</v>
      </c>
      <c r="AA107" s="31">
        <f>VLOOKUP($B107&amp;$C107,'[1]FC2 Prod'!$A$6:$BP$36,[2]Consolidated!AA$1)</f>
        <v>0</v>
      </c>
      <c r="AB107" s="31">
        <f>VLOOKUP($B107&amp;$C107,'[1]FC2 Prod'!$A$6:$BP$36,[2]Consolidated!AB$1)</f>
        <v>0</v>
      </c>
      <c r="AC107" s="31">
        <f>VLOOKUP($B107&amp;$C107,'[1]FC2 Prod'!$A$6:$BP$36,[2]Consolidated!AC$1)</f>
        <v>0</v>
      </c>
      <c r="AD107" s="38">
        <f>VLOOKUP($B107&amp;$C107,'[1]FC2 Prod'!$A$6:$BP$36,[2]Consolidated!AD$1)</f>
        <v>0</v>
      </c>
      <c r="AE107" s="38">
        <f>VLOOKUP($B107&amp;$C107,'[1]FC2 Prod'!$A$6:$BP$36,[2]Consolidated!AE$1)</f>
        <v>0</v>
      </c>
      <c r="AF107" s="39">
        <f>VLOOKUP($B107&amp;$C107,'[1]FC2 Prod'!$A$6:$BP$36,[2]Consolidated!AF$1)</f>
        <v>0</v>
      </c>
      <c r="AG107" s="39">
        <f>VLOOKUP($B107&amp;$C107,'[1]FC2 Prod'!$A$6:$BP$36,[2]Consolidated!AG$1)</f>
        <v>0</v>
      </c>
      <c r="AH107" s="34">
        <f>VLOOKUP($B107&amp;$C107,'[1]FC2 Prod'!$A$6:$BP$36,[2]Consolidated!AH$1)</f>
        <v>0</v>
      </c>
      <c r="AI107" s="33">
        <f>VLOOKUP($B107&amp;$C107,'[1]FC2 Prod'!$A$6:$BP$36,[2]Consolidated!AI$1)</f>
        <v>0</v>
      </c>
      <c r="AJ107" s="39">
        <f>VLOOKUP($B107&amp;$C107,'[1]FC2 Prod'!$A$6:$BP$36,[2]Consolidated!AJ$1)</f>
        <v>0</v>
      </c>
      <c r="AK107" s="39">
        <f>VLOOKUP($B107&amp;$C107,'[1]FC2 Prod'!$A$6:$BP$36,[2]Consolidated!AK$1)</f>
        <v>0</v>
      </c>
      <c r="AL107" s="40" t="e">
        <f>VLOOKUP($B107&amp;$C107,'[1]FC2 Prod'!$A$6:$BP$36,[2]Consolidated!AL$1)</f>
        <v>#REF!</v>
      </c>
      <c r="AM107" s="41">
        <f>VLOOKUP($B107&amp;$C107,'[1]FC2 Prod'!$A$6:$BP$36,[2]Consolidated!AM$1)</f>
        <v>0</v>
      </c>
      <c r="AN107" s="42" t="e">
        <f>VLOOKUP($B107&amp;$C107,'[1]FC2 Prod'!$A$6:$BP$36,[2]Consolidated!AN$1)</f>
        <v>#REF!</v>
      </c>
      <c r="AO107" s="43" t="e">
        <f>VLOOKUP($B107&amp;$C107,'[1]FC2 Prod'!$A$6:$BP$36,[2]Consolidated!AO$1)</f>
        <v>#REF!</v>
      </c>
      <c r="AP107" s="44">
        <f>VLOOKUP($B107&amp;$C107,'[1]FC2 Prod'!$A$6:$BP$36,[2]Consolidated!AP$1)</f>
        <v>0</v>
      </c>
      <c r="AQ107" s="44">
        <f>VLOOKUP($B107&amp;$C107,'[1]FC2 Prod'!$A$6:$BP$36,[2]Consolidated!AQ$1)</f>
        <v>0</v>
      </c>
      <c r="AR107" s="45">
        <f>VLOOKUP($B107&amp;$C107,'[1]FC2 Prod'!$A$6:$BP$36,[2]Consolidated!AR$1)</f>
        <v>0</v>
      </c>
      <c r="AS107" s="46">
        <f>VLOOKUP($B107&amp;$C107,'[1]FC2 Prod'!$A$6:$BP$36,[2]Consolidated!AS$1)</f>
        <v>0</v>
      </c>
      <c r="AT107" s="29">
        <f>VLOOKUP($B107&amp;$C107,'[1]FC2 Prod'!$A$6:$BP$36,[2]Consolidated!AT$1)</f>
        <v>0</v>
      </c>
      <c r="AU107" s="34">
        <f>VLOOKUP($B107&amp;$C107,'[1]FC2 Prod'!$A$6:$BP$36,[2]Consolidated!AU$1)</f>
        <v>0</v>
      </c>
      <c r="AV107" s="34">
        <f>VLOOKUP($B107&amp;$C107,'[1]FC2 Prod'!$A$6:$BP$36,[2]Consolidated!AV$1)</f>
        <v>0</v>
      </c>
      <c r="AW107" s="47">
        <f>VLOOKUP($B107&amp;$C107,'[1]FC2 Prod'!$A$6:$BP$36,[2]Consolidated!AW$1)</f>
        <v>0</v>
      </c>
      <c r="AX107" s="47">
        <f>VLOOKUP($B107&amp;$C107,'[1]FC2 Prod'!$A$6:$BP$36,[2]Consolidated!AX$1)</f>
        <v>0</v>
      </c>
      <c r="AY107" s="48">
        <f>VLOOKUP($B107&amp;$C107,'[1]FC2 Prod'!$A$6:$BP$36,[2]Consolidated!AY$1)</f>
        <v>0</v>
      </c>
      <c r="AZ107" s="47">
        <f>VLOOKUP($B107&amp;$C107,'[1]FC2 Prod'!$A$6:$BP$36,[2]Consolidated!AZ$1)</f>
        <v>0</v>
      </c>
      <c r="BA107" s="47">
        <f>VLOOKUP($B107&amp;$C107,'[1]FC2 Prod'!$A$6:$BP$36,[2]Consolidated!BA$1)</f>
        <v>0</v>
      </c>
      <c r="BB107" s="47">
        <f>VLOOKUP($B107&amp;$C107,'[1]FC2 Prod'!$A$6:$BP$36,[2]Consolidated!BB$1)</f>
        <v>0</v>
      </c>
      <c r="BC107" s="47">
        <f>VLOOKUP($B107&amp;$C107,'[1]FC2 Prod'!$A$6:$BP$36,[2]Consolidated!BC$1)</f>
        <v>0</v>
      </c>
      <c r="BD107" s="49">
        <f>VLOOKUP($B107&amp;$C107,'[1]FC2 Prod'!$A$6:$BP$36,[2]Consolidated!BD$1)</f>
        <v>0</v>
      </c>
      <c r="BE107" s="47">
        <f>VLOOKUP($B107&amp;$C107,'[1]FC2 Prod'!$A$6:$BP$36,[2]Consolidated!BE$1)</f>
        <v>0</v>
      </c>
      <c r="BF107" s="47">
        <f>VLOOKUP($B107&amp;$C107,'[1]FC2 Prod'!$A$6:$BP$36,[2]Consolidated!BF$1)</f>
        <v>0</v>
      </c>
      <c r="BG107" s="50">
        <f>VLOOKUP($B107&amp;$C107,'[1]FC2 Prod'!$A$6:$BP$36,[2]Consolidated!BG$1)</f>
        <v>0</v>
      </c>
      <c r="BH107" s="50">
        <f>VLOOKUP($B107&amp;$C107,'[1]FC2 Prod'!$A$6:$BP$36,[2]Consolidated!BH$1)</f>
        <v>0</v>
      </c>
      <c r="BI107" s="50">
        <f>VLOOKUP($B107&amp;$C107,'[1]FC2 Prod'!$A$6:$BP$36,[2]Consolidated!BI$1)</f>
        <v>0</v>
      </c>
      <c r="BJ107" s="37" t="e">
        <f>VLOOKUP($B107&amp;$C107,'[1]FC2 Prod'!$A$6:$BP$36,[2]Consolidated!BJ$1)</f>
        <v>#REF!</v>
      </c>
      <c r="BK107" s="37" t="e">
        <f>VLOOKUP($B107&amp;$C107,'[1]FC2 Prod'!$A$6:$BP$36,[2]Consolidated!BK$1)</f>
        <v>#REF!</v>
      </c>
      <c r="BL107" s="37" t="e">
        <f>VLOOKUP($B107&amp;$C107,'[1]FC2 Prod'!$A$6:$BP$36,[2]Consolidated!BL$1)</f>
        <v>#REF!</v>
      </c>
      <c r="BM107" s="37" t="e">
        <f>VLOOKUP($B107&amp;$C107,'[1]FC2 Prod'!$A$6:$BP$36,[2]Consolidated!BM$1)</f>
        <v>#REF!</v>
      </c>
      <c r="BN107" s="37" t="e">
        <f>VLOOKUP($B107&amp;$C107,'[1]FC2 Prod'!$A$6:$BP$36,[2]Consolidated!BN$1)</f>
        <v>#REF!</v>
      </c>
      <c r="BO107" s="37" t="e">
        <f>VLOOKUP($B107&amp;$C107,'[1]FC2 Prod'!$A$6:$BP$36,[2]Consolidated!BO$1)</f>
        <v>#REF!</v>
      </c>
      <c r="BP107" s="37" t="e">
        <f>VLOOKUP($B107&amp;$C107,'[1]FC2 Prod'!$A$6:$BP$36,[2]Consolidated!BP$1)</f>
        <v>#REF!</v>
      </c>
      <c r="BQ107" s="29" t="e">
        <f>VLOOKUP($B107&amp;$C107,'[1]FC2 Prod'!$A$6:$BP$36,[2]Consolidated!BQ$1)</f>
        <v>#REF!</v>
      </c>
      <c r="BR107" s="51">
        <f>VLOOKUP($B107&amp;$C107,'[1]FC2 Prod'!$A$6:$BQ$36,[2]Consolidated!BR$1)</f>
        <v>68163</v>
      </c>
      <c r="BS107" s="52">
        <f t="shared" si="130"/>
        <v>0</v>
      </c>
      <c r="BT107" s="32">
        <f>BR107-BS107</f>
        <v>68163</v>
      </c>
      <c r="BU107" s="37">
        <f>E107*BT107</f>
        <v>0</v>
      </c>
      <c r="BV107" s="53" t="s">
        <v>133</v>
      </c>
      <c r="BW107" s="54" cm="1">
        <f t="array" ref="BW107">IFERROR(VLOOKUP($A107,TRANSPOSE('[1]Fur 2 PLC'!$AR$1:$BV$38),8,0),0)</f>
        <v>0</v>
      </c>
      <c r="BX107" s="54" cm="1">
        <f t="array" ref="BX107">IFERROR(VLOOKUP($A107,TRANSPOSE('[1]Fur 2 PLC'!$AR$1:$BV$38),30,0),0)</f>
        <v>0</v>
      </c>
      <c r="BY107" s="54" cm="1">
        <f t="array" ref="BY107">IFERROR(VLOOKUP($A107,TRANSPOSE('[1]Fur 2 PLC'!$AR$1:$BV$38),14,0),0)</f>
        <v>0</v>
      </c>
      <c r="BZ107" s="54" cm="1">
        <f t="array" ref="BZ107">IFERROR(VLOOKUP($A107,TRANSPOSE('[1]Fur 2 PLC'!$AR$1:$BV$38),16,0),0)</f>
        <v>0</v>
      </c>
      <c r="CA107" s="54" cm="1">
        <f t="array" ref="CA107">IFERROR(VLOOKUP($A107,TRANSPOSE('[1]Fur 2 PLC'!$AR$1:$BV$38),9,0),0)</f>
        <v>0</v>
      </c>
      <c r="CB107" s="54" cm="1">
        <f t="array" ref="CB107">IFERROR(VLOOKUP($A107,TRANSPOSE('[1]Fur 2 PLC'!$AR$1:$BV$38),17,0),0)</f>
        <v>0</v>
      </c>
      <c r="CC107" s="54" cm="1">
        <f t="array" ref="CC107">IFERROR(VLOOKUP($A107,TRANSPOSE('[1]Fur 2 PLC'!$AR$1:$BV$38),20,0),0)</f>
        <v>0</v>
      </c>
      <c r="CD107" s="54" cm="1">
        <f t="array" ref="CD107">IFERROR(VLOOKUP($A107,TRANSPOSE('[1]Fur 2 PLC'!$AR$1:$BV$38),28,0),0)</f>
        <v>0</v>
      </c>
      <c r="CE107" s="54" cm="1">
        <f t="array" ref="CE107">IFERROR(VLOOKUP($A107,TRANSPOSE('[1]Fur 2 PLC'!$AR$1:$BV$38),13,0),0)</f>
        <v>0</v>
      </c>
      <c r="CF107" s="54" cm="1">
        <f t="array" ref="CF107">IFERROR(VLOOKUP($A107,TRANSPOSE('[1]Fur 2 PLC'!$AR$1:$BV$38),37,0),0)</f>
        <v>0</v>
      </c>
      <c r="CG107" s="54" cm="1">
        <f t="array" ref="CG107">IFERROR(VLOOKUP($A107,TRANSPOSE('[1]Fur 2 PLC'!$AR$1:$BV$38),6,0),0)</f>
        <v>0</v>
      </c>
      <c r="CH107" s="54" cm="1">
        <f t="array" ref="CH107">IFERROR(VLOOKUP($A107,TRANSPOSE('[1]Fur 2 PLC'!$AR$1:$BV$38),21,0),0)</f>
        <v>0</v>
      </c>
      <c r="CI107" s="54" cm="1">
        <f t="array" ref="CI107">IFERROR(VLOOKUP($A107,TRANSPOSE('[1]Fur 2 PLC'!$AR$1:$BV$38),12,0),0)</f>
        <v>0</v>
      </c>
      <c r="CJ107" s="54" cm="1">
        <f t="array" ref="CJ107">IFERROR(VLOOKUP($A107,TRANSPOSE('[1]Fur 2 PLC'!$AR$1:$BV$38),25,0),0)</f>
        <v>0</v>
      </c>
      <c r="CK107" s="54" cm="1">
        <f t="array" ref="CK107">IFERROR(VLOOKUP($A107,TRANSPOSE('[1]Fur 2 PLC'!$AR$1:$BV$38),26,0),0)</f>
        <v>0</v>
      </c>
      <c r="CL107" s="54" cm="1">
        <f t="array" ref="CL107">IFERROR(VLOOKUP($A107,TRANSPOSE('[1]Fur 2 PLC'!$AR$1:$BV$38),27,0),0)</f>
        <v>0</v>
      </c>
      <c r="CM107" s="54" cm="1">
        <f t="array" ref="CM107">IFERROR(VLOOKUP($A107,TRANSPOSE('[1]Fur 2 PLC'!$AR$1:$BV$38),22,0),0)</f>
        <v>0</v>
      </c>
      <c r="CN107" s="54"/>
      <c r="CO107" s="54" cm="1">
        <f t="array" ref="CO107">IFERROR(VLOOKUP($A107,TRANSPOSE('[1]Fur 2 PLC'!$AR$1:$BV$38),29,0),0)</f>
        <v>0</v>
      </c>
      <c r="CP107" s="54" cm="1">
        <f t="array" ref="CP107">IFERROR(VLOOKUP($A107,TRANSPOSE('[1]Fur 2 PLC'!$AR$1:$BV$38),10,0),0)</f>
        <v>0</v>
      </c>
      <c r="CQ107" s="54" cm="1">
        <f t="array" ref="CQ107">IFERROR(VLOOKUP($A107,TRANSPOSE('[1]Fur 2 PLC'!$AR$1:$BV$38),7,0),0)</f>
        <v>0</v>
      </c>
      <c r="CR107" s="54" cm="1">
        <f t="array" ref="CR107">IFERROR(VLOOKUP($A107,TRANSPOSE('[1]Fur 2 PLC'!$AR$1:$BV$38),35,0),0)</f>
        <v>0</v>
      </c>
      <c r="CS107" s="54" cm="1">
        <f t="array" ref="CS107">IFERROR(VLOOKUP($A107,TRANSPOSE('[1]Fur 2 PLC'!$AR$1:$BV$38),11,0),0)</f>
        <v>0</v>
      </c>
      <c r="CT107" s="54" cm="1">
        <f t="array" ref="CT107">IFERROR(VLOOKUP($A107,TRANSPOSE('[1]Fur 2 PLC'!$AR$1:$BV$38),19,0),0)</f>
        <v>0</v>
      </c>
      <c r="CU107" s="54" cm="1">
        <f t="array" ref="CU107">IFERROR(VLOOKUP($A107,TRANSPOSE('[1]Fur 2 PLC'!$AR$1:$BV$38),18,0),0)</f>
        <v>0</v>
      </c>
      <c r="CV107" s="54" cm="1">
        <f t="array" ref="CV107">IFERROR(VLOOKUP($A107,TRANSPOSE('[1]Fur 2 PLC'!$AR$1:$BV$38),15,0),0)</f>
        <v>0</v>
      </c>
      <c r="CW107" s="54" cm="1">
        <f t="array" ref="CW107">IFERROR(VLOOKUP($A107,TRANSPOSE('[1]Fur 2 PLC'!$CI$1:$DM$38),8,0),0)</f>
        <v>0</v>
      </c>
      <c r="CX107" s="54" cm="1">
        <f t="array" ref="CX107">IFERROR(VLOOKUP($A107,TRANSPOSE('[1]Fur 2 PLC'!$CI$1:$DM$38),30,0),0)</f>
        <v>0</v>
      </c>
      <c r="CY107" s="54" cm="1">
        <f t="array" ref="CY107">IFERROR(VLOOKUP($A107,TRANSPOSE('[1]Fur 2 PLC'!$CI$1:$DM$38),14,0),0)</f>
        <v>0</v>
      </c>
      <c r="CZ107" s="54" cm="1">
        <f t="array" ref="CZ107">IFERROR(VLOOKUP($A107,TRANSPOSE('[1]Fur 2 PLC'!$CI$1:$DM$38),16,0),0)</f>
        <v>0</v>
      </c>
      <c r="DA107" s="54" cm="1">
        <f t="array" ref="DA107">IFERROR(VLOOKUP($A107,TRANSPOSE('[1]Fur 2 PLC'!$CI$1:$DM$38),9,0),0)</f>
        <v>0</v>
      </c>
      <c r="DB107" s="55" cm="1">
        <f t="array" ref="DB107">IFERROR(VLOOKUP($A107,TRANSPOSE('[1]Fur 2 PLC'!$CI$1:$DM$38),17,0),0)</f>
        <v>0</v>
      </c>
      <c r="DC107" s="55" cm="1">
        <f t="array" ref="DC107">IFERROR(VLOOKUP($A107,TRANSPOSE('[1]Fur 2 PLC'!$CI$1:$DM$38),20,0),0)</f>
        <v>0</v>
      </c>
      <c r="DD107" s="54" cm="1">
        <f t="array" ref="DD107">IFERROR(VLOOKUP($A107,TRANSPOSE('[1]Fur 2 PLC'!$CI$1:$DM$38),28,0),0)</f>
        <v>0</v>
      </c>
      <c r="DE107" s="54" cm="1">
        <f t="array" ref="DE107">IFERROR(VLOOKUP($A107,TRANSPOSE('[1]Fur 2 PLC'!$CI$1:$DM$38),13,0),0)</f>
        <v>0</v>
      </c>
      <c r="DF107" s="54" cm="1">
        <f t="array" ref="DF107">IFERROR(VLOOKUP($A107,TRANSPOSE('[1]Fur 2 PLC'!$CI$1:$DM$38),37,0),0)</f>
        <v>0</v>
      </c>
      <c r="DG107" s="54" cm="1">
        <f t="array" ref="DG107">IFERROR(VLOOKUP($A107,TRANSPOSE('[1]Fur 2 PLC'!$CI$1:$DM$38),6,0),0)</f>
        <v>0</v>
      </c>
      <c r="DH107" s="54" cm="1">
        <f t="array" ref="DH107">IFERROR(VLOOKUP($A107,TRANSPOSE('[1]Fur 2 PLC'!$CI$1:$DM$38),21,0),0)</f>
        <v>0</v>
      </c>
      <c r="DI107" s="54" cm="1">
        <f t="array" ref="DI107">IFERROR(VLOOKUP($A107,TRANSPOSE('[1]Fur 2 PLC'!$CI$1:$DM$38),12,0),0)</f>
        <v>0</v>
      </c>
      <c r="DJ107" s="54" cm="1">
        <f t="array" ref="DJ107">IFERROR(VLOOKUP($A107,TRANSPOSE('[1]Fur 2 PLC'!$CI$1:$DM$38),25,0),0)</f>
        <v>0</v>
      </c>
      <c r="DK107" s="54" cm="1">
        <f t="array" ref="DK107">IFERROR(VLOOKUP($A107,TRANSPOSE('[1]Fur 2 PLC'!$CI$1:$DM$38),26,0),0)</f>
        <v>0</v>
      </c>
      <c r="DL107" s="54" cm="1">
        <f t="array" ref="DL107">IFERROR(VLOOKUP($A107,TRANSPOSE('[1]Fur 2 PLC'!$CI$1:$DM$38),27,0),0)</f>
        <v>0</v>
      </c>
      <c r="DM107" s="54" cm="1">
        <f t="array" ref="DM107">IFERROR(VLOOKUP($A107,TRANSPOSE('[1]Fur 2 PLC'!$CI$1:$DM$38),22,0),0)</f>
        <v>0</v>
      </c>
      <c r="DN107" s="54" cm="1">
        <f t="array" ref="DN107">IFERROR(VLOOKUP($A107,TRANSPOSE('[1]Fur 2 PLC'!$CI$1:$DM$38),19,0),0)</f>
        <v>0</v>
      </c>
      <c r="DO107" s="54" cm="1">
        <f t="array" ref="DO107">IFERROR(VLOOKUP($A107,TRANSPOSE('[1]Fur 2 PLC'!$CI$1:$DM$38),29,0),0)</f>
        <v>0</v>
      </c>
      <c r="DP107" s="54" cm="1">
        <f t="array" ref="DP107">IFERROR(VLOOKUP($A107,TRANSPOSE('[1]Fur 2 PLC'!$CI$1:$DM$38),10,0),0)</f>
        <v>0</v>
      </c>
      <c r="DQ107" s="54" cm="1">
        <f t="array" ref="DQ107">IFERROR(VLOOKUP($A107,TRANSPOSE('[1]Fur 2 PLC'!$CI$1:$DM$38),7,0),0)</f>
        <v>0</v>
      </c>
      <c r="DR107" s="54" cm="1">
        <f t="array" ref="DR107">IFERROR(VLOOKUP($A107,TRANSPOSE('[1]Fur 2 PLC'!$CI$1:$DM$38),35,0),0)</f>
        <v>0</v>
      </c>
      <c r="DS107" s="54" cm="1">
        <f t="array" ref="DS107">IFERROR(VLOOKUP($A107,TRANSPOSE('[1]Fur 2 PLC'!$CI$1:$DM$38),11,0),0)</f>
        <v>0</v>
      </c>
      <c r="DT107" s="54" cm="1">
        <f t="array" ref="DT107">IFERROR(VLOOKUP($A107,TRANSPOSE('[1]Fur 2 PLC'!$CI$1:$DM$38),19,0),0)</f>
        <v>0</v>
      </c>
      <c r="DU107" s="54" cm="1">
        <f t="array" ref="DU107">IFERROR(VLOOKUP($A107,TRANSPOSE('[1]Fur 2 PLC'!$CI$1:$DM$38),18,0),0)</f>
        <v>0</v>
      </c>
      <c r="DV107" s="54" cm="1">
        <f t="array" ref="DV107">IFERROR(VLOOKUP($A107,TRANSPOSE('[1]Fur 2 PLC'!$CI$1:$DM$38),15,0),0)</f>
        <v>0</v>
      </c>
      <c r="DW107" t="str">
        <f t="shared" ref="DW107:DW109" si="131">TEXT(C107,"Mmm-yy")</f>
        <v>Dec-25</v>
      </c>
    </row>
    <row r="108" spans="1:127" x14ac:dyDescent="0.3">
      <c r="A108" s="28" t="str">
        <f t="shared" si="59"/>
        <v>F346018</v>
      </c>
      <c r="B108" s="29" t="s">
        <v>28</v>
      </c>
      <c r="C108" s="30">
        <f>C107</f>
        <v>46018</v>
      </c>
      <c r="D108" s="29" t="str">
        <f>VLOOKUP($B108&amp;$C108,'[1]FC3 Prod'!$A$6:$BP$36,[2]Consolidated!D$1)</f>
        <v>Mr. Ajay Singh</v>
      </c>
      <c r="E108" s="29">
        <f>VLOOKUP($B108&amp;$C108,'[1]FC3 Prod'!$A$6:$BP$36,[2]Consolidated!E$1)</f>
        <v>0</v>
      </c>
      <c r="F108" s="31">
        <f>VLOOKUP($B108&amp;$C108,'[1]FC3 Prod'!$A$6:$BP$36,[2]Consolidated!F$1)</f>
        <v>0</v>
      </c>
      <c r="G108" s="32" t="e">
        <f>VLOOKUP($B108&amp;$C108,'[1]FC3 Prod'!$A$6:$BP$36,[2]Consolidated!G$1)</f>
        <v>#REF!</v>
      </c>
      <c r="H108" s="32">
        <f>VLOOKUP($B108&amp;$C108,'[1]FC3 Prod'!$A$6:$BP$36,[2]Consolidated!H$1)</f>
        <v>0</v>
      </c>
      <c r="I108" s="32">
        <f>VLOOKUP($B108&amp;$C108,'[1]FC3 Prod'!$A$6:$BP$36,[2]Consolidated!I$1)</f>
        <v>0</v>
      </c>
      <c r="J108" s="32">
        <f>VLOOKUP($B108&amp;$C108,'[1]FC3 Prod'!$A$6:$BP$36,[2]Consolidated!J$1)</f>
        <v>0</v>
      </c>
      <c r="K108" s="32">
        <f>VLOOKUP($B108&amp;$C108,'[1]FC3 Prod'!$A$6:$BP$36,[2]Consolidated!K$1)</f>
        <v>0</v>
      </c>
      <c r="L108" s="32">
        <f>VLOOKUP($B108&amp;$C108,'[1]FC3 Prod'!$A$6:$BP$36,[2]Consolidated!L$1)</f>
        <v>0</v>
      </c>
      <c r="M108" s="32">
        <f>VLOOKUP($B108&amp;$C108,'[1]FC3 Prod'!$A$6:$BP$36,[2]Consolidated!M$1)</f>
        <v>0</v>
      </c>
      <c r="N108" s="32">
        <f>VLOOKUP($B108&amp;$C108,'[1]FC3 Prod'!$A$6:$BP$36,[2]Consolidated!N$1)</f>
        <v>0</v>
      </c>
      <c r="O108" s="32">
        <f>VLOOKUP($B108&amp;$C108,'[1]FC3 Prod'!$A$6:$BP$36,[2]Consolidated!O$1)</f>
        <v>0</v>
      </c>
      <c r="P108" s="33">
        <f>VLOOKUP($B108&amp;$C108,'[1]FC3 Prod'!$A$6:$BP$36,[2]Consolidated!P$1)</f>
        <v>9</v>
      </c>
      <c r="Q108" s="29">
        <f>VLOOKUP($B108&amp;$C108,'[1]FC3 Prod'!$A$6:$BP$36,[2]Consolidated!Q$1)</f>
        <v>0</v>
      </c>
      <c r="R108" s="29">
        <f>VLOOKUP($B108&amp;$C108,'[1]FC3 Prod'!$A$6:$BP$36,[2]Consolidated!R$1)</f>
        <v>0</v>
      </c>
      <c r="S108" s="34" t="e">
        <f>VLOOKUP($B108&amp;$C108,'[1]FC3 Prod'!$A$6:$BP$36,[2]Consolidated!S$1)</f>
        <v>#REF!</v>
      </c>
      <c r="T108" s="34" t="e">
        <f>VLOOKUP($B108&amp;$C108,'[1]FC3 Prod'!$A$6:$BP$36,[2]Consolidated!T$1)</f>
        <v>#REF!</v>
      </c>
      <c r="U108" s="34" t="e">
        <f>VLOOKUP($B108&amp;$C108,'[1]FC3 Prod'!$A$6:$BP$36,[2]Consolidated!U$1)</f>
        <v>#REF!</v>
      </c>
      <c r="V108" s="34">
        <f>VLOOKUP($B108&amp;$C108,'[1]FC3 Prod'!$A$6:$BP$36,[2]Consolidated!V$1)</f>
        <v>0</v>
      </c>
      <c r="W108" s="35">
        <f>VLOOKUP($B108&amp;$C108,'[1]FC3 Prod'!$A$6:$BP$36,[2]Consolidated!W$1)</f>
        <v>0</v>
      </c>
      <c r="X108" s="35">
        <f>VLOOKUP($B108&amp;$C108,'[1]FC3 Prod'!$A$6:$BP$36,[2]Consolidated!X$1)</f>
        <v>0</v>
      </c>
      <c r="Y108" s="36">
        <f>VLOOKUP($B108&amp;$C108,'[1]FC3 Prod'!$A$6:$BP$36,[2]Consolidated!Y$1)</f>
        <v>0</v>
      </c>
      <c r="Z108" s="37" t="e">
        <f>VLOOKUP($B108&amp;$C108,'[1]FC3 Prod'!$A$6:$BP$36,[2]Consolidated!Z$1)</f>
        <v>#REF!</v>
      </c>
      <c r="AA108" s="31">
        <f>VLOOKUP($B108&amp;$C108,'[1]FC3 Prod'!$A$6:$BP$36,[2]Consolidated!AA$1)</f>
        <v>0</v>
      </c>
      <c r="AB108" s="31">
        <f>VLOOKUP($B108&amp;$C108,'[1]FC3 Prod'!$A$6:$BP$36,[2]Consolidated!AB$1)</f>
        <v>0</v>
      </c>
      <c r="AC108" s="31" t="e">
        <f>VLOOKUP($B108&amp;$C108,'[1]FC3 Prod'!$A$6:$BP$36,[2]Consolidated!AC$1)</f>
        <v>#REF!</v>
      </c>
      <c r="AD108" s="38">
        <f>VLOOKUP($B108&amp;$C108,'[1]FC3 Prod'!$A$6:$BP$36,[2]Consolidated!AD$1)</f>
        <v>0</v>
      </c>
      <c r="AE108" s="38">
        <f>VLOOKUP($B108&amp;$C108,'[1]FC3 Prod'!$A$6:$BP$36,[2]Consolidated!AE$1)</f>
        <v>0</v>
      </c>
      <c r="AF108" s="39">
        <f>VLOOKUP($B108&amp;$C108,'[1]FC3 Prod'!$A$6:$BP$36,[2]Consolidated!AF$1)</f>
        <v>0</v>
      </c>
      <c r="AG108" s="39">
        <f>VLOOKUP($B108&amp;$C108,'[1]FC3 Prod'!$A$6:$BP$36,[2]Consolidated!AG$1)</f>
        <v>0</v>
      </c>
      <c r="AH108" s="34">
        <f>VLOOKUP($B108&amp;$C108,'[1]FC3 Prod'!$A$6:$BP$36,[2]Consolidated!AH$1)</f>
        <v>0</v>
      </c>
      <c r="AI108" s="33">
        <f>VLOOKUP($B108&amp;$C108,'[1]FC3 Prod'!$A$6:$BP$36,[2]Consolidated!AI$1)</f>
        <v>0</v>
      </c>
      <c r="AJ108" s="39">
        <f>VLOOKUP($B108&amp;$C108,'[1]FC3 Prod'!$A$6:$BP$36,[2]Consolidated!AJ$1)</f>
        <v>0</v>
      </c>
      <c r="AK108" s="39">
        <f>VLOOKUP($B108&amp;$C108,'[1]FC3 Prod'!$A$6:$BP$36,[2]Consolidated!AK$1)</f>
        <v>0</v>
      </c>
      <c r="AL108" s="40" t="e">
        <f>VLOOKUP($B108&amp;$C108,'[1]FC3 Prod'!$A$6:$BP$36,[2]Consolidated!AL$1)</f>
        <v>#REF!</v>
      </c>
      <c r="AM108" s="41">
        <f>VLOOKUP($B108&amp;$C108,'[1]FC3 Prod'!$A$6:$BP$36,[2]Consolidated!AM$1)</f>
        <v>0</v>
      </c>
      <c r="AN108" s="42" t="e">
        <f>VLOOKUP($B108&amp;$C108,'[1]FC3 Prod'!$A$6:$BP$36,[2]Consolidated!AN$1)</f>
        <v>#REF!</v>
      </c>
      <c r="AO108" s="43" t="e">
        <f>VLOOKUP($B108&amp;$C108,'[1]FC3 Prod'!$A$6:$BP$36,[2]Consolidated!AO$1)</f>
        <v>#REF!</v>
      </c>
      <c r="AP108" s="44">
        <f>VLOOKUP($B108&amp;$C108,'[1]FC3 Prod'!$A$6:$BP$36,[2]Consolidated!AP$1)</f>
        <v>0</v>
      </c>
      <c r="AQ108" s="44">
        <f>VLOOKUP($B108&amp;$C108,'[1]FC3 Prod'!$A$6:$BP$36,[2]Consolidated!AQ$1)</f>
        <v>0</v>
      </c>
      <c r="AR108" s="45">
        <f>VLOOKUP($B108&amp;$C108,'[1]FC3 Prod'!$A$6:$BP$36,[2]Consolidated!AR$1)</f>
        <v>0</v>
      </c>
      <c r="AS108" s="46">
        <f>VLOOKUP($B108&amp;$C108,'[1]FC3 Prod'!$A$6:$BP$36,[2]Consolidated!AS$1)</f>
        <v>0</v>
      </c>
      <c r="AT108" s="29">
        <f>VLOOKUP($B108&amp;$C108,'[1]FC3 Prod'!$A$6:$BP$36,[2]Consolidated!AT$1)</f>
        <v>0</v>
      </c>
      <c r="AU108" s="34">
        <f>VLOOKUP($B108&amp;$C108,'[1]FC3 Prod'!$A$6:$BP$36,[2]Consolidated!AU$1)</f>
        <v>0</v>
      </c>
      <c r="AV108" s="34">
        <f>VLOOKUP($B108&amp;$C108,'[1]FC3 Prod'!$A$6:$BP$36,[2]Consolidated!AV$1)</f>
        <v>0</v>
      </c>
      <c r="AW108" s="47">
        <f>VLOOKUP($B108&amp;$C108,'[1]FC3 Prod'!$A$6:$BP$36,[2]Consolidated!AW$1)</f>
        <v>0</v>
      </c>
      <c r="AX108" s="47">
        <f>VLOOKUP($B108&amp;$C108,'[1]FC3 Prod'!$A$6:$BP$36,[2]Consolidated!AX$1)</f>
        <v>0</v>
      </c>
      <c r="AY108" s="48">
        <f>VLOOKUP($B108&amp;$C108,'[1]FC3 Prod'!$A$6:$BP$36,[2]Consolidated!AY$1)</f>
        <v>0</v>
      </c>
      <c r="AZ108" s="47">
        <f>VLOOKUP($B108&amp;$C108,'[1]FC3 Prod'!$A$6:$BP$36,[2]Consolidated!AZ$1)</f>
        <v>0</v>
      </c>
      <c r="BA108" s="47">
        <f>VLOOKUP($B108&amp;$C108,'[1]FC3 Prod'!$A$6:$BP$36,[2]Consolidated!BA$1)</f>
        <v>0</v>
      </c>
      <c r="BB108" s="47">
        <f>VLOOKUP($B108&amp;$C108,'[1]FC3 Prod'!$A$6:$BP$36,[2]Consolidated!BB$1)</f>
        <v>0</v>
      </c>
      <c r="BC108" s="47">
        <f>VLOOKUP($B108&amp;$C108,'[1]FC3 Prod'!$A$6:$BP$36,[2]Consolidated!BC$1)</f>
        <v>0</v>
      </c>
      <c r="BD108" s="49">
        <f>VLOOKUP($B108&amp;$C108,'[1]FC3 Prod'!$A$6:$BP$36,[2]Consolidated!BD$1)</f>
        <v>0</v>
      </c>
      <c r="BE108" s="47">
        <f>VLOOKUP($B108&amp;$C108,'[1]FC3 Prod'!$A$6:$BP$36,[2]Consolidated!BE$1)</f>
        <v>0</v>
      </c>
      <c r="BF108" s="47">
        <f>VLOOKUP($B108&amp;$C108,'[1]FC3 Prod'!$A$6:$BP$36,[2]Consolidated!BF$1)</f>
        <v>0</v>
      </c>
      <c r="BG108" s="50">
        <f>VLOOKUP($B108&amp;$C108,'[1]FC3 Prod'!$A$6:$BP$36,[2]Consolidated!BG$1)</f>
        <v>0</v>
      </c>
      <c r="BH108" s="50">
        <f>VLOOKUP($B108&amp;$C108,'[1]FC3 Prod'!$A$6:$BP$36,[2]Consolidated!BH$1)</f>
        <v>0</v>
      </c>
      <c r="BI108" s="50">
        <f>VLOOKUP($B108&amp;$C108,'[1]FC3 Prod'!$A$6:$BP$36,[2]Consolidated!BI$1)</f>
        <v>0</v>
      </c>
      <c r="BJ108" s="37" t="e">
        <f>VLOOKUP($B108&amp;$C108,'[1]FC3 Prod'!$A$6:$BP$36,[2]Consolidated!BJ$1)</f>
        <v>#REF!</v>
      </c>
      <c r="BK108" s="37" t="e">
        <f>VLOOKUP($B108&amp;$C108,'[1]FC3 Prod'!$A$6:$BP$36,[2]Consolidated!BK$1)</f>
        <v>#REF!</v>
      </c>
      <c r="BL108" s="37" t="e">
        <f>VLOOKUP($B108&amp;$C108,'[1]FC3 Prod'!$A$6:$BP$36,[2]Consolidated!BL$1)</f>
        <v>#REF!</v>
      </c>
      <c r="BM108" s="37" t="e">
        <f>VLOOKUP($B108&amp;$C108,'[1]FC3 Prod'!$A$6:$BP$36,[2]Consolidated!BM$1)</f>
        <v>#REF!</v>
      </c>
      <c r="BN108" s="37" t="e">
        <f>VLOOKUP($B108&amp;$C108,'[1]FC3 Prod'!$A$6:$BP$36,[2]Consolidated!BN$1)</f>
        <v>#REF!</v>
      </c>
      <c r="BO108" s="37" t="e">
        <f>VLOOKUP($B108&amp;$C108,'[1]FC3 Prod'!$A$6:$BP$36,[2]Consolidated!BO$1)</f>
        <v>#REF!</v>
      </c>
      <c r="BP108" s="37" t="e">
        <f>VLOOKUP($B108&amp;$C108,'[1]FC3 Prod'!$A$6:$BP$36,[2]Consolidated!BP$1)</f>
        <v>#REF!</v>
      </c>
      <c r="BQ108" s="51" t="e">
        <f>VLOOKUP($B108&amp;$C108,'[1]FC3 Prod'!$A$6:$BP$36,[2]Consolidated!BQ$1)</f>
        <v>#REF!</v>
      </c>
      <c r="BR108" s="51">
        <f>VLOOKUP($B108&amp;$C108,'[1]FC3 Prod'!$A$6:$BQ$36,[2]Consolidated!BR$1)</f>
        <v>60369</v>
      </c>
      <c r="BS108" s="52">
        <f t="shared" si="130"/>
        <v>0</v>
      </c>
      <c r="BT108" s="32">
        <f t="shared" ref="BT108:BT109" si="132">BR108-BS108</f>
        <v>60369</v>
      </c>
      <c r="BU108" s="37">
        <f t="shared" ref="BU108:BU109" si="133">E108*BT108</f>
        <v>0</v>
      </c>
      <c r="BV108" s="53" t="s">
        <v>133</v>
      </c>
      <c r="BW108" s="54" cm="1">
        <f t="array" ref="BW108">IFERROR(VLOOKUP($A108,TRANSPOSE('[1]Fur 3 PLC'!$AS$1:$BX$38),8,0),0)</f>
        <v>0</v>
      </c>
      <c r="BX108" s="54" cm="1">
        <f t="array" ref="BX108">IFERROR(VLOOKUP($A108,TRANSPOSE('[1]Fur 3 PLC'!$AS$1:$BX$38),30,0),0)</f>
        <v>0</v>
      </c>
      <c r="BY108" s="54" cm="1">
        <f t="array" ref="BY108">IFERROR(VLOOKUP($A108,TRANSPOSE('[1]Fur 3 PLC'!$AS$1:$BX$38),14,0),0)</f>
        <v>0</v>
      </c>
      <c r="BZ108" s="54" cm="1">
        <f t="array" ref="BZ108">IFERROR(VLOOKUP($A108,TRANSPOSE('[1]Fur 3 PLC'!$AS$1:$BX$38),16,0),0)</f>
        <v>0</v>
      </c>
      <c r="CA108" s="54" cm="1">
        <f t="array" ref="CA108">IFERROR(VLOOKUP($A108,TRANSPOSE('[1]Fur 3 PLC'!$AS$1:$BX$38),9,0),0)</f>
        <v>0</v>
      </c>
      <c r="CB108" s="54" cm="1">
        <f t="array" ref="CB108">IFERROR(VLOOKUP($A108,TRANSPOSE('[1]Fur 3 PLC'!$AS$1:$BX$38),17,0),0)</f>
        <v>0</v>
      </c>
      <c r="CC108" s="54" cm="1">
        <f t="array" ref="CC108">IFERROR(VLOOKUP($A108,TRANSPOSE('[1]Fur 3 PLC'!$AS$1:$BX$38),20,0),0)</f>
        <v>0</v>
      </c>
      <c r="CD108" s="54" cm="1">
        <f t="array" ref="CD108">IFERROR(VLOOKUP($A108,TRANSPOSE('[1]Fur 3 PLC'!$AS$1:$BX$38),28,0),0)</f>
        <v>0</v>
      </c>
      <c r="CE108" s="54" cm="1">
        <f t="array" ref="CE108">IFERROR(VLOOKUP($A108,TRANSPOSE('[1]Fur 3 PLC'!$AS$1:$BX$38),13,0),0)</f>
        <v>0</v>
      </c>
      <c r="CF108" s="54" cm="1">
        <f t="array" ref="CF108">IFERROR(VLOOKUP($A108,TRANSPOSE('[1]Fur 3 PLC'!$AS$1:$BX$38),37,0),0)</f>
        <v>0</v>
      </c>
      <c r="CG108" s="54" cm="1">
        <f t="array" ref="CG108">IFERROR(VLOOKUP($A108,TRANSPOSE('[1]Fur 3 PLC'!$AS$1:$BX$38),6,0),0)</f>
        <v>0</v>
      </c>
      <c r="CH108" s="54" cm="1">
        <f t="array" ref="CH108">IFERROR(VLOOKUP($A108,TRANSPOSE('[1]Fur 3 PLC'!$AS$1:$BX$38),21,0),0)</f>
        <v>0</v>
      </c>
      <c r="CI108" s="54" cm="1">
        <f t="array" ref="CI108">IFERROR(VLOOKUP($A108,TRANSPOSE('[1]Fur 3 PLC'!$AS$1:$BX$38),12,0),0)</f>
        <v>0</v>
      </c>
      <c r="CJ108" s="54" cm="1">
        <f t="array" ref="CJ108">IFERROR(VLOOKUP($A108,TRANSPOSE('[1]Fur 3 PLC'!$AS$1:$BX$38),25,0),0)</f>
        <v>0</v>
      </c>
      <c r="CK108" s="54" cm="1">
        <f t="array" ref="CK108">IFERROR(VLOOKUP($A108,TRANSPOSE('[1]Fur 3 PLC'!$AS$1:$BX$38),26,0),0)</f>
        <v>0</v>
      </c>
      <c r="CL108" s="54" cm="1">
        <f t="array" ref="CL108">IFERROR(VLOOKUP($A108,TRANSPOSE('[1]Fur 3 PLC'!$AS$1:$BX$38),27,0),0)</f>
        <v>0</v>
      </c>
      <c r="CM108" s="54" cm="1">
        <f t="array" ref="CM108">IFERROR(VLOOKUP($A108,TRANSPOSE('[1]Fur 3 PLC'!$AS$1:$BX$38),22,0),0)</f>
        <v>0</v>
      </c>
      <c r="CN108" s="54"/>
      <c r="CO108" s="54" cm="1">
        <f t="array" ref="CO108">IFERROR(VLOOKUP($A108,TRANSPOSE('[1]Fur 3 PLC'!$AS$1:$BX$38),29,0),0)</f>
        <v>0</v>
      </c>
      <c r="CP108" s="54" cm="1">
        <f t="array" ref="CP108">IFERROR(VLOOKUP($A108,TRANSPOSE('[1]Fur 3 PLC'!$AS$1:$BX$38),10,0),0)</f>
        <v>0</v>
      </c>
      <c r="CQ108" s="54" cm="1">
        <f t="array" ref="CQ108">IFERROR(VLOOKUP($A108,TRANSPOSE('[1]Fur 3 PLC'!$AS$1:$BX$38),7,0),0)</f>
        <v>0</v>
      </c>
      <c r="CR108" s="54" cm="1">
        <f t="array" ref="CR108">IFERROR(VLOOKUP($A108,TRANSPOSE('[1]Fur 3 PLC'!$AS$1:$BX$38),35,0),0)</f>
        <v>0</v>
      </c>
      <c r="CS108" s="54" cm="1">
        <f t="array" ref="CS108">IFERROR(VLOOKUP($A108,TRANSPOSE('[1]Fur 3 PLC'!$AS$1:$BX$38),11,0),0)</f>
        <v>0</v>
      </c>
      <c r="CT108" s="54" cm="1">
        <f t="array" ref="CT108">IFERROR(VLOOKUP($A108,TRANSPOSE('[1]Fur 3 PLC'!$AS$1:$BX$38),19,0),0)</f>
        <v>0</v>
      </c>
      <c r="CU108" s="54" cm="1">
        <f t="array" ref="CU108">IFERROR(VLOOKUP($A108,TRANSPOSE('[1]Fur 3 PLC'!$AS$1:$BX$38),18,0),0)</f>
        <v>0</v>
      </c>
      <c r="CV108" s="54" cm="1">
        <f t="array" ref="CV108">IFERROR(VLOOKUP($A108,TRANSPOSE('[1]Fur 3 PLC'!$AR$1:$BV$38),15,0),0)</f>
        <v>0</v>
      </c>
      <c r="CW108" s="54" cm="1">
        <f t="array" ref="CW108">IFERROR(VLOOKUP($A108,TRANSPOSE('[1]Fur 3 PLC'!$CK$1:$DO$38),8,0),0)</f>
        <v>0</v>
      </c>
      <c r="CX108" s="54" cm="1">
        <f t="array" ref="CX108">IFERROR(VLOOKUP($A108,TRANSPOSE('[1]Fur 3 PLC'!$CK$1:$DO$38),30,0),0)</f>
        <v>0</v>
      </c>
      <c r="CY108" s="54" cm="1">
        <f t="array" ref="CY108">IFERROR(VLOOKUP($A108,TRANSPOSE('[1]Fur 3 PLC'!$CK$1:$DO$38),14,0),0)</f>
        <v>0</v>
      </c>
      <c r="CZ108" s="54" cm="1">
        <f t="array" ref="CZ108">IFERROR(VLOOKUP($A108,TRANSPOSE('[1]Fur 3 PLC'!$CK$1:$DO$38),16,0),0)</f>
        <v>0</v>
      </c>
      <c r="DA108" s="54" cm="1">
        <f t="array" ref="DA108">IFERROR(VLOOKUP($A108,TRANSPOSE('[1]Fur 3 PLC'!$CK$1:$DO$38),9,0),0)</f>
        <v>0</v>
      </c>
      <c r="DB108" s="55" cm="1">
        <f t="array" ref="DB108">IFERROR(VLOOKUP($A108,TRANSPOSE('[1]Fur 3 PLC'!$CK$1:$DO$38),17,0),0)</f>
        <v>0</v>
      </c>
      <c r="DC108" s="55" cm="1">
        <f t="array" ref="DC108">IFERROR(VLOOKUP($A108,TRANSPOSE('[1]Fur 3 PLC'!$CK$1:$DO$38),20,0),0)</f>
        <v>0</v>
      </c>
      <c r="DD108" s="54" cm="1">
        <f t="array" ref="DD108">IFERROR(VLOOKUP($A108,TRANSPOSE('[1]Fur 3 PLC'!$CK$1:$DO$38),28,0),0)</f>
        <v>0</v>
      </c>
      <c r="DE108" s="54" cm="1">
        <f t="array" ref="DE108">IFERROR(VLOOKUP($A108,TRANSPOSE('[1]Fur 3 PLC'!$CK$1:$DO$38),13,0),0)</f>
        <v>0</v>
      </c>
      <c r="DF108" s="54" cm="1">
        <f t="array" ref="DF108">IFERROR(VLOOKUP($A108,TRANSPOSE('[1]Fur 3 PLC'!$CK$1:$DO$38),37,0),0)</f>
        <v>0</v>
      </c>
      <c r="DG108" s="54" cm="1">
        <f t="array" ref="DG108">IFERROR(VLOOKUP($A108,TRANSPOSE('[1]Fur 3 PLC'!$CK$1:$DO$38),6,0),0)</f>
        <v>0</v>
      </c>
      <c r="DH108" s="54" cm="1">
        <f t="array" ref="DH108">IFERROR(VLOOKUP($A108,TRANSPOSE('[1]Fur 3 PLC'!$CK$1:$DO$38),21,0),0)</f>
        <v>0</v>
      </c>
      <c r="DI108" s="54" cm="1">
        <f t="array" ref="DI108">IFERROR(VLOOKUP($A108,TRANSPOSE('[1]Fur 3 PLC'!$CK$1:$DO$38),12,0),0)</f>
        <v>0</v>
      </c>
      <c r="DJ108" s="54" cm="1">
        <f t="array" ref="DJ108">IFERROR(VLOOKUP($A108,TRANSPOSE('[1]Fur 3 PLC'!$CK$1:$DO$38),25,0),0)</f>
        <v>0</v>
      </c>
      <c r="DK108" s="54" cm="1">
        <f t="array" ref="DK108">IFERROR(VLOOKUP($A108,TRANSPOSE('[1]Fur 3 PLC'!$CK$1:$DO$38),26,0),0)</f>
        <v>0</v>
      </c>
      <c r="DL108" s="54" cm="1">
        <f t="array" ref="DL108">IFERROR(VLOOKUP($A108,TRANSPOSE('[1]Fur 3 PLC'!$CK$1:$DO$38),27,0),0)</f>
        <v>0</v>
      </c>
      <c r="DM108" s="54" cm="1">
        <f t="array" ref="DM108">IFERROR(VLOOKUP($A108,TRANSPOSE('[1]Fur 3 PLC'!$CK$1:$DO$38),22,0),0)</f>
        <v>0</v>
      </c>
      <c r="DN108" s="54" cm="1">
        <f t="array" ref="DN108">IFERROR(VLOOKUP($A108,TRANSPOSE('[1]Fur 3 PLC'!$CK$1:$DO$38),19,0),0)</f>
        <v>0</v>
      </c>
      <c r="DO108" s="54" cm="1">
        <f t="array" ref="DO108">IFERROR(VLOOKUP($A108,TRANSPOSE('[1]Fur 3 PLC'!$CK$1:$DO$38),29,0),0)</f>
        <v>0</v>
      </c>
      <c r="DP108" s="54" cm="1">
        <f t="array" ref="DP108">IFERROR(VLOOKUP($A108,TRANSPOSE('[1]Fur 3 PLC'!$CK$1:$DO$38),10,0),0)</f>
        <v>0</v>
      </c>
      <c r="DQ108" s="54" cm="1">
        <f t="array" ref="DQ108">IFERROR(VLOOKUP($A108,TRANSPOSE('[1]Fur 3 PLC'!$CK$1:$DO$38),7,0),0)</f>
        <v>0</v>
      </c>
      <c r="DR108" s="54" cm="1">
        <f t="array" ref="DR108">IFERROR(VLOOKUP($A108,TRANSPOSE('[1]Fur 3 PLC'!$CK$1:$DO$38),35,0),0)</f>
        <v>0</v>
      </c>
      <c r="DS108" s="54" cm="1">
        <f t="array" ref="DS108">IFERROR(VLOOKUP($A108,TRANSPOSE('[1]Fur 3 PLC'!$CK$1:$DO$38),11,0),0)</f>
        <v>0</v>
      </c>
      <c r="DT108" s="54" cm="1">
        <f t="array" ref="DT108">IFERROR(VLOOKUP($A108,TRANSPOSE('[1]Fur 3 PLC'!$CK$1:$DO$38),19,0),0)</f>
        <v>0</v>
      </c>
      <c r="DU108" s="54" cm="1">
        <f t="array" ref="DU108">IFERROR(VLOOKUP($A108,TRANSPOSE('[1]Fur 3 PLC'!$CK$1:$DO$38),18,0),0)</f>
        <v>0</v>
      </c>
      <c r="DV108" s="54" cm="1">
        <f t="array" ref="DV108">IFERROR(VLOOKUP($A108,TRANSPOSE('[1]Fur 3 PLC'!$CK$1:$DO$38),15,0),0)</f>
        <v>0</v>
      </c>
      <c r="DW108" t="str">
        <f t="shared" si="131"/>
        <v>Dec-25</v>
      </c>
    </row>
    <row r="109" spans="1:127" x14ac:dyDescent="0.3">
      <c r="A109" s="28" t="str">
        <f t="shared" si="59"/>
        <v>F446018</v>
      </c>
      <c r="B109" s="29" t="s">
        <v>29</v>
      </c>
      <c r="C109" s="30">
        <f>C108</f>
        <v>46018</v>
      </c>
      <c r="D109" s="29" t="str">
        <f>VLOOKUP($B109&amp;$C109,'[1]FC4 Prod'!$A$6:$BP$36,[2]Consolidated!D$1)</f>
        <v>Mr.Ganesh Ghosh Ji</v>
      </c>
      <c r="E109" s="29">
        <f>VLOOKUP($B109&amp;$C109,'[1]FC4 Prod'!$A$6:$BP$36,[2]Consolidated!E$1)</f>
        <v>0</v>
      </c>
      <c r="F109" s="31">
        <f>VLOOKUP($B109&amp;$C109,'[1]FC4 Prod'!$A$6:$BP$36,[2]Consolidated!F$1)</f>
        <v>0</v>
      </c>
      <c r="G109" s="32" t="e">
        <f>VLOOKUP($B109&amp;$C109,'[1]FC4 Prod'!$A$6:$BP$36,[2]Consolidated!G$1)</f>
        <v>#REF!</v>
      </c>
      <c r="H109" s="32">
        <f>VLOOKUP($B109&amp;$C109,'[1]FC4 Prod'!$A$6:$BP$36,[2]Consolidated!H$1)</f>
        <v>0</v>
      </c>
      <c r="I109" s="32">
        <f>VLOOKUP($B109&amp;$C109,'[1]FC4 Prod'!$A$6:$BP$36,[2]Consolidated!I$1)</f>
        <v>0</v>
      </c>
      <c r="J109" s="32">
        <f>VLOOKUP($B109&amp;$C109,'[1]FC4 Prod'!$A$6:$BP$36,[2]Consolidated!J$1)</f>
        <v>0</v>
      </c>
      <c r="K109" s="32">
        <f>VLOOKUP($B109&amp;$C109,'[1]FC4 Prod'!$A$6:$BP$36,[2]Consolidated!K$1)</f>
        <v>0</v>
      </c>
      <c r="L109" s="32">
        <f>VLOOKUP($B109&amp;$C109,'[1]FC4 Prod'!$A$6:$BP$36,[2]Consolidated!L$1)</f>
        <v>0</v>
      </c>
      <c r="M109" s="32">
        <f>VLOOKUP($B109&amp;$C109,'[1]FC4 Prod'!$A$6:$BP$36,[2]Consolidated!M$1)</f>
        <v>0</v>
      </c>
      <c r="N109" s="32">
        <f>VLOOKUP($B109&amp;$C109,'[1]FC4 Prod'!$A$6:$BP$36,[2]Consolidated!N$1)</f>
        <v>0</v>
      </c>
      <c r="O109" s="32">
        <f>VLOOKUP($B109&amp;$C109,'[1]FC4 Prod'!$A$6:$BP$36,[2]Consolidated!O$1)</f>
        <v>0</v>
      </c>
      <c r="P109" s="33">
        <f>VLOOKUP($B109&amp;$C109,'[1]FC4 Prod'!$A$6:$BP$36,[2]Consolidated!P$1)</f>
        <v>9</v>
      </c>
      <c r="Q109" s="29">
        <f>VLOOKUP($B109&amp;$C109,'[1]FC4 Prod'!$A$6:$BP$36,[2]Consolidated!Q$1)</f>
        <v>0</v>
      </c>
      <c r="R109" s="29">
        <f>VLOOKUP($B109&amp;$C109,'[1]FC4 Prod'!$A$6:$BP$36,[2]Consolidated!R$1)</f>
        <v>0</v>
      </c>
      <c r="S109" s="34" t="e">
        <f>VLOOKUP($B109&amp;$C109,'[1]FC4 Prod'!$A$6:$BP$36,[2]Consolidated!S$1)</f>
        <v>#REF!</v>
      </c>
      <c r="T109" s="34" t="e">
        <f>VLOOKUP($B109&amp;$C109,'[1]FC4 Prod'!$A$6:$BP$36,[2]Consolidated!T$1)</f>
        <v>#REF!</v>
      </c>
      <c r="U109" s="34" t="e">
        <f>VLOOKUP($B109&amp;$C109,'[1]FC4 Prod'!$A$6:$BP$36,[2]Consolidated!U$1)</f>
        <v>#REF!</v>
      </c>
      <c r="V109" s="34">
        <f>VLOOKUP($B109&amp;$C109,'[1]FC4 Prod'!$A$6:$BP$36,[2]Consolidated!V$1)</f>
        <v>0</v>
      </c>
      <c r="W109" s="35">
        <f>VLOOKUP($B109&amp;$C109,'[1]FC4 Prod'!$A$6:$BP$36,[2]Consolidated!W$1)</f>
        <v>0</v>
      </c>
      <c r="X109" s="35">
        <f>VLOOKUP($B109&amp;$C109,'[1]FC4 Prod'!$A$6:$BP$36,[2]Consolidated!X$1)</f>
        <v>0</v>
      </c>
      <c r="Y109" s="36">
        <f>VLOOKUP($B109&amp;$C109,'[1]FC4 Prod'!$A$6:$BP$36,[2]Consolidated!Y$1)</f>
        <v>0</v>
      </c>
      <c r="Z109" s="37" t="e">
        <f>VLOOKUP($B109&amp;$C109,'[1]FC4 Prod'!$A$6:$BP$36,[2]Consolidated!Z$1)</f>
        <v>#REF!</v>
      </c>
      <c r="AA109" s="31">
        <f>VLOOKUP($B109&amp;$C109,'[1]FC4 Prod'!$A$6:$BP$36,[2]Consolidated!AA$1)</f>
        <v>0</v>
      </c>
      <c r="AB109" s="31">
        <f>VLOOKUP($B109&amp;$C109,'[1]FC4 Prod'!$A$6:$BP$36,[2]Consolidated!AB$1)</f>
        <v>0</v>
      </c>
      <c r="AC109" s="31">
        <f>VLOOKUP($B109&amp;$C109,'[1]FC4 Prod'!$A$6:$BP$36,[2]Consolidated!AC$1)</f>
        <v>0</v>
      </c>
      <c r="AD109" s="38">
        <f>VLOOKUP($B109&amp;$C109,'[1]FC4 Prod'!$A$6:$BP$36,[2]Consolidated!AD$1)</f>
        <v>0</v>
      </c>
      <c r="AE109" s="38">
        <f>VLOOKUP($B109&amp;$C109,'[1]FC4 Prod'!$A$6:$BP$36,[2]Consolidated!AE$1)</f>
        <v>0</v>
      </c>
      <c r="AF109" s="39">
        <f>VLOOKUP($B109&amp;$C109,'[1]FC4 Prod'!$A$6:$BP$36,[2]Consolidated!AF$1)</f>
        <v>0</v>
      </c>
      <c r="AG109" s="39">
        <f>VLOOKUP($B109&amp;$C109,'[1]FC4 Prod'!$A$6:$BP$36,[2]Consolidated!AG$1)</f>
        <v>0</v>
      </c>
      <c r="AH109" s="34">
        <f>VLOOKUP($B109&amp;$C109,'[1]FC4 Prod'!$A$6:$BP$36,[2]Consolidated!AH$1)</f>
        <v>0</v>
      </c>
      <c r="AI109" s="33">
        <f>VLOOKUP($B109&amp;$C109,'[1]FC4 Prod'!$A$6:$BP$36,[2]Consolidated!AI$1)</f>
        <v>0</v>
      </c>
      <c r="AJ109" s="39">
        <f>VLOOKUP($B109&amp;$C109,'[1]FC4 Prod'!$A$6:$BP$36,[2]Consolidated!AJ$1)</f>
        <v>0</v>
      </c>
      <c r="AK109" s="39">
        <f>VLOOKUP($B109&amp;$C109,'[1]FC4 Prod'!$A$6:$BP$36,[2]Consolidated!AK$1)</f>
        <v>0</v>
      </c>
      <c r="AL109" s="40" t="e">
        <f>VLOOKUP($B109&amp;$C109,'[1]FC4 Prod'!$A$6:$BP$36,[2]Consolidated!AL$1)</f>
        <v>#REF!</v>
      </c>
      <c r="AM109" s="41">
        <f>VLOOKUP($B109&amp;$C109,'[1]FC4 Prod'!$A$6:$BP$36,[2]Consolidated!AM$1)</f>
        <v>0</v>
      </c>
      <c r="AN109" s="42" t="e">
        <f>VLOOKUP($B109&amp;$C109,'[1]FC4 Prod'!$A$6:$BP$36,[2]Consolidated!AN$1)</f>
        <v>#REF!</v>
      </c>
      <c r="AO109" s="43" t="e">
        <f>VLOOKUP($B109&amp;$C109,'[1]FC4 Prod'!$A$6:$BP$36,[2]Consolidated!AO$1)</f>
        <v>#REF!</v>
      </c>
      <c r="AP109" s="44">
        <f>VLOOKUP($B109&amp;$C109,'[1]FC4 Prod'!$A$6:$BP$36,[2]Consolidated!AP$1)</f>
        <v>0</v>
      </c>
      <c r="AQ109" s="44">
        <f>VLOOKUP($B109&amp;$C109,'[1]FC4 Prod'!$A$6:$BP$36,[2]Consolidated!AQ$1)</f>
        <v>0</v>
      </c>
      <c r="AR109" s="45">
        <f>VLOOKUP($B109&amp;$C109,'[1]FC4 Prod'!$A$6:$BP$36,[2]Consolidated!AR$1)</f>
        <v>0</v>
      </c>
      <c r="AS109" s="46">
        <f>VLOOKUP($B109&amp;$C109,'[1]FC4 Prod'!$A$6:$BP$36,[2]Consolidated!AS$1)</f>
        <v>0</v>
      </c>
      <c r="AT109" s="29">
        <f>VLOOKUP($B109&amp;$C109,'[1]FC4 Prod'!$A$6:$BP$36,[2]Consolidated!AT$1)</f>
        <v>0</v>
      </c>
      <c r="AU109" s="34">
        <f>VLOOKUP($B109&amp;$C109,'[1]FC4 Prod'!$A$6:$BP$36,[2]Consolidated!AU$1)</f>
        <v>0</v>
      </c>
      <c r="AV109" s="34">
        <f>VLOOKUP($B109&amp;$C109,'[1]FC4 Prod'!$A$6:$BP$36,[2]Consolidated!AV$1)</f>
        <v>0</v>
      </c>
      <c r="AW109" s="47">
        <f>VLOOKUP($B109&amp;$C109,'[1]FC4 Prod'!$A$6:$BP$36,[2]Consolidated!AW$1)</f>
        <v>0</v>
      </c>
      <c r="AX109" s="47">
        <f>VLOOKUP($B109&amp;$C109,'[1]FC4 Prod'!$A$6:$BP$36,[2]Consolidated!AX$1)</f>
        <v>0</v>
      </c>
      <c r="AY109" s="48">
        <f>VLOOKUP($B109&amp;$C109,'[1]FC4 Prod'!$A$6:$BP$36,[2]Consolidated!AY$1)</f>
        <v>0</v>
      </c>
      <c r="AZ109" s="47">
        <f>VLOOKUP($B109&amp;$C109,'[1]FC4 Prod'!$A$6:$BP$36,[2]Consolidated!AZ$1)</f>
        <v>0</v>
      </c>
      <c r="BA109" s="47">
        <f>VLOOKUP($B109&amp;$C109,'[1]FC4 Prod'!$A$6:$BP$36,[2]Consolidated!BA$1)</f>
        <v>0</v>
      </c>
      <c r="BB109" s="47">
        <f>VLOOKUP($B109&amp;$C109,'[1]FC4 Prod'!$A$6:$BP$36,[2]Consolidated!BB$1)</f>
        <v>0</v>
      </c>
      <c r="BC109" s="47">
        <f>VLOOKUP($B109&amp;$C109,'[1]FC4 Prod'!$A$6:$BP$36,[2]Consolidated!BC$1)</f>
        <v>0</v>
      </c>
      <c r="BD109" s="49">
        <f>VLOOKUP($B109&amp;$C109,'[1]FC4 Prod'!$A$6:$BP$36,[2]Consolidated!BD$1)</f>
        <v>0</v>
      </c>
      <c r="BE109" s="47">
        <f>VLOOKUP($B109&amp;$C109,'[1]FC4 Prod'!$A$6:$BP$36,[2]Consolidated!BE$1)</f>
        <v>0</v>
      </c>
      <c r="BF109" s="47">
        <f>VLOOKUP($B109&amp;$C109,'[1]FC4 Prod'!$A$6:$BP$36,[2]Consolidated!BF$1)</f>
        <v>0</v>
      </c>
      <c r="BG109" s="50">
        <f>VLOOKUP($B109&amp;$C109,'[1]FC4 Prod'!$A$6:$BP$36,[2]Consolidated!BG$1)</f>
        <v>0</v>
      </c>
      <c r="BH109" s="50">
        <f>VLOOKUP($B109&amp;$C109,'[1]FC4 Prod'!$A$6:$BP$36,[2]Consolidated!BH$1)</f>
        <v>0</v>
      </c>
      <c r="BI109" s="50">
        <f>VLOOKUP($B109&amp;$C109,'[1]FC4 Prod'!$A$6:$BP$36,[2]Consolidated!BI$1)</f>
        <v>0</v>
      </c>
      <c r="BJ109" s="37" t="e">
        <f>VLOOKUP($B109&amp;$C109,'[1]FC4 Prod'!$A$6:$BP$36,[2]Consolidated!BJ$1)</f>
        <v>#REF!</v>
      </c>
      <c r="BK109" s="37" t="e">
        <f>VLOOKUP($B109&amp;$C109,'[1]FC4 Prod'!$A$6:$BP$36,[2]Consolidated!BK$1)</f>
        <v>#REF!</v>
      </c>
      <c r="BL109" s="37" t="e">
        <f>VLOOKUP($B109&amp;$C109,'[1]FC4 Prod'!$A$6:$BP$36,[2]Consolidated!BL$1)</f>
        <v>#REF!</v>
      </c>
      <c r="BM109" s="37" t="e">
        <f>VLOOKUP($B109&amp;$C109,'[1]FC4 Prod'!$A$6:$BP$36,[2]Consolidated!BM$1)</f>
        <v>#REF!</v>
      </c>
      <c r="BN109" s="37" t="e">
        <f>VLOOKUP($B109&amp;$C109,'[1]FC4 Prod'!$A$6:$BP$36,[2]Consolidated!BN$1)</f>
        <v>#REF!</v>
      </c>
      <c r="BO109" s="37" t="e">
        <f>VLOOKUP($B109&amp;$C109,'[1]FC4 Prod'!$A$6:$BP$36,[2]Consolidated!BO$1)</f>
        <v>#REF!</v>
      </c>
      <c r="BP109" s="37" t="e">
        <f>VLOOKUP($B109&amp;$C109,'[1]FC4 Prod'!$A$6:$BP$36,[2]Consolidated!BP$1)</f>
        <v>#REF!</v>
      </c>
      <c r="BQ109" s="51" t="e">
        <f>VLOOKUP($B109&amp;$C109,'[1]FC4 Prod'!$A$6:$BP$36,[2]Consolidated!BQ$1)</f>
        <v>#REF!</v>
      </c>
      <c r="BR109" s="51">
        <f>VLOOKUP($B109&amp;$C109,'[1]FC4 Prod'!$A$6:$BQ$36,[2]Consolidated!BR$1)</f>
        <v>41644</v>
      </c>
      <c r="BS109" s="52">
        <f t="shared" ref="BS109" si="134">BE109+BF109*110%+BG109+BA109</f>
        <v>0</v>
      </c>
      <c r="BT109" s="32">
        <f t="shared" si="132"/>
        <v>41644</v>
      </c>
      <c r="BU109" s="37">
        <f t="shared" si="133"/>
        <v>0</v>
      </c>
      <c r="BV109" s="53" t="s">
        <v>133</v>
      </c>
      <c r="BW109" s="54" cm="1">
        <f t="array" ref="BW109">IFERROR(VLOOKUP($A109,TRANSPOSE('[1]Fur 4 PLC'!$AR$1:$BV$39),8,0),0)</f>
        <v>0</v>
      </c>
      <c r="BX109" s="54" cm="1">
        <f t="array" ref="BX109">IFERROR(VLOOKUP($A109,TRANSPOSE('[1]Fur 4 PLC'!$AR$1:$BV$39),30,0),0)</f>
        <v>0</v>
      </c>
      <c r="BY109" s="54" cm="1">
        <f t="array" ref="BY109">IFERROR(VLOOKUP($A109,TRANSPOSE('[1]Fur 4 PLC'!$AR$1:$BV$39),14,0),0)</f>
        <v>0</v>
      </c>
      <c r="BZ109" s="54" cm="1">
        <f t="array" ref="BZ109">IFERROR(VLOOKUP($A109,TRANSPOSE('[1]Fur 4 PLC'!$AR$1:$BV$39),16,0),0)</f>
        <v>0</v>
      </c>
      <c r="CA109" s="54" cm="1">
        <f t="array" ref="CA109">IFERROR(VLOOKUP($A109,TRANSPOSE('[1]Fur 4 PLC'!$AR$1:$BV$39),9,0),0)</f>
        <v>0</v>
      </c>
      <c r="CB109" s="54" cm="1">
        <f t="array" ref="CB109">IFERROR(VLOOKUP($A109,TRANSPOSE('[1]Fur 4 PLC'!$AR$1:$BV$39),17,0),0)</f>
        <v>0</v>
      </c>
      <c r="CC109" s="54" cm="1">
        <f t="array" ref="CC109">IFERROR(VLOOKUP($A109,TRANSPOSE('[1]Fur 4 PLC'!$AR$1:$BV$39),20,0),0)</f>
        <v>0</v>
      </c>
      <c r="CD109" s="54" cm="1">
        <f t="array" ref="CD109">IFERROR(VLOOKUP($A109,TRANSPOSE('[1]Fur 4 PLC'!$AR$1:$BV$39),28,0),0)</f>
        <v>0</v>
      </c>
      <c r="CE109" s="54" cm="1">
        <f t="array" ref="CE109">IFERROR(VLOOKUP($A109,TRANSPOSE('[1]Fur 4 PLC'!$AR$1:$BV$39),13,0),0)</f>
        <v>0</v>
      </c>
      <c r="CF109" s="54" cm="1">
        <f t="array" ref="CF109">IFERROR(VLOOKUP($A109,TRANSPOSE('[1]Fur 4 PLC'!$AR$1:$BV$39),37,0),0)</f>
        <v>0</v>
      </c>
      <c r="CG109" s="54" cm="1">
        <f t="array" ref="CG109">IFERROR(VLOOKUP($A109,TRANSPOSE('[1]Fur 4 PLC'!$AR$1:$BV$39),6,0),0)</f>
        <v>0</v>
      </c>
      <c r="CH109" s="54" cm="1">
        <f t="array" ref="CH109">IFERROR(VLOOKUP($A109,TRANSPOSE('[1]Fur 4 PLC'!$AR$1:$BV$39),21,0),0)</f>
        <v>0</v>
      </c>
      <c r="CI109" s="54" cm="1">
        <f t="array" ref="CI109">IFERROR(VLOOKUP($A109,TRANSPOSE('[1]Fur 4 PLC'!$AR$1:$BV$39),12,0),0)</f>
        <v>0</v>
      </c>
      <c r="CJ109" s="54" cm="1">
        <f t="array" ref="CJ109">IFERROR(VLOOKUP($A109,TRANSPOSE('[1]Fur 4 PLC'!$AR$1:$BV$39),25,0),0)</f>
        <v>0</v>
      </c>
      <c r="CK109" s="54" cm="1">
        <f t="array" ref="CK109">IFERROR(VLOOKUP($A109,TRANSPOSE('[1]Fur 4 PLC'!$AR$1:$BV$39),26,0),0)</f>
        <v>0</v>
      </c>
      <c r="CL109" s="54" cm="1">
        <f t="array" ref="CL109">IFERROR(VLOOKUP($A109,TRANSPOSE('[1]Fur 4 PLC'!$AR$1:$BV$39),27,0),0)</f>
        <v>0</v>
      </c>
      <c r="CM109" s="54" cm="1">
        <f t="array" ref="CM109">IFERROR(VLOOKUP($A109,TRANSPOSE('[1]Fur 4 PLC'!$AR$1:$BV$39),22,0),0)</f>
        <v>0</v>
      </c>
      <c r="CN109" s="54"/>
      <c r="CO109" s="54" cm="1">
        <f t="array" ref="CO109">IFERROR(VLOOKUP($A109,TRANSPOSE('[1]Fur 4 PLC'!$AR$1:$BV$39),29,0),0)</f>
        <v>0</v>
      </c>
      <c r="CP109" s="54" cm="1">
        <f t="array" ref="CP109">IFERROR(VLOOKUP($A109,TRANSPOSE('[1]Fur 4 PLC'!$AR$1:$BV$39),10,0),0)</f>
        <v>0</v>
      </c>
      <c r="CQ109" s="54" cm="1">
        <f t="array" ref="CQ109">IFERROR(VLOOKUP($A109,TRANSPOSE('[1]Fur 4 PLC'!$AR$1:$BV$39),7,0),0)</f>
        <v>0</v>
      </c>
      <c r="CR109" s="54" cm="1">
        <f t="array" ref="CR109">IFERROR(VLOOKUP($A109,TRANSPOSE('[1]Fur 4 PLC'!$AR$1:$BV$39),36,0),0)</f>
        <v>0</v>
      </c>
      <c r="CS109" s="54" cm="1">
        <f t="array" ref="CS109">IFERROR(VLOOKUP($A109,TRANSPOSE('[1]Fur 4 PLC'!$AR$1:$BV$39),11,0),0)</f>
        <v>0</v>
      </c>
      <c r="CT109" s="54" cm="1">
        <f t="array" ref="CT109">IFERROR(VLOOKUP($A109,TRANSPOSE('[1]Fur 4 PLC'!$AR$1:$BV$39),19,0),0)</f>
        <v>0</v>
      </c>
      <c r="CU109" s="54" cm="1">
        <f t="array" ref="CU109">IFERROR(VLOOKUP($A109,TRANSPOSE('[1]Fur 4 PLC'!$AR$1:$BV$39),18,0),0)</f>
        <v>0</v>
      </c>
      <c r="CV109" s="54" cm="1">
        <f t="array" ref="CV109">IFERROR(VLOOKUP($A109,TRANSPOSE('[1]Fur 4 PLC'!$AR$1:$BV$38),15,0),0)</f>
        <v>0</v>
      </c>
      <c r="CW109" s="54" cm="1">
        <f t="array" ref="CW109">IFERROR(VLOOKUP($A109,TRANSPOSE('[1]Fur 4 PLC'!$CK$1:$DO$39),8,0),0)</f>
        <v>0</v>
      </c>
      <c r="CX109" s="54" cm="1">
        <f t="array" ref="CX109">IFERROR(VLOOKUP($A109,TRANSPOSE('[1]Fur 4 PLC'!$CK$1:$DO$39),30,0),0)</f>
        <v>0</v>
      </c>
      <c r="CY109" s="54" cm="1">
        <f t="array" ref="CY109">IFERROR(VLOOKUP($A109,TRANSPOSE('[1]Fur 4 PLC'!$CK$1:$DO$39),14,0),0)</f>
        <v>0</v>
      </c>
      <c r="CZ109" s="54" cm="1">
        <f t="array" ref="CZ109">IFERROR(VLOOKUP($A109,TRANSPOSE('[1]Fur 4 PLC'!$CK$1:$DO$39),16,0),0)</f>
        <v>0</v>
      </c>
      <c r="DA109" s="54" cm="1">
        <f t="array" ref="DA109">IFERROR(VLOOKUP($A109,TRANSPOSE('[1]Fur 4 PLC'!$CK$1:$DO$39),9,0),0)</f>
        <v>0</v>
      </c>
      <c r="DB109" s="55" cm="1">
        <f t="array" ref="DB109">IFERROR(VLOOKUP($A109,TRANSPOSE('[1]Fur 4 PLC'!$CK$1:$DO$39),17,0),0)</f>
        <v>0</v>
      </c>
      <c r="DC109" s="55" cm="1">
        <f t="array" ref="DC109">IFERROR(VLOOKUP($A109,TRANSPOSE('[1]Fur 4 PLC'!$CK$1:$DO$39),20,0),0)</f>
        <v>0</v>
      </c>
      <c r="DD109" s="54" cm="1">
        <f t="array" ref="DD109">IFERROR(VLOOKUP($A109,TRANSPOSE('[1]Fur 4 PLC'!$CK$1:$DO$39),28,0),0)</f>
        <v>0</v>
      </c>
      <c r="DE109" s="54" cm="1">
        <f t="array" ref="DE109">IFERROR(VLOOKUP($A109,TRANSPOSE('[1]Fur 4 PLC'!$CK$1:$DO$39),13,0),0)</f>
        <v>0</v>
      </c>
      <c r="DF109" s="54" cm="1">
        <f t="array" ref="DF109">IFERROR(VLOOKUP($A109,TRANSPOSE('[1]Fur 4 PLC'!$CK$1:$DO$39),37,0),0)</f>
        <v>0</v>
      </c>
      <c r="DG109" s="54" cm="1">
        <f t="array" ref="DG109">IFERROR(VLOOKUP($A109,TRANSPOSE('[1]Fur 4 PLC'!$CK$1:$DO$39),6,0),0)</f>
        <v>0</v>
      </c>
      <c r="DH109" s="54" cm="1">
        <f t="array" ref="DH109">IFERROR(VLOOKUP($A109,TRANSPOSE('[1]Fur 4 PLC'!$CK$1:$DO$39),21,0),0)</f>
        <v>0</v>
      </c>
      <c r="DI109" s="54" cm="1">
        <f t="array" ref="DI109">IFERROR(VLOOKUP($A109,TRANSPOSE('[1]Fur 4 PLC'!$CK$1:$DO$39),12,0),0)</f>
        <v>0</v>
      </c>
      <c r="DJ109" s="54" cm="1">
        <f t="array" ref="DJ109">IFERROR(VLOOKUP($A109,TRANSPOSE('[1]Fur 4 PLC'!$CK$1:$DO$39),25,0),0)</f>
        <v>0</v>
      </c>
      <c r="DK109" s="54" cm="1">
        <f t="array" ref="DK109">IFERROR(VLOOKUP($A109,TRANSPOSE('[1]Fur 4 PLC'!$CK$1:$DO$39),26,0),0)</f>
        <v>0</v>
      </c>
      <c r="DL109" s="54" cm="1">
        <f t="array" ref="DL109">IFERROR(VLOOKUP($A109,TRANSPOSE('[1]Fur 4 PLC'!$CK$1:$DO$39),27,0),0)</f>
        <v>0</v>
      </c>
      <c r="DM109" s="54" cm="1">
        <f t="array" ref="DM109">IFERROR(VLOOKUP($A109,TRANSPOSE('[1]Fur 4 PLC'!$CK$1:$DO$39),22,0),0)</f>
        <v>0</v>
      </c>
      <c r="DN109" s="54" cm="1">
        <f t="array" ref="DN109">IFERROR(VLOOKUP($A109,TRANSPOSE('[1]Fur 4 PLC'!$CK$1:$DO$39),19,0),0)</f>
        <v>0</v>
      </c>
      <c r="DO109" s="54" cm="1">
        <f t="array" ref="DO109">IFERROR(VLOOKUP($A109,TRANSPOSE('[1]Fur 4 PLC'!$CK$1:$DO$39),29,0),0)</f>
        <v>0</v>
      </c>
      <c r="DP109" s="54" cm="1">
        <f t="array" ref="DP109">IFERROR(VLOOKUP($A109,TRANSPOSE('[1]Fur 4 PLC'!$CK$1:$DO$39),10,0),0)</f>
        <v>0</v>
      </c>
      <c r="DQ109" s="54" cm="1">
        <f t="array" ref="DQ109">IFERROR(VLOOKUP($A109,TRANSPOSE('[1]Fur 4 PLC'!$CK$1:$DO$39),7,0),0)</f>
        <v>0</v>
      </c>
      <c r="DR109" s="54" cm="1">
        <f t="array" ref="DR109">IFERROR(VLOOKUP($A109,TRANSPOSE('[1]Fur 4 PLC'!$CK$1:$DO$39),36,0),0)</f>
        <v>0</v>
      </c>
      <c r="DS109" s="54" cm="1">
        <f t="array" ref="DS109">IFERROR(VLOOKUP($A109,TRANSPOSE('[1]Fur 4 PLC'!$CK$1:$DO$39),11,0),0)</f>
        <v>0</v>
      </c>
      <c r="DT109" s="54" cm="1">
        <f t="array" ref="DT109">IFERROR(VLOOKUP($A109,TRANSPOSE('[1]Fur 4 PLC'!$CK$1:$DO$39),19,0),0)</f>
        <v>0</v>
      </c>
      <c r="DU109" s="54" cm="1">
        <f t="array" ref="DU109">IFERROR(VLOOKUP($A109,TRANSPOSE('[1]Fur 4 PLC'!$CK$1:$DO$39),18,0),0)</f>
        <v>0</v>
      </c>
      <c r="DV109" s="54" cm="1">
        <f t="array" ref="DV109">IFERROR(VLOOKUP($A109,TRANSPOSE('[1]Fur 4 PLC'!$CK$1:$DO$39),15,0),0)</f>
        <v>0</v>
      </c>
      <c r="DW109" t="str">
        <f t="shared" si="131"/>
        <v>Dec-25</v>
      </c>
    </row>
    <row r="110" spans="1:127" x14ac:dyDescent="0.3">
      <c r="A110" s="28" t="str">
        <f t="shared" si="59"/>
        <v>F146019</v>
      </c>
      <c r="B110" s="29" t="s">
        <v>26</v>
      </c>
      <c r="C110" s="30">
        <f>C106+1</f>
        <v>46019</v>
      </c>
      <c r="D110" s="29" t="str">
        <f>VLOOKUP($B110&amp;$C110,'[1]FC1 Prod'!$A$6:$BP$36,[2]Consolidated!D$1)</f>
        <v>Raju Singh</v>
      </c>
      <c r="E110" s="29">
        <f>VLOOKUP($B110&amp;$C110,'[1]FC1 Prod'!$A$6:$BP$36,[2]Consolidated!E$1)</f>
        <v>0</v>
      </c>
      <c r="F110" s="31">
        <f>VLOOKUP($B110&amp;$C110,'[1]FC1 Prod'!$A$6:$BP$36,[2]Consolidated!F$1)</f>
        <v>0</v>
      </c>
      <c r="G110" s="32" t="e">
        <f>VLOOKUP($B110&amp;$C110,'[1]FC1 Prod'!$A$6:$BP$36,[2]Consolidated!G$1)</f>
        <v>#REF!</v>
      </c>
      <c r="H110" s="32">
        <f>VLOOKUP($B110&amp;$C110,'[1]FC1 Prod'!$A$6:$BP$36,[2]Consolidated!H$1)</f>
        <v>0</v>
      </c>
      <c r="I110" s="32">
        <f>VLOOKUP($B110&amp;$C110,'[1]FC1 Prod'!$A$6:$BP$36,[2]Consolidated!I$1)</f>
        <v>0</v>
      </c>
      <c r="J110" s="32">
        <f>VLOOKUP($B110&amp;$C110,'[1]FC1 Prod'!$A$6:$BP$36,[2]Consolidated!J$1)</f>
        <v>0</v>
      </c>
      <c r="K110" s="32">
        <f>VLOOKUP($B110&amp;$C110,'[1]FC1 Prod'!$A$6:$BP$36,[2]Consolidated!K$1)</f>
        <v>0</v>
      </c>
      <c r="L110" s="32">
        <f>VLOOKUP($B110&amp;$C110,'[1]FC1 Prod'!$A$6:$BP$36,[2]Consolidated!L$1)</f>
        <v>0</v>
      </c>
      <c r="M110" s="32">
        <f>VLOOKUP($B110&amp;$C110,'[1]FC1 Prod'!$A$6:$BP$36,[2]Consolidated!M$1)</f>
        <v>0</v>
      </c>
      <c r="N110" s="32">
        <f>VLOOKUP($B110&amp;$C110,'[1]FC1 Prod'!$A$6:$BP$36,[2]Consolidated!N$1)</f>
        <v>0</v>
      </c>
      <c r="O110" s="32">
        <f>VLOOKUP($B110&amp;$C110,'[1]FC1 Prod'!$A$6:$BP$36,[2]Consolidated!O$1)</f>
        <v>0</v>
      </c>
      <c r="P110" s="33">
        <f>VLOOKUP($B110&amp;$C110,'[1]FC1 Prod'!$A$6:$BP$36,[2]Consolidated!P$1)</f>
        <v>8</v>
      </c>
      <c r="Q110" s="29">
        <f>VLOOKUP($B110&amp;$C110,'[1]FC1 Prod'!$A$6:$BP$36,[2]Consolidated!Q$1)</f>
        <v>0</v>
      </c>
      <c r="R110" s="29">
        <f>VLOOKUP($B110&amp;$C110,'[1]FC1 Prod'!$A$6:$BP$36,[2]Consolidated!R$1)</f>
        <v>0</v>
      </c>
      <c r="S110" s="34" t="e">
        <f>VLOOKUP($B110&amp;$C110,'[1]FC1 Prod'!$A$6:$BP$36,[2]Consolidated!S$1)</f>
        <v>#REF!</v>
      </c>
      <c r="T110" s="34" t="e">
        <f>VLOOKUP($B110&amp;$C110,'[1]FC1 Prod'!$A$6:$BP$36,[2]Consolidated!T$1)</f>
        <v>#REF!</v>
      </c>
      <c r="U110" s="34" t="e">
        <f>VLOOKUP($B110&amp;$C110,'[1]FC1 Prod'!$A$6:$BP$36,[2]Consolidated!U$1)</f>
        <v>#REF!</v>
      </c>
      <c r="V110" s="34">
        <f>VLOOKUP($B110&amp;$C110,'[1]FC1 Prod'!$A$6:$BP$36,[2]Consolidated!V$1)</f>
        <v>0</v>
      </c>
      <c r="W110" s="35">
        <f>VLOOKUP($B110&amp;$C110,'[1]FC1 Prod'!$A$6:$BP$36,[2]Consolidated!W$1)</f>
        <v>0</v>
      </c>
      <c r="X110" s="35">
        <f>VLOOKUP($B110&amp;$C110,'[1]FC1 Prod'!$A$6:$BP$36,[2]Consolidated!X$1)</f>
        <v>0</v>
      </c>
      <c r="Y110" s="36">
        <f>VLOOKUP($B110&amp;$C110,'[1]FC1 Prod'!$A$6:$BP$36,[2]Consolidated!Y$1)</f>
        <v>0</v>
      </c>
      <c r="Z110" s="37" t="e">
        <f>VLOOKUP($B110&amp;$C110,'[1]FC1 Prod'!$A$6:$BP$36,[2]Consolidated!Z$1)</f>
        <v>#REF!</v>
      </c>
      <c r="AA110" s="31">
        <f>VLOOKUP($B110&amp;$C110,'[1]FC1 Prod'!$A$6:$BP$36,[2]Consolidated!AA$1)</f>
        <v>0</v>
      </c>
      <c r="AB110" s="31">
        <f>VLOOKUP($B110&amp;$C110,'[1]FC1 Prod'!$A$6:$BP$36,[2]Consolidated!AB$1)</f>
        <v>0</v>
      </c>
      <c r="AC110" s="31">
        <f>VLOOKUP($B110&amp;$C110,'[1]FC1 Prod'!$A$6:$BP$36,[2]Consolidated!AC$1)</f>
        <v>0</v>
      </c>
      <c r="AD110" s="38">
        <f>VLOOKUP($B110&amp;$C110,'[1]FC1 Prod'!$A$6:$BP$36,[2]Consolidated!AD$1)</f>
        <v>0</v>
      </c>
      <c r="AE110" s="38">
        <f>VLOOKUP($B110&amp;$C110,'[1]FC1 Prod'!$A$6:$BP$36,[2]Consolidated!AE$1)</f>
        <v>0</v>
      </c>
      <c r="AF110" s="39">
        <f>VLOOKUP($B110&amp;$C110,'[1]FC1 Prod'!$A$6:$BP$36,[2]Consolidated!AF$1)</f>
        <v>0</v>
      </c>
      <c r="AG110" s="39">
        <f>VLOOKUP($B110&amp;$C110,'[1]FC1 Prod'!$A$6:$BP$36,[2]Consolidated!AG$1)</f>
        <v>0</v>
      </c>
      <c r="AH110" s="34">
        <f>VLOOKUP($B110&amp;$C110,'[1]FC1 Prod'!$A$6:$BP$36,[2]Consolidated!AH$1)</f>
        <v>0</v>
      </c>
      <c r="AI110" s="33">
        <f>VLOOKUP($B110&amp;$C110,'[1]FC1 Prod'!$A$6:$BP$36,[2]Consolidated!AI$1)</f>
        <v>0</v>
      </c>
      <c r="AJ110" s="39">
        <f>VLOOKUP($B110&amp;$C110,'[1]FC1 Prod'!$A$6:$BP$36,[2]Consolidated!AJ$1)</f>
        <v>0</v>
      </c>
      <c r="AK110" s="39">
        <f>VLOOKUP($B110&amp;$C110,'[1]FC1 Prod'!$A$6:$BP$36,[2]Consolidated!AK$1)</f>
        <v>0</v>
      </c>
      <c r="AL110" s="40" t="e">
        <f>VLOOKUP($B110&amp;$C110,'[1]FC1 Prod'!$A$6:$BP$36,[2]Consolidated!AL$1)</f>
        <v>#REF!</v>
      </c>
      <c r="AM110" s="41">
        <f>VLOOKUP($B110&amp;$C110,'[1]FC1 Prod'!$A$6:$BP$36,[2]Consolidated!AM$1)</f>
        <v>0</v>
      </c>
      <c r="AN110" s="42" t="e">
        <f>VLOOKUP($B110&amp;$C110,'[1]FC1 Prod'!$A$6:$BP$36,[2]Consolidated!AN$1)</f>
        <v>#REF!</v>
      </c>
      <c r="AO110" s="43" t="e">
        <f>VLOOKUP($B110&amp;$C110,'[1]FC1 Prod'!$A$6:$BP$36,[2]Consolidated!AO$1)</f>
        <v>#REF!</v>
      </c>
      <c r="AP110" s="44">
        <f>VLOOKUP($B110&amp;$C110,'[1]FC1 Prod'!$A$6:$BP$36,[2]Consolidated!AP$1)</f>
        <v>0</v>
      </c>
      <c r="AQ110" s="44">
        <f>VLOOKUP($B110&amp;$C110,'[1]FC1 Prod'!$A$6:$BP$36,[2]Consolidated!AQ$1)</f>
        <v>0</v>
      </c>
      <c r="AR110" s="45">
        <f>VLOOKUP($B110&amp;$C110,'[1]FC1 Prod'!$A$6:$BP$36,[2]Consolidated!AR$1)</f>
        <v>0</v>
      </c>
      <c r="AS110" s="46">
        <f>VLOOKUP($B110&amp;$C110,'[1]FC1 Prod'!$A$6:$BP$36,[2]Consolidated!AS$1)</f>
        <v>0</v>
      </c>
      <c r="AT110" s="29">
        <f>VLOOKUP($B110&amp;$C110,'[1]FC1 Prod'!$A$6:$BP$36,[2]Consolidated!AT$1)</f>
        <v>0</v>
      </c>
      <c r="AU110" s="34">
        <f>VLOOKUP($B110&amp;$C110,'[1]FC1 Prod'!$A$6:$BP$36,[2]Consolidated!AU$1)</f>
        <v>0</v>
      </c>
      <c r="AV110" s="34">
        <f>VLOOKUP($B110&amp;$C110,'[1]FC1 Prod'!$A$6:$BP$36,[2]Consolidated!AV$1)</f>
        <v>0</v>
      </c>
      <c r="AW110" s="47">
        <f>VLOOKUP($B110&amp;$C110,'[1]FC1 Prod'!$A$6:$BP$36,[2]Consolidated!AW$1)</f>
        <v>0</v>
      </c>
      <c r="AX110" s="47">
        <f>VLOOKUP($B110&amp;$C110,'[1]FC1 Prod'!$A$6:$BP$36,[2]Consolidated!AX$1)</f>
        <v>0</v>
      </c>
      <c r="AY110" s="48">
        <f>VLOOKUP($B110&amp;$C110,'[1]FC1 Prod'!$A$6:$BP$36,[2]Consolidated!AY$1)</f>
        <v>0</v>
      </c>
      <c r="AZ110" s="47">
        <f>VLOOKUP($B110&amp;$C110,'[1]FC1 Prod'!$A$6:$BP$36,[2]Consolidated!AZ$1)</f>
        <v>0</v>
      </c>
      <c r="BA110" s="47">
        <f>VLOOKUP($B110&amp;$C110,'[1]FC1 Prod'!$A$6:$BP$36,[2]Consolidated!BA$1)</f>
        <v>0</v>
      </c>
      <c r="BB110" s="47">
        <f>VLOOKUP($B110&amp;$C110,'[1]FC1 Prod'!$A$6:$BP$36,[2]Consolidated!BB$1)</f>
        <v>0</v>
      </c>
      <c r="BC110" s="47">
        <f>VLOOKUP($B110&amp;$C110,'[1]FC1 Prod'!$A$6:$BP$36,[2]Consolidated!BC$1)</f>
        <v>0</v>
      </c>
      <c r="BD110" s="49">
        <f>VLOOKUP($B110&amp;$C110,'[1]FC1 Prod'!$A$6:$BP$36,[2]Consolidated!BD$1)</f>
        <v>0</v>
      </c>
      <c r="BE110" s="47">
        <f>VLOOKUP($B110&amp;$C110,'[1]FC1 Prod'!$A$6:$BP$36,[2]Consolidated!BE$1)</f>
        <v>0</v>
      </c>
      <c r="BF110" s="47">
        <f>VLOOKUP($B110&amp;$C110,'[1]FC1 Prod'!$A$6:$BP$36,[2]Consolidated!BF$1)</f>
        <v>0</v>
      </c>
      <c r="BG110" s="50">
        <f>VLOOKUP($B110&amp;$C110,'[1]FC1 Prod'!$A$6:$BP$36,[2]Consolidated!BG$1)</f>
        <v>0</v>
      </c>
      <c r="BH110" s="50">
        <f>VLOOKUP($B110&amp;$C110,'[1]FC1 Prod'!$A$6:$BP$36,[2]Consolidated!BH$1)</f>
        <v>0</v>
      </c>
      <c r="BI110" s="50">
        <f>VLOOKUP($B110&amp;$C110,'[1]FC1 Prod'!$A$6:$BP$36,[2]Consolidated!BI$1)</f>
        <v>0</v>
      </c>
      <c r="BJ110" s="37" t="e">
        <f>VLOOKUP($B110&amp;$C110,'[1]FC1 Prod'!$A$6:$BP$36,[2]Consolidated!BJ$1)</f>
        <v>#REF!</v>
      </c>
      <c r="BK110" s="37" t="e">
        <f>VLOOKUP($B110&amp;$C110,'[1]FC1 Prod'!$A$6:$BP$36,[2]Consolidated!BK$1)</f>
        <v>#REF!</v>
      </c>
      <c r="BL110" s="37" t="e">
        <f>VLOOKUP($B110&amp;$C110,'[1]FC1 Prod'!$A$6:$BP$36,[2]Consolidated!BL$1)</f>
        <v>#REF!</v>
      </c>
      <c r="BM110" s="37" t="e">
        <f>VLOOKUP($B110&amp;$C110,'[1]FC1 Prod'!$A$6:$BP$36,[2]Consolidated!BM$1)</f>
        <v>#REF!</v>
      </c>
      <c r="BN110" s="37" t="e">
        <f>VLOOKUP($B110&amp;$C110,'[1]FC1 Prod'!$A$6:$BP$36,[2]Consolidated!BN$1)</f>
        <v>#REF!</v>
      </c>
      <c r="BO110" s="37" t="e">
        <f>VLOOKUP($B110&amp;$C110,'[1]FC1 Prod'!$A$6:$BP$36,[2]Consolidated!BO$1)</f>
        <v>#REF!</v>
      </c>
      <c r="BP110" s="37" t="e">
        <f>VLOOKUP($B110&amp;$C110,'[1]FC1 Prod'!$A$6:$BP$36,[2]Consolidated!BP$1)</f>
        <v>#REF!</v>
      </c>
      <c r="BQ110" s="51" t="e">
        <f>VLOOKUP($B110&amp;$C110,'[1]FC1 Prod'!$A$6:$BP$36,[2]Consolidated!BQ$1)</f>
        <v>#REF!</v>
      </c>
      <c r="BR110" s="51">
        <f>VLOOKUP($B110&amp;$C110,'[1]FC1 Prod'!$A$6:$BQ$36,[2]Consolidated!BR$1)</f>
        <v>69902</v>
      </c>
      <c r="BS110" s="52">
        <f t="shared" ref="BS110:BS112" si="135">BE110+BF110+BG110+BA110</f>
        <v>0</v>
      </c>
      <c r="BT110" s="32">
        <f>BR110-BS110</f>
        <v>69902</v>
      </c>
      <c r="BU110" s="37">
        <f>E110*BT110</f>
        <v>0</v>
      </c>
      <c r="BV110" s="53" t="s">
        <v>133</v>
      </c>
      <c r="BW110" s="54" cm="1">
        <f t="array" ref="BW110">IFERROR(VLOOKUP($A110,TRANSPOSE('[1]Fur 1 PLC'!$AR$1:$BV$38),8,0),0)</f>
        <v>0</v>
      </c>
      <c r="BX110" s="54" cm="1">
        <f t="array" ref="BX110">IFERROR(VLOOKUP($A110,TRANSPOSE('[1]Fur 1 PLC'!$AR$1:$BV$38),30,0),0)</f>
        <v>0</v>
      </c>
      <c r="BY110" s="54" cm="1">
        <f t="array" ref="BY110">IFERROR(VLOOKUP($A110,TRANSPOSE('[1]Fur 1 PLC'!$AR$1:$BV$38),14,0),0)</f>
        <v>0</v>
      </c>
      <c r="BZ110" s="54" cm="1">
        <f t="array" ref="BZ110">IFERROR(VLOOKUP($A110,TRANSPOSE('[1]Fur 1 PLC'!$AR$1:$BV$38),16,0),0)</f>
        <v>0</v>
      </c>
      <c r="CA110" s="54" cm="1">
        <f t="array" ref="CA110">IFERROR(VLOOKUP($A110,TRANSPOSE('[1]Fur 1 PLC'!$AR$1:$BV$38),9,0),0)</f>
        <v>0</v>
      </c>
      <c r="CB110" s="54" cm="1">
        <f t="array" ref="CB110">IFERROR(VLOOKUP($A110,TRANSPOSE('[1]Fur 1 PLC'!$AR$1:$BV$38),17,0),0)</f>
        <v>0</v>
      </c>
      <c r="CC110" s="54" cm="1">
        <f t="array" ref="CC110">IFERROR(VLOOKUP($A110,TRANSPOSE('[1]Fur 1 PLC'!$AR$1:$BV$38),20,0),0)</f>
        <v>0</v>
      </c>
      <c r="CD110" s="54" cm="1">
        <f t="array" ref="CD110">IFERROR(VLOOKUP($A110,TRANSPOSE('[1]Fur 1 PLC'!$AR$1:$BV$38),28,0),0)</f>
        <v>0</v>
      </c>
      <c r="CE110" s="54" cm="1">
        <f t="array" ref="CE110">IFERROR(VLOOKUP($A110,TRANSPOSE('[1]Fur 1 PLC'!$AR$1:$BV$38),13,0),0)</f>
        <v>0</v>
      </c>
      <c r="CF110" s="54" cm="1">
        <f t="array" ref="CF110">IFERROR(VLOOKUP($A110,TRANSPOSE('[1]Fur 1 PLC'!$AR$1:$BV$38),37,0),0)</f>
        <v>0</v>
      </c>
      <c r="CG110" s="54" cm="1">
        <f t="array" ref="CG110">IFERROR(VLOOKUP($A110,TRANSPOSE('[1]Fur 1 PLC'!$AR$1:$BV$38),6,0),0)</f>
        <v>0</v>
      </c>
      <c r="CH110" s="54" cm="1">
        <f t="array" ref="CH110">IFERROR(VLOOKUP($A110,TRANSPOSE('[1]Fur 1 PLC'!$AR$1:$BV$38),21,0),0)</f>
        <v>0</v>
      </c>
      <c r="CI110" s="54" cm="1">
        <f t="array" ref="CI110">IFERROR(VLOOKUP($A110,TRANSPOSE('[1]Fur 1 PLC'!$AR$1:$BV$38),12,0),0)</f>
        <v>0</v>
      </c>
      <c r="CJ110" s="54" cm="1">
        <f t="array" ref="CJ110">IFERROR(VLOOKUP($A110,TRANSPOSE('[1]Fur 1 PLC'!$AR$1:$BV$38),25,0),0)</f>
        <v>0</v>
      </c>
      <c r="CK110" s="54" cm="1">
        <f t="array" ref="CK110">IFERROR(VLOOKUP($A110,TRANSPOSE('[1]Fur 1 PLC'!$AR$1:$BV$38),26,0),0)</f>
        <v>0</v>
      </c>
      <c r="CL110" s="54" cm="1">
        <f t="array" ref="CL110">IFERROR(VLOOKUP($A110,TRANSPOSE('[1]Fur 1 PLC'!$AR$1:$BV$38),27,0),0)</f>
        <v>0</v>
      </c>
      <c r="CM110" s="54" cm="1">
        <f t="array" ref="CM110">IFERROR(VLOOKUP($A110,TRANSPOSE('[1]Fur 1 PLC'!$AR$1:$BV$38),22,0),0)</f>
        <v>0</v>
      </c>
      <c r="CN110" s="54"/>
      <c r="CO110" s="54" cm="1">
        <f t="array" ref="CO110">IFERROR(VLOOKUP($A110,TRANSPOSE('[1]Fur 1 PLC'!$AR$1:$BV$38),29,0),0)</f>
        <v>0</v>
      </c>
      <c r="CP110" s="54" cm="1">
        <f t="array" ref="CP110">IFERROR(VLOOKUP($A110,TRANSPOSE('[1]Fur 1 PLC'!$AR$1:$BV$38),10,0),0)</f>
        <v>0</v>
      </c>
      <c r="CQ110" s="54" cm="1">
        <f t="array" ref="CQ110">IFERROR(VLOOKUP($A110,TRANSPOSE('[1]Fur 1 PLC'!$AR$1:$BV$38),7,0),0)</f>
        <v>0</v>
      </c>
      <c r="CR110" s="54" cm="1">
        <f t="array" ref="CR110">IFERROR(VLOOKUP($A110,TRANSPOSE('[1]Fur 1 PLC'!$AR$1:$BV$38),35,0),0)</f>
        <v>0</v>
      </c>
      <c r="CS110" s="54" cm="1">
        <f t="array" ref="CS110">IFERROR(VLOOKUP($A110,TRANSPOSE('[1]Fur 1 PLC'!$AR$1:$BV$38),11,0),0)</f>
        <v>0</v>
      </c>
      <c r="CT110" s="54" cm="1">
        <f t="array" ref="CT110">IFERROR(VLOOKUP($A110,TRANSPOSE('[1]Fur 1 PLC'!$AR$1:$BV$38),19,0),0)</f>
        <v>0</v>
      </c>
      <c r="CU110" s="54" cm="1">
        <f t="array" ref="CU110">IFERROR(VLOOKUP($A110,TRANSPOSE('[1]Fur 1 PLC'!$AR$1:$BV$38),18,0),0)</f>
        <v>0</v>
      </c>
      <c r="CV110" s="54" cm="1">
        <f t="array" ref="CV110">IFERROR(VLOOKUP($A110,TRANSPOSE('[1]Fur 1 PLC'!$AR$1:$BV$38),15,0),0)</f>
        <v>0</v>
      </c>
      <c r="CW110" s="54" cm="1">
        <f t="array" ref="CW110">IFERROR(VLOOKUP($A110,TRANSPOSE('[1]Fur 1 PLC'!$CL$1:$DP$38),8,0),0)</f>
        <v>0</v>
      </c>
      <c r="CX110" s="54" cm="1">
        <f t="array" ref="CX110">IFERROR(VLOOKUP($A110,TRANSPOSE('[1]Fur 1 PLC'!$CL$1:$DP$38),30,0),0)</f>
        <v>0</v>
      </c>
      <c r="CY110" s="54" cm="1">
        <f t="array" ref="CY110">IFERROR(VLOOKUP($A110,TRANSPOSE('[1]Fur 1 PLC'!$CL$1:$DP$38),14,0),0)</f>
        <v>0</v>
      </c>
      <c r="CZ110" s="54" cm="1">
        <f t="array" ref="CZ110">IFERROR(VLOOKUP($A110,TRANSPOSE('[1]Fur 1 PLC'!$CL$1:$DP$38),16,0),0)</f>
        <v>0</v>
      </c>
      <c r="DA110" s="54" cm="1">
        <f t="array" ref="DA110">IFERROR(VLOOKUP($A110,TRANSPOSE('[1]Fur 1 PLC'!$CL$1:$DP$38),9,0),0)</f>
        <v>0</v>
      </c>
      <c r="DB110" s="55" cm="1">
        <f t="array" ref="DB110">IFERROR(VLOOKUP($A110,TRANSPOSE('[1]Fur 1 PLC'!$CL$1:$DP$38),17,0),0)</f>
        <v>0</v>
      </c>
      <c r="DC110" s="55" cm="1">
        <f t="array" ref="DC110">IFERROR(VLOOKUP($A110,TRANSPOSE('[1]Fur 1 PLC'!$CL$1:$DP$38),20,0),0)</f>
        <v>0</v>
      </c>
      <c r="DD110" s="54" cm="1">
        <f t="array" ref="DD110">IFERROR(VLOOKUP($A110,TRANSPOSE('[1]Fur 1 PLC'!$CL$1:$DP$38),28,0),0)</f>
        <v>0</v>
      </c>
      <c r="DE110" s="54" cm="1">
        <f t="array" ref="DE110">IFERROR(VLOOKUP($A110,TRANSPOSE('[1]Fur 1 PLC'!$CL$1:$DP$38),13,0),0)</f>
        <v>0</v>
      </c>
      <c r="DF110" s="54" cm="1">
        <f t="array" ref="DF110">IFERROR(VLOOKUP($A110,TRANSPOSE('[1]Fur 1 PLC'!$CL$1:$DP$38),37,0),0)</f>
        <v>0</v>
      </c>
      <c r="DG110" s="54" cm="1">
        <f t="array" ref="DG110">IFERROR(VLOOKUP($A110,TRANSPOSE('[1]Fur 1 PLC'!$CL$1:$DP$38),6,0),0)</f>
        <v>0</v>
      </c>
      <c r="DH110" s="54" cm="1">
        <f t="array" ref="DH110">IFERROR(VLOOKUP($A110,TRANSPOSE('[1]Fur 1 PLC'!$CL$1:$DP$38),21,0),0)</f>
        <v>0</v>
      </c>
      <c r="DI110" s="54" cm="1">
        <f t="array" ref="DI110">IFERROR(VLOOKUP($A110,TRANSPOSE('[1]Fur 1 PLC'!$CL$1:$DP$38),12,0),0)</f>
        <v>0</v>
      </c>
      <c r="DJ110" s="54" cm="1">
        <f t="array" ref="DJ110">IFERROR(VLOOKUP($A110,TRANSPOSE('[1]Fur 1 PLC'!$CL$1:$DP$38),25,0),0)</f>
        <v>0</v>
      </c>
      <c r="DK110" s="54" cm="1">
        <f t="array" ref="DK110">IFERROR(VLOOKUP($A110,TRANSPOSE('[1]Fur 1 PLC'!$CL$1:$DP$38),26,0),0)</f>
        <v>0</v>
      </c>
      <c r="DL110" s="54" cm="1">
        <f t="array" ref="DL110">IFERROR(VLOOKUP($A110,TRANSPOSE('[1]Fur 1 PLC'!$CL$1:$DP$38),27,0),0)</f>
        <v>0</v>
      </c>
      <c r="DM110" s="54" cm="1">
        <f t="array" ref="DM110">IFERROR(VLOOKUP($A110,TRANSPOSE('[1]Fur 1 PLC'!$CL$1:$DP$38),22,0),0)</f>
        <v>0</v>
      </c>
      <c r="DN110" s="54" cm="1">
        <f t="array" ref="DN110">IFERROR(VLOOKUP($A110,TRANSPOSE('[1]Fur 1 PLC'!$CL$1:$DP$38),19,0),0)</f>
        <v>0</v>
      </c>
      <c r="DO110" s="54" cm="1">
        <f t="array" ref="DO110">IFERROR(VLOOKUP($A110,TRANSPOSE('[1]Fur 1 PLC'!$CL$1:$DP$38),29,0),0)</f>
        <v>0</v>
      </c>
      <c r="DP110" s="54" cm="1">
        <f t="array" ref="DP110">IFERROR(VLOOKUP($A110,TRANSPOSE('[1]Fur 1 PLC'!$CL$1:$DP$38),10,0),0)</f>
        <v>0</v>
      </c>
      <c r="DQ110" s="54" cm="1">
        <f t="array" ref="DQ110">IFERROR(VLOOKUP($A110,TRANSPOSE('[1]Fur 1 PLC'!$CL$1:$DP$38),7,0),0)</f>
        <v>0</v>
      </c>
      <c r="DR110" s="54" cm="1">
        <f t="array" ref="DR110">IFERROR(VLOOKUP($A110,TRANSPOSE('[1]Fur 1 PLC'!$CL$1:$DP$38),35,0),0)</f>
        <v>0</v>
      </c>
      <c r="DS110" s="54" cm="1">
        <f t="array" ref="DS110">IFERROR(VLOOKUP($A110,TRANSPOSE('[1]Fur 1 PLC'!$CL$1:$DP$38),11,0),0)</f>
        <v>0</v>
      </c>
      <c r="DT110" s="54" cm="1">
        <f t="array" ref="DT110">IFERROR(VLOOKUP($A110,TRANSPOSE('[1]Fur 1 PLC'!$CL$1:$DP$38),19,0),0)</f>
        <v>0</v>
      </c>
      <c r="DU110" s="54" cm="1">
        <f t="array" ref="DU110">IFERROR(VLOOKUP($A110,TRANSPOSE('[1]Fur 1 PLC'!$CL$1:$DP$38),18,0),0)</f>
        <v>0</v>
      </c>
      <c r="DV110" s="54" cm="1">
        <f t="array" ref="DV110">IFERROR(VLOOKUP($A110,TRANSPOSE('[1]Fur 1 PLC'!$CL$1:$DP$38),15,0),0)</f>
        <v>0</v>
      </c>
      <c r="DW110" t="str">
        <f>TEXT(C110,"Mmm-yy")</f>
        <v>Dec-25</v>
      </c>
    </row>
    <row r="111" spans="1:127" x14ac:dyDescent="0.3">
      <c r="A111" s="28" t="str">
        <f t="shared" si="59"/>
        <v>F246019</v>
      </c>
      <c r="B111" s="29" t="s">
        <v>27</v>
      </c>
      <c r="C111" s="30">
        <f>C110</f>
        <v>46019</v>
      </c>
      <c r="D111" s="29" t="str">
        <f>VLOOKUP($B111&amp;$C111,'[1]FC2 Prod'!$A$6:$BP$36,[2]Consolidated!D$1)</f>
        <v>Mr. Girish Malik</v>
      </c>
      <c r="E111" s="29">
        <f>VLOOKUP($B111&amp;$C111,'[1]FC2 Prod'!$A$6:$BP$36,[2]Consolidated!E$1)</f>
        <v>0</v>
      </c>
      <c r="F111" s="29">
        <f>VLOOKUP($B111&amp;$C111,'[1]FC2 Prod'!$A$6:$BP$36,[2]Consolidated!F$1)</f>
        <v>0</v>
      </c>
      <c r="G111" s="29" t="e">
        <f>VLOOKUP($B111&amp;$C111,'[1]FC2 Prod'!$A$6:$BP$36,[2]Consolidated!G$1)</f>
        <v>#REF!</v>
      </c>
      <c r="H111" s="32">
        <f>VLOOKUP($B111&amp;$C111,'[1]FC2 Prod'!$A$6:$BP$36,[2]Consolidated!H$1)</f>
        <v>0</v>
      </c>
      <c r="I111" s="32">
        <f>VLOOKUP($B111&amp;$C111,'[1]FC2 Prod'!$A$6:$BP$36,[2]Consolidated!I$1)</f>
        <v>0</v>
      </c>
      <c r="J111" s="32">
        <f>VLOOKUP($B111&amp;$C111,'[1]FC2 Prod'!$A$6:$BP$36,[2]Consolidated!J$1)</f>
        <v>0</v>
      </c>
      <c r="K111" s="32">
        <f>VLOOKUP($B111&amp;$C111,'[1]FC2 Prod'!$A$6:$BP$36,[2]Consolidated!K$1)</f>
        <v>0</v>
      </c>
      <c r="L111" s="32">
        <f>VLOOKUP($B111&amp;$C111,'[1]FC2 Prod'!$A$6:$BP$36,[2]Consolidated!L$1)</f>
        <v>0</v>
      </c>
      <c r="M111" s="32">
        <f>VLOOKUP($B111&amp;$C111,'[1]FC2 Prod'!$A$6:$BP$36,[2]Consolidated!M$1)</f>
        <v>0</v>
      </c>
      <c r="N111" s="32">
        <f>VLOOKUP($B111&amp;$C111,'[1]FC2 Prod'!$A$6:$BP$36,[2]Consolidated!N$1)</f>
        <v>0</v>
      </c>
      <c r="O111" s="32">
        <f>VLOOKUP($B111&amp;$C111,'[1]FC2 Prod'!$A$6:$BP$36,[2]Consolidated!O$1)</f>
        <v>0</v>
      </c>
      <c r="P111" s="34">
        <f>VLOOKUP($B111&amp;$C111,'[1]FC2 Prod'!$A$6:$BP$36,[2]Consolidated!P$1)</f>
        <v>10</v>
      </c>
      <c r="Q111" s="29">
        <f>VLOOKUP($B111&amp;$C111,'[1]FC2 Prod'!$A$6:$BP$36,[2]Consolidated!Q$1)</f>
        <v>0</v>
      </c>
      <c r="R111" s="29">
        <f>VLOOKUP($B111&amp;$C111,'[1]FC2 Prod'!$A$6:$BP$36,[2]Consolidated!R$1)</f>
        <v>0</v>
      </c>
      <c r="S111" s="34" t="e">
        <f>VLOOKUP($B111&amp;$C111,'[1]FC2 Prod'!$A$6:$BP$36,[2]Consolidated!S$1)</f>
        <v>#REF!</v>
      </c>
      <c r="T111" s="34" t="e">
        <f>VLOOKUP($B111&amp;$C111,'[1]FC2 Prod'!$A$6:$BP$36,[2]Consolidated!T$1)</f>
        <v>#REF!</v>
      </c>
      <c r="U111" s="34" t="e">
        <f>VLOOKUP($B111&amp;$C111,'[1]FC2 Prod'!$A$6:$BP$36,[2]Consolidated!U$1)</f>
        <v>#REF!</v>
      </c>
      <c r="V111" s="34">
        <f>VLOOKUP($B111&amp;$C111,'[1]FC2 Prod'!$A$6:$BP$36,[2]Consolidated!V$1)</f>
        <v>0</v>
      </c>
      <c r="W111" s="29">
        <f>VLOOKUP($B111&amp;$C111,'[1]FC2 Prod'!$A$6:$BP$36,[2]Consolidated!W$1)</f>
        <v>0</v>
      </c>
      <c r="X111" s="35">
        <f>VLOOKUP($B111&amp;$C111,'[1]FC2 Prod'!$A$6:$BP$36,[2]Consolidated!X$1)</f>
        <v>0</v>
      </c>
      <c r="Y111" s="36">
        <f>VLOOKUP($B111&amp;$C111,'[1]FC2 Prod'!$A$6:$BP$36,[2]Consolidated!Y$1)</f>
        <v>0</v>
      </c>
      <c r="Z111" s="37" t="e">
        <f>VLOOKUP($B111&amp;$C111,'[1]FC2 Prod'!$A$6:$BP$36,[2]Consolidated!Z$1)</f>
        <v>#REF!</v>
      </c>
      <c r="AA111" s="31">
        <f>VLOOKUP($B111&amp;$C111,'[1]FC2 Prod'!$A$6:$BP$36,[2]Consolidated!AA$1)</f>
        <v>0</v>
      </c>
      <c r="AB111" s="31">
        <f>VLOOKUP($B111&amp;$C111,'[1]FC2 Prod'!$A$6:$BP$36,[2]Consolidated!AB$1)</f>
        <v>0</v>
      </c>
      <c r="AC111" s="31">
        <f>VLOOKUP($B111&amp;$C111,'[1]FC2 Prod'!$A$6:$BP$36,[2]Consolidated!AC$1)</f>
        <v>0</v>
      </c>
      <c r="AD111" s="38">
        <f>VLOOKUP($B111&amp;$C111,'[1]FC2 Prod'!$A$6:$BP$36,[2]Consolidated!AD$1)</f>
        <v>0</v>
      </c>
      <c r="AE111" s="38">
        <f>VLOOKUP($B111&amp;$C111,'[1]FC2 Prod'!$A$6:$BP$36,[2]Consolidated!AE$1)</f>
        <v>0</v>
      </c>
      <c r="AF111" s="39">
        <f>VLOOKUP($B111&amp;$C111,'[1]FC2 Prod'!$A$6:$BP$36,[2]Consolidated!AF$1)</f>
        <v>0</v>
      </c>
      <c r="AG111" s="39">
        <f>VLOOKUP($B111&amp;$C111,'[1]FC2 Prod'!$A$6:$BP$36,[2]Consolidated!AG$1)</f>
        <v>0</v>
      </c>
      <c r="AH111" s="34">
        <f>VLOOKUP($B111&amp;$C111,'[1]FC2 Prod'!$A$6:$BP$36,[2]Consolidated!AH$1)</f>
        <v>0</v>
      </c>
      <c r="AI111" s="33">
        <f>VLOOKUP($B111&amp;$C111,'[1]FC2 Prod'!$A$6:$BP$36,[2]Consolidated!AI$1)</f>
        <v>0</v>
      </c>
      <c r="AJ111" s="39">
        <f>VLOOKUP($B111&amp;$C111,'[1]FC2 Prod'!$A$6:$BP$36,[2]Consolidated!AJ$1)</f>
        <v>0</v>
      </c>
      <c r="AK111" s="39">
        <f>VLOOKUP($B111&amp;$C111,'[1]FC2 Prod'!$A$6:$BP$36,[2]Consolidated!AK$1)</f>
        <v>0</v>
      </c>
      <c r="AL111" s="40" t="e">
        <f>VLOOKUP($B111&amp;$C111,'[1]FC2 Prod'!$A$6:$BP$36,[2]Consolidated!AL$1)</f>
        <v>#REF!</v>
      </c>
      <c r="AM111" s="41">
        <f>VLOOKUP($B111&amp;$C111,'[1]FC2 Prod'!$A$6:$BP$36,[2]Consolidated!AM$1)</f>
        <v>0</v>
      </c>
      <c r="AN111" s="42" t="e">
        <f>VLOOKUP($B111&amp;$C111,'[1]FC2 Prod'!$A$6:$BP$36,[2]Consolidated!AN$1)</f>
        <v>#REF!</v>
      </c>
      <c r="AO111" s="43" t="e">
        <f>VLOOKUP($B111&amp;$C111,'[1]FC2 Prod'!$A$6:$BP$36,[2]Consolidated!AO$1)</f>
        <v>#REF!</v>
      </c>
      <c r="AP111" s="44">
        <f>VLOOKUP($B111&amp;$C111,'[1]FC2 Prod'!$A$6:$BP$36,[2]Consolidated!AP$1)</f>
        <v>0</v>
      </c>
      <c r="AQ111" s="44">
        <f>VLOOKUP($B111&amp;$C111,'[1]FC2 Prod'!$A$6:$BP$36,[2]Consolidated!AQ$1)</f>
        <v>0</v>
      </c>
      <c r="AR111" s="45">
        <f>VLOOKUP($B111&amp;$C111,'[1]FC2 Prod'!$A$6:$BP$36,[2]Consolidated!AR$1)</f>
        <v>0</v>
      </c>
      <c r="AS111" s="46">
        <f>VLOOKUP($B111&amp;$C111,'[1]FC2 Prod'!$A$6:$BP$36,[2]Consolidated!AS$1)</f>
        <v>0</v>
      </c>
      <c r="AT111" s="29">
        <f>VLOOKUP($B111&amp;$C111,'[1]FC2 Prod'!$A$6:$BP$36,[2]Consolidated!AT$1)</f>
        <v>0</v>
      </c>
      <c r="AU111" s="34">
        <f>VLOOKUP($B111&amp;$C111,'[1]FC2 Prod'!$A$6:$BP$36,[2]Consolidated!AU$1)</f>
        <v>0</v>
      </c>
      <c r="AV111" s="34">
        <f>VLOOKUP($B111&amp;$C111,'[1]FC2 Prod'!$A$6:$BP$36,[2]Consolidated!AV$1)</f>
        <v>0</v>
      </c>
      <c r="AW111" s="47">
        <f>VLOOKUP($B111&amp;$C111,'[1]FC2 Prod'!$A$6:$BP$36,[2]Consolidated!AW$1)</f>
        <v>0</v>
      </c>
      <c r="AX111" s="47">
        <f>VLOOKUP($B111&amp;$C111,'[1]FC2 Prod'!$A$6:$BP$36,[2]Consolidated!AX$1)</f>
        <v>0</v>
      </c>
      <c r="AY111" s="48">
        <f>VLOOKUP($B111&amp;$C111,'[1]FC2 Prod'!$A$6:$BP$36,[2]Consolidated!AY$1)</f>
        <v>0</v>
      </c>
      <c r="AZ111" s="47">
        <f>VLOOKUP($B111&amp;$C111,'[1]FC2 Prod'!$A$6:$BP$36,[2]Consolidated!AZ$1)</f>
        <v>0</v>
      </c>
      <c r="BA111" s="47">
        <f>VLOOKUP($B111&amp;$C111,'[1]FC2 Prod'!$A$6:$BP$36,[2]Consolidated!BA$1)</f>
        <v>0</v>
      </c>
      <c r="BB111" s="47">
        <f>VLOOKUP($B111&amp;$C111,'[1]FC2 Prod'!$A$6:$BP$36,[2]Consolidated!BB$1)</f>
        <v>0</v>
      </c>
      <c r="BC111" s="47">
        <f>VLOOKUP($B111&amp;$C111,'[1]FC2 Prod'!$A$6:$BP$36,[2]Consolidated!BC$1)</f>
        <v>0</v>
      </c>
      <c r="BD111" s="49">
        <f>VLOOKUP($B111&amp;$C111,'[1]FC2 Prod'!$A$6:$BP$36,[2]Consolidated!BD$1)</f>
        <v>0</v>
      </c>
      <c r="BE111" s="47">
        <f>VLOOKUP($B111&amp;$C111,'[1]FC2 Prod'!$A$6:$BP$36,[2]Consolidated!BE$1)</f>
        <v>0</v>
      </c>
      <c r="BF111" s="47">
        <f>VLOOKUP($B111&amp;$C111,'[1]FC2 Prod'!$A$6:$BP$36,[2]Consolidated!BF$1)</f>
        <v>0</v>
      </c>
      <c r="BG111" s="50">
        <f>VLOOKUP($B111&amp;$C111,'[1]FC2 Prod'!$A$6:$BP$36,[2]Consolidated!BG$1)</f>
        <v>0</v>
      </c>
      <c r="BH111" s="50">
        <f>VLOOKUP($B111&amp;$C111,'[1]FC2 Prod'!$A$6:$BP$36,[2]Consolidated!BH$1)</f>
        <v>0</v>
      </c>
      <c r="BI111" s="50">
        <f>VLOOKUP($B111&amp;$C111,'[1]FC2 Prod'!$A$6:$BP$36,[2]Consolidated!BI$1)</f>
        <v>0</v>
      </c>
      <c r="BJ111" s="37" t="e">
        <f>VLOOKUP($B111&amp;$C111,'[1]FC2 Prod'!$A$6:$BP$36,[2]Consolidated!BJ$1)</f>
        <v>#REF!</v>
      </c>
      <c r="BK111" s="37" t="e">
        <f>VLOOKUP($B111&amp;$C111,'[1]FC2 Prod'!$A$6:$BP$36,[2]Consolidated!BK$1)</f>
        <v>#REF!</v>
      </c>
      <c r="BL111" s="37" t="e">
        <f>VLOOKUP($B111&amp;$C111,'[1]FC2 Prod'!$A$6:$BP$36,[2]Consolidated!BL$1)</f>
        <v>#REF!</v>
      </c>
      <c r="BM111" s="37" t="e">
        <f>VLOOKUP($B111&amp;$C111,'[1]FC2 Prod'!$A$6:$BP$36,[2]Consolidated!BM$1)</f>
        <v>#REF!</v>
      </c>
      <c r="BN111" s="37" t="e">
        <f>VLOOKUP($B111&amp;$C111,'[1]FC2 Prod'!$A$6:$BP$36,[2]Consolidated!BN$1)</f>
        <v>#REF!</v>
      </c>
      <c r="BO111" s="37" t="e">
        <f>VLOOKUP($B111&amp;$C111,'[1]FC2 Prod'!$A$6:$BP$36,[2]Consolidated!BO$1)</f>
        <v>#REF!</v>
      </c>
      <c r="BP111" s="37" t="e">
        <f>VLOOKUP($B111&amp;$C111,'[1]FC2 Prod'!$A$6:$BP$36,[2]Consolidated!BP$1)</f>
        <v>#REF!</v>
      </c>
      <c r="BQ111" s="29" t="e">
        <f>VLOOKUP($B111&amp;$C111,'[1]FC2 Prod'!$A$6:$BP$36,[2]Consolidated!BQ$1)</f>
        <v>#REF!</v>
      </c>
      <c r="BR111" s="51">
        <f>VLOOKUP($B111&amp;$C111,'[1]FC2 Prod'!$A$6:$BQ$36,[2]Consolidated!BR$1)</f>
        <v>68163</v>
      </c>
      <c r="BS111" s="52">
        <f t="shared" si="135"/>
        <v>0</v>
      </c>
      <c r="BT111" s="32">
        <f>BR111-BS111</f>
        <v>68163</v>
      </c>
      <c r="BU111" s="37">
        <f>E111*BT111</f>
        <v>0</v>
      </c>
      <c r="BV111" s="53" t="s">
        <v>133</v>
      </c>
      <c r="BW111" s="54" cm="1">
        <f t="array" ref="BW111">IFERROR(VLOOKUP($A111,TRANSPOSE('[1]Fur 2 PLC'!$AR$1:$BV$38),8,0),0)</f>
        <v>0</v>
      </c>
      <c r="BX111" s="54" cm="1">
        <f t="array" ref="BX111">IFERROR(VLOOKUP($A111,TRANSPOSE('[1]Fur 2 PLC'!$AR$1:$BV$38),30,0),0)</f>
        <v>0</v>
      </c>
      <c r="BY111" s="54" cm="1">
        <f t="array" ref="BY111">IFERROR(VLOOKUP($A111,TRANSPOSE('[1]Fur 2 PLC'!$AR$1:$BV$38),14,0),0)</f>
        <v>0</v>
      </c>
      <c r="BZ111" s="54" cm="1">
        <f t="array" ref="BZ111">IFERROR(VLOOKUP($A111,TRANSPOSE('[1]Fur 2 PLC'!$AR$1:$BV$38),16,0),0)</f>
        <v>0</v>
      </c>
      <c r="CA111" s="54" cm="1">
        <f t="array" ref="CA111">IFERROR(VLOOKUP($A111,TRANSPOSE('[1]Fur 2 PLC'!$AR$1:$BV$38),9,0),0)</f>
        <v>0</v>
      </c>
      <c r="CB111" s="54" cm="1">
        <f t="array" ref="CB111">IFERROR(VLOOKUP($A111,TRANSPOSE('[1]Fur 2 PLC'!$AR$1:$BV$38),17,0),0)</f>
        <v>0</v>
      </c>
      <c r="CC111" s="54" cm="1">
        <f t="array" ref="CC111">IFERROR(VLOOKUP($A111,TRANSPOSE('[1]Fur 2 PLC'!$AR$1:$BV$38),20,0),0)</f>
        <v>0</v>
      </c>
      <c r="CD111" s="54" cm="1">
        <f t="array" ref="CD111">IFERROR(VLOOKUP($A111,TRANSPOSE('[1]Fur 2 PLC'!$AR$1:$BV$38),28,0),0)</f>
        <v>0</v>
      </c>
      <c r="CE111" s="54" cm="1">
        <f t="array" ref="CE111">IFERROR(VLOOKUP($A111,TRANSPOSE('[1]Fur 2 PLC'!$AR$1:$BV$38),13,0),0)</f>
        <v>0</v>
      </c>
      <c r="CF111" s="54" cm="1">
        <f t="array" ref="CF111">IFERROR(VLOOKUP($A111,TRANSPOSE('[1]Fur 2 PLC'!$AR$1:$BV$38),37,0),0)</f>
        <v>0</v>
      </c>
      <c r="CG111" s="54" cm="1">
        <f t="array" ref="CG111">IFERROR(VLOOKUP($A111,TRANSPOSE('[1]Fur 2 PLC'!$AR$1:$BV$38),6,0),0)</f>
        <v>0</v>
      </c>
      <c r="CH111" s="54" cm="1">
        <f t="array" ref="CH111">IFERROR(VLOOKUP($A111,TRANSPOSE('[1]Fur 2 PLC'!$AR$1:$BV$38),21,0),0)</f>
        <v>0</v>
      </c>
      <c r="CI111" s="54" cm="1">
        <f t="array" ref="CI111">IFERROR(VLOOKUP($A111,TRANSPOSE('[1]Fur 2 PLC'!$AR$1:$BV$38),12,0),0)</f>
        <v>0</v>
      </c>
      <c r="CJ111" s="54" cm="1">
        <f t="array" ref="CJ111">IFERROR(VLOOKUP($A111,TRANSPOSE('[1]Fur 2 PLC'!$AR$1:$BV$38),25,0),0)</f>
        <v>0</v>
      </c>
      <c r="CK111" s="54" cm="1">
        <f t="array" ref="CK111">IFERROR(VLOOKUP($A111,TRANSPOSE('[1]Fur 2 PLC'!$AR$1:$BV$38),26,0),0)</f>
        <v>0</v>
      </c>
      <c r="CL111" s="54" cm="1">
        <f t="array" ref="CL111">IFERROR(VLOOKUP($A111,TRANSPOSE('[1]Fur 2 PLC'!$AR$1:$BV$38),27,0),0)</f>
        <v>0</v>
      </c>
      <c r="CM111" s="54" cm="1">
        <f t="array" ref="CM111">IFERROR(VLOOKUP($A111,TRANSPOSE('[1]Fur 2 PLC'!$AR$1:$BV$38),22,0),0)</f>
        <v>0</v>
      </c>
      <c r="CN111" s="54"/>
      <c r="CO111" s="54" cm="1">
        <f t="array" ref="CO111">IFERROR(VLOOKUP($A111,TRANSPOSE('[1]Fur 2 PLC'!$AR$1:$BV$38),29,0),0)</f>
        <v>0</v>
      </c>
      <c r="CP111" s="54" cm="1">
        <f t="array" ref="CP111">IFERROR(VLOOKUP($A111,TRANSPOSE('[1]Fur 2 PLC'!$AR$1:$BV$38),10,0),0)</f>
        <v>0</v>
      </c>
      <c r="CQ111" s="54" cm="1">
        <f t="array" ref="CQ111">IFERROR(VLOOKUP($A111,TRANSPOSE('[1]Fur 2 PLC'!$AR$1:$BV$38),7,0),0)</f>
        <v>0</v>
      </c>
      <c r="CR111" s="54" cm="1">
        <f t="array" ref="CR111">IFERROR(VLOOKUP($A111,TRANSPOSE('[1]Fur 2 PLC'!$AR$1:$BV$38),35,0),0)</f>
        <v>0</v>
      </c>
      <c r="CS111" s="54" cm="1">
        <f t="array" ref="CS111">IFERROR(VLOOKUP($A111,TRANSPOSE('[1]Fur 2 PLC'!$AR$1:$BV$38),11,0),0)</f>
        <v>0</v>
      </c>
      <c r="CT111" s="54" cm="1">
        <f t="array" ref="CT111">IFERROR(VLOOKUP($A111,TRANSPOSE('[1]Fur 2 PLC'!$AR$1:$BV$38),19,0),0)</f>
        <v>0</v>
      </c>
      <c r="CU111" s="54" cm="1">
        <f t="array" ref="CU111">IFERROR(VLOOKUP($A111,TRANSPOSE('[1]Fur 2 PLC'!$AR$1:$BV$38),18,0),0)</f>
        <v>0</v>
      </c>
      <c r="CV111" s="54" cm="1">
        <f t="array" ref="CV111">IFERROR(VLOOKUP($A111,TRANSPOSE('[1]Fur 2 PLC'!$AR$1:$BV$38),15,0),0)</f>
        <v>0</v>
      </c>
      <c r="CW111" s="54" cm="1">
        <f t="array" ref="CW111">IFERROR(VLOOKUP($A111,TRANSPOSE('[1]Fur 2 PLC'!$CI$1:$DM$38),8,0),0)</f>
        <v>0</v>
      </c>
      <c r="CX111" s="54" cm="1">
        <f t="array" ref="CX111">IFERROR(VLOOKUP($A111,TRANSPOSE('[1]Fur 2 PLC'!$CI$1:$DM$38),30,0),0)</f>
        <v>0</v>
      </c>
      <c r="CY111" s="54" cm="1">
        <f t="array" ref="CY111">IFERROR(VLOOKUP($A111,TRANSPOSE('[1]Fur 2 PLC'!$CI$1:$DM$38),14,0),0)</f>
        <v>0</v>
      </c>
      <c r="CZ111" s="54" cm="1">
        <f t="array" ref="CZ111">IFERROR(VLOOKUP($A111,TRANSPOSE('[1]Fur 2 PLC'!$CI$1:$DM$38),16,0),0)</f>
        <v>0</v>
      </c>
      <c r="DA111" s="54" cm="1">
        <f t="array" ref="DA111">IFERROR(VLOOKUP($A111,TRANSPOSE('[1]Fur 2 PLC'!$CI$1:$DM$38),9,0),0)</f>
        <v>0</v>
      </c>
      <c r="DB111" s="55" cm="1">
        <f t="array" ref="DB111">IFERROR(VLOOKUP($A111,TRANSPOSE('[1]Fur 2 PLC'!$CI$1:$DM$38),17,0),0)</f>
        <v>0</v>
      </c>
      <c r="DC111" s="55" cm="1">
        <f t="array" ref="DC111">IFERROR(VLOOKUP($A111,TRANSPOSE('[1]Fur 2 PLC'!$CI$1:$DM$38),20,0),0)</f>
        <v>0</v>
      </c>
      <c r="DD111" s="54" cm="1">
        <f t="array" ref="DD111">IFERROR(VLOOKUP($A111,TRANSPOSE('[1]Fur 2 PLC'!$CI$1:$DM$38),28,0),0)</f>
        <v>0</v>
      </c>
      <c r="DE111" s="54" cm="1">
        <f t="array" ref="DE111">IFERROR(VLOOKUP($A111,TRANSPOSE('[1]Fur 2 PLC'!$CI$1:$DM$38),13,0),0)</f>
        <v>0</v>
      </c>
      <c r="DF111" s="54" cm="1">
        <f t="array" ref="DF111">IFERROR(VLOOKUP($A111,TRANSPOSE('[1]Fur 2 PLC'!$CI$1:$DM$38),37,0),0)</f>
        <v>0</v>
      </c>
      <c r="DG111" s="54" cm="1">
        <f t="array" ref="DG111">IFERROR(VLOOKUP($A111,TRANSPOSE('[1]Fur 2 PLC'!$CI$1:$DM$38),6,0),0)</f>
        <v>0</v>
      </c>
      <c r="DH111" s="54" cm="1">
        <f t="array" ref="DH111">IFERROR(VLOOKUP($A111,TRANSPOSE('[1]Fur 2 PLC'!$CI$1:$DM$38),21,0),0)</f>
        <v>0</v>
      </c>
      <c r="DI111" s="54" cm="1">
        <f t="array" ref="DI111">IFERROR(VLOOKUP($A111,TRANSPOSE('[1]Fur 2 PLC'!$CI$1:$DM$38),12,0),0)</f>
        <v>0</v>
      </c>
      <c r="DJ111" s="54" cm="1">
        <f t="array" ref="DJ111">IFERROR(VLOOKUP($A111,TRANSPOSE('[1]Fur 2 PLC'!$CI$1:$DM$38),25,0),0)</f>
        <v>0</v>
      </c>
      <c r="DK111" s="54" cm="1">
        <f t="array" ref="DK111">IFERROR(VLOOKUP($A111,TRANSPOSE('[1]Fur 2 PLC'!$CI$1:$DM$38),26,0),0)</f>
        <v>0</v>
      </c>
      <c r="DL111" s="54" cm="1">
        <f t="array" ref="DL111">IFERROR(VLOOKUP($A111,TRANSPOSE('[1]Fur 2 PLC'!$CI$1:$DM$38),27,0),0)</f>
        <v>0</v>
      </c>
      <c r="DM111" s="54" cm="1">
        <f t="array" ref="DM111">IFERROR(VLOOKUP($A111,TRANSPOSE('[1]Fur 2 PLC'!$CI$1:$DM$38),22,0),0)</f>
        <v>0</v>
      </c>
      <c r="DN111" s="54" cm="1">
        <f t="array" ref="DN111">IFERROR(VLOOKUP($A111,TRANSPOSE('[1]Fur 2 PLC'!$CI$1:$DM$38),19,0),0)</f>
        <v>0</v>
      </c>
      <c r="DO111" s="54" cm="1">
        <f t="array" ref="DO111">IFERROR(VLOOKUP($A111,TRANSPOSE('[1]Fur 2 PLC'!$CI$1:$DM$38),29,0),0)</f>
        <v>0</v>
      </c>
      <c r="DP111" s="54" cm="1">
        <f t="array" ref="DP111">IFERROR(VLOOKUP($A111,TRANSPOSE('[1]Fur 2 PLC'!$CI$1:$DM$38),10,0),0)</f>
        <v>0</v>
      </c>
      <c r="DQ111" s="54" cm="1">
        <f t="array" ref="DQ111">IFERROR(VLOOKUP($A111,TRANSPOSE('[1]Fur 2 PLC'!$CI$1:$DM$38),7,0),0)</f>
        <v>0</v>
      </c>
      <c r="DR111" s="54" cm="1">
        <f t="array" ref="DR111">IFERROR(VLOOKUP($A111,TRANSPOSE('[1]Fur 2 PLC'!$CI$1:$DM$38),35,0),0)</f>
        <v>0</v>
      </c>
      <c r="DS111" s="54" cm="1">
        <f t="array" ref="DS111">IFERROR(VLOOKUP($A111,TRANSPOSE('[1]Fur 2 PLC'!$CI$1:$DM$38),11,0),0)</f>
        <v>0</v>
      </c>
      <c r="DT111" s="54" cm="1">
        <f t="array" ref="DT111">IFERROR(VLOOKUP($A111,TRANSPOSE('[1]Fur 2 PLC'!$CI$1:$DM$38),19,0),0)</f>
        <v>0</v>
      </c>
      <c r="DU111" s="54" cm="1">
        <f t="array" ref="DU111">IFERROR(VLOOKUP($A111,TRANSPOSE('[1]Fur 2 PLC'!$CI$1:$DM$38),18,0),0)</f>
        <v>0</v>
      </c>
      <c r="DV111" s="54" cm="1">
        <f t="array" ref="DV111">IFERROR(VLOOKUP($A111,TRANSPOSE('[1]Fur 2 PLC'!$CI$1:$DM$38),15,0),0)</f>
        <v>0</v>
      </c>
      <c r="DW111" t="str">
        <f t="shared" ref="DW111:DW113" si="136">TEXT(C111,"Mmm-yy")</f>
        <v>Dec-25</v>
      </c>
    </row>
    <row r="112" spans="1:127" x14ac:dyDescent="0.3">
      <c r="A112" s="28" t="str">
        <f t="shared" si="59"/>
        <v>F346019</v>
      </c>
      <c r="B112" s="29" t="s">
        <v>28</v>
      </c>
      <c r="C112" s="30">
        <f>C111</f>
        <v>46019</v>
      </c>
      <c r="D112" s="29" t="str">
        <f>VLOOKUP($B112&amp;$C112,'[1]FC3 Prod'!$A$6:$BP$36,[2]Consolidated!D$1)</f>
        <v>Mr. Ajay Singh</v>
      </c>
      <c r="E112" s="29">
        <f>VLOOKUP($B112&amp;$C112,'[1]FC3 Prod'!$A$6:$BP$36,[2]Consolidated!E$1)</f>
        <v>0</v>
      </c>
      <c r="F112" s="31">
        <f>VLOOKUP($B112&amp;$C112,'[1]FC3 Prod'!$A$6:$BP$36,[2]Consolidated!F$1)</f>
        <v>0</v>
      </c>
      <c r="G112" s="32" t="e">
        <f>VLOOKUP($B112&amp;$C112,'[1]FC3 Prod'!$A$6:$BP$36,[2]Consolidated!G$1)</f>
        <v>#REF!</v>
      </c>
      <c r="H112" s="32">
        <f>VLOOKUP($B112&amp;$C112,'[1]FC3 Prod'!$A$6:$BP$36,[2]Consolidated!H$1)</f>
        <v>0</v>
      </c>
      <c r="I112" s="32">
        <f>VLOOKUP($B112&amp;$C112,'[1]FC3 Prod'!$A$6:$BP$36,[2]Consolidated!I$1)</f>
        <v>0</v>
      </c>
      <c r="J112" s="32">
        <f>VLOOKUP($B112&amp;$C112,'[1]FC3 Prod'!$A$6:$BP$36,[2]Consolidated!J$1)</f>
        <v>0</v>
      </c>
      <c r="K112" s="32">
        <f>VLOOKUP($B112&amp;$C112,'[1]FC3 Prod'!$A$6:$BP$36,[2]Consolidated!K$1)</f>
        <v>0</v>
      </c>
      <c r="L112" s="32">
        <f>VLOOKUP($B112&amp;$C112,'[1]FC3 Prod'!$A$6:$BP$36,[2]Consolidated!L$1)</f>
        <v>0</v>
      </c>
      <c r="M112" s="32">
        <f>VLOOKUP($B112&amp;$C112,'[1]FC3 Prod'!$A$6:$BP$36,[2]Consolidated!M$1)</f>
        <v>0</v>
      </c>
      <c r="N112" s="32">
        <f>VLOOKUP($B112&amp;$C112,'[1]FC3 Prod'!$A$6:$BP$36,[2]Consolidated!N$1)</f>
        <v>0</v>
      </c>
      <c r="O112" s="32">
        <f>VLOOKUP($B112&amp;$C112,'[1]FC3 Prod'!$A$6:$BP$36,[2]Consolidated!O$1)</f>
        <v>0</v>
      </c>
      <c r="P112" s="33">
        <f>VLOOKUP($B112&amp;$C112,'[1]FC3 Prod'!$A$6:$BP$36,[2]Consolidated!P$1)</f>
        <v>8</v>
      </c>
      <c r="Q112" s="29">
        <f>VLOOKUP($B112&amp;$C112,'[1]FC3 Prod'!$A$6:$BP$36,[2]Consolidated!Q$1)</f>
        <v>0</v>
      </c>
      <c r="R112" s="29">
        <f>VLOOKUP($B112&amp;$C112,'[1]FC3 Prod'!$A$6:$BP$36,[2]Consolidated!R$1)</f>
        <v>0</v>
      </c>
      <c r="S112" s="34" t="e">
        <f>VLOOKUP($B112&amp;$C112,'[1]FC3 Prod'!$A$6:$BP$36,[2]Consolidated!S$1)</f>
        <v>#REF!</v>
      </c>
      <c r="T112" s="34" t="e">
        <f>VLOOKUP($B112&amp;$C112,'[1]FC3 Prod'!$A$6:$BP$36,[2]Consolidated!T$1)</f>
        <v>#REF!</v>
      </c>
      <c r="U112" s="34" t="e">
        <f>VLOOKUP($B112&amp;$C112,'[1]FC3 Prod'!$A$6:$BP$36,[2]Consolidated!U$1)</f>
        <v>#REF!</v>
      </c>
      <c r="V112" s="34">
        <f>VLOOKUP($B112&amp;$C112,'[1]FC3 Prod'!$A$6:$BP$36,[2]Consolidated!V$1)</f>
        <v>0</v>
      </c>
      <c r="W112" s="35">
        <f>VLOOKUP($B112&amp;$C112,'[1]FC3 Prod'!$A$6:$BP$36,[2]Consolidated!W$1)</f>
        <v>0</v>
      </c>
      <c r="X112" s="35">
        <f>VLOOKUP($B112&amp;$C112,'[1]FC3 Prod'!$A$6:$BP$36,[2]Consolidated!X$1)</f>
        <v>0</v>
      </c>
      <c r="Y112" s="36">
        <f>VLOOKUP($B112&amp;$C112,'[1]FC3 Prod'!$A$6:$BP$36,[2]Consolidated!Y$1)</f>
        <v>0</v>
      </c>
      <c r="Z112" s="37" t="e">
        <f>VLOOKUP($B112&amp;$C112,'[1]FC3 Prod'!$A$6:$BP$36,[2]Consolidated!Z$1)</f>
        <v>#REF!</v>
      </c>
      <c r="AA112" s="31">
        <f>VLOOKUP($B112&amp;$C112,'[1]FC3 Prod'!$A$6:$BP$36,[2]Consolidated!AA$1)</f>
        <v>0</v>
      </c>
      <c r="AB112" s="31">
        <f>VLOOKUP($B112&amp;$C112,'[1]FC3 Prod'!$A$6:$BP$36,[2]Consolidated!AB$1)</f>
        <v>0</v>
      </c>
      <c r="AC112" s="31" t="e">
        <f>VLOOKUP($B112&amp;$C112,'[1]FC3 Prod'!$A$6:$BP$36,[2]Consolidated!AC$1)</f>
        <v>#REF!</v>
      </c>
      <c r="AD112" s="38">
        <f>VLOOKUP($B112&amp;$C112,'[1]FC3 Prod'!$A$6:$BP$36,[2]Consolidated!AD$1)</f>
        <v>0</v>
      </c>
      <c r="AE112" s="38">
        <f>VLOOKUP($B112&amp;$C112,'[1]FC3 Prod'!$A$6:$BP$36,[2]Consolidated!AE$1)</f>
        <v>0</v>
      </c>
      <c r="AF112" s="39">
        <f>VLOOKUP($B112&amp;$C112,'[1]FC3 Prod'!$A$6:$BP$36,[2]Consolidated!AF$1)</f>
        <v>0</v>
      </c>
      <c r="AG112" s="39">
        <f>VLOOKUP($B112&amp;$C112,'[1]FC3 Prod'!$A$6:$BP$36,[2]Consolidated!AG$1)</f>
        <v>0</v>
      </c>
      <c r="AH112" s="34">
        <f>VLOOKUP($B112&amp;$C112,'[1]FC3 Prod'!$A$6:$BP$36,[2]Consolidated!AH$1)</f>
        <v>0</v>
      </c>
      <c r="AI112" s="33">
        <f>VLOOKUP($B112&amp;$C112,'[1]FC3 Prod'!$A$6:$BP$36,[2]Consolidated!AI$1)</f>
        <v>0</v>
      </c>
      <c r="AJ112" s="39">
        <f>VLOOKUP($B112&amp;$C112,'[1]FC3 Prod'!$A$6:$BP$36,[2]Consolidated!AJ$1)</f>
        <v>0</v>
      </c>
      <c r="AK112" s="39">
        <f>VLOOKUP($B112&amp;$C112,'[1]FC3 Prod'!$A$6:$BP$36,[2]Consolidated!AK$1)</f>
        <v>0</v>
      </c>
      <c r="AL112" s="40" t="e">
        <f>VLOOKUP($B112&amp;$C112,'[1]FC3 Prod'!$A$6:$BP$36,[2]Consolidated!AL$1)</f>
        <v>#REF!</v>
      </c>
      <c r="AM112" s="41">
        <f>VLOOKUP($B112&amp;$C112,'[1]FC3 Prod'!$A$6:$BP$36,[2]Consolidated!AM$1)</f>
        <v>0</v>
      </c>
      <c r="AN112" s="42" t="e">
        <f>VLOOKUP($B112&amp;$C112,'[1]FC3 Prod'!$A$6:$BP$36,[2]Consolidated!AN$1)</f>
        <v>#REF!</v>
      </c>
      <c r="AO112" s="43" t="e">
        <f>VLOOKUP($B112&amp;$C112,'[1]FC3 Prod'!$A$6:$BP$36,[2]Consolidated!AO$1)</f>
        <v>#REF!</v>
      </c>
      <c r="AP112" s="44">
        <f>VLOOKUP($B112&amp;$C112,'[1]FC3 Prod'!$A$6:$BP$36,[2]Consolidated!AP$1)</f>
        <v>0</v>
      </c>
      <c r="AQ112" s="44">
        <f>VLOOKUP($B112&amp;$C112,'[1]FC3 Prod'!$A$6:$BP$36,[2]Consolidated!AQ$1)</f>
        <v>0</v>
      </c>
      <c r="AR112" s="45">
        <f>VLOOKUP($B112&amp;$C112,'[1]FC3 Prod'!$A$6:$BP$36,[2]Consolidated!AR$1)</f>
        <v>0</v>
      </c>
      <c r="AS112" s="46">
        <f>VLOOKUP($B112&amp;$C112,'[1]FC3 Prod'!$A$6:$BP$36,[2]Consolidated!AS$1)</f>
        <v>0</v>
      </c>
      <c r="AT112" s="29">
        <f>VLOOKUP($B112&amp;$C112,'[1]FC3 Prod'!$A$6:$BP$36,[2]Consolidated!AT$1)</f>
        <v>0</v>
      </c>
      <c r="AU112" s="34">
        <f>VLOOKUP($B112&amp;$C112,'[1]FC3 Prod'!$A$6:$BP$36,[2]Consolidated!AU$1)</f>
        <v>0</v>
      </c>
      <c r="AV112" s="34">
        <f>VLOOKUP($B112&amp;$C112,'[1]FC3 Prod'!$A$6:$BP$36,[2]Consolidated!AV$1)</f>
        <v>0</v>
      </c>
      <c r="AW112" s="47">
        <f>VLOOKUP($B112&amp;$C112,'[1]FC3 Prod'!$A$6:$BP$36,[2]Consolidated!AW$1)</f>
        <v>0</v>
      </c>
      <c r="AX112" s="47">
        <f>VLOOKUP($B112&amp;$C112,'[1]FC3 Prod'!$A$6:$BP$36,[2]Consolidated!AX$1)</f>
        <v>0</v>
      </c>
      <c r="AY112" s="48">
        <f>VLOOKUP($B112&amp;$C112,'[1]FC3 Prod'!$A$6:$BP$36,[2]Consolidated!AY$1)</f>
        <v>0</v>
      </c>
      <c r="AZ112" s="47">
        <f>VLOOKUP($B112&amp;$C112,'[1]FC3 Prod'!$A$6:$BP$36,[2]Consolidated!AZ$1)</f>
        <v>0</v>
      </c>
      <c r="BA112" s="47">
        <f>VLOOKUP($B112&amp;$C112,'[1]FC3 Prod'!$A$6:$BP$36,[2]Consolidated!BA$1)</f>
        <v>0</v>
      </c>
      <c r="BB112" s="47">
        <f>VLOOKUP($B112&amp;$C112,'[1]FC3 Prod'!$A$6:$BP$36,[2]Consolidated!BB$1)</f>
        <v>0</v>
      </c>
      <c r="BC112" s="47">
        <f>VLOOKUP($B112&amp;$C112,'[1]FC3 Prod'!$A$6:$BP$36,[2]Consolidated!BC$1)</f>
        <v>0</v>
      </c>
      <c r="BD112" s="49">
        <f>VLOOKUP($B112&amp;$C112,'[1]FC3 Prod'!$A$6:$BP$36,[2]Consolidated!BD$1)</f>
        <v>0</v>
      </c>
      <c r="BE112" s="47">
        <f>VLOOKUP($B112&amp;$C112,'[1]FC3 Prod'!$A$6:$BP$36,[2]Consolidated!BE$1)</f>
        <v>0</v>
      </c>
      <c r="BF112" s="47">
        <f>VLOOKUP($B112&amp;$C112,'[1]FC3 Prod'!$A$6:$BP$36,[2]Consolidated!BF$1)</f>
        <v>0</v>
      </c>
      <c r="BG112" s="50">
        <f>VLOOKUP($B112&amp;$C112,'[1]FC3 Prod'!$A$6:$BP$36,[2]Consolidated!BG$1)</f>
        <v>0</v>
      </c>
      <c r="BH112" s="50">
        <f>VLOOKUP($B112&amp;$C112,'[1]FC3 Prod'!$A$6:$BP$36,[2]Consolidated!BH$1)</f>
        <v>0</v>
      </c>
      <c r="BI112" s="50">
        <f>VLOOKUP($B112&amp;$C112,'[1]FC3 Prod'!$A$6:$BP$36,[2]Consolidated!BI$1)</f>
        <v>0</v>
      </c>
      <c r="BJ112" s="37" t="e">
        <f>VLOOKUP($B112&amp;$C112,'[1]FC3 Prod'!$A$6:$BP$36,[2]Consolidated!BJ$1)</f>
        <v>#REF!</v>
      </c>
      <c r="BK112" s="37" t="e">
        <f>VLOOKUP($B112&amp;$C112,'[1]FC3 Prod'!$A$6:$BP$36,[2]Consolidated!BK$1)</f>
        <v>#REF!</v>
      </c>
      <c r="BL112" s="37" t="e">
        <f>VLOOKUP($B112&amp;$C112,'[1]FC3 Prod'!$A$6:$BP$36,[2]Consolidated!BL$1)</f>
        <v>#REF!</v>
      </c>
      <c r="BM112" s="37" t="e">
        <f>VLOOKUP($B112&amp;$C112,'[1]FC3 Prod'!$A$6:$BP$36,[2]Consolidated!BM$1)</f>
        <v>#REF!</v>
      </c>
      <c r="BN112" s="37" t="e">
        <f>VLOOKUP($B112&amp;$C112,'[1]FC3 Prod'!$A$6:$BP$36,[2]Consolidated!BN$1)</f>
        <v>#REF!</v>
      </c>
      <c r="BO112" s="37" t="e">
        <f>VLOOKUP($B112&amp;$C112,'[1]FC3 Prod'!$A$6:$BP$36,[2]Consolidated!BO$1)</f>
        <v>#REF!</v>
      </c>
      <c r="BP112" s="37" t="e">
        <f>VLOOKUP($B112&amp;$C112,'[1]FC3 Prod'!$A$6:$BP$36,[2]Consolidated!BP$1)</f>
        <v>#REF!</v>
      </c>
      <c r="BQ112" s="51" t="e">
        <f>VLOOKUP($B112&amp;$C112,'[1]FC3 Prod'!$A$6:$BP$36,[2]Consolidated!BQ$1)</f>
        <v>#REF!</v>
      </c>
      <c r="BR112" s="51">
        <f>VLOOKUP($B112&amp;$C112,'[1]FC3 Prod'!$A$6:$BQ$36,[2]Consolidated!BR$1)</f>
        <v>60369</v>
      </c>
      <c r="BS112" s="52">
        <f t="shared" si="135"/>
        <v>0</v>
      </c>
      <c r="BT112" s="32">
        <f t="shared" ref="BT112:BT113" si="137">BR112-BS112</f>
        <v>60369</v>
      </c>
      <c r="BU112" s="37">
        <f t="shared" ref="BU112:BU113" si="138">E112*BT112</f>
        <v>0</v>
      </c>
      <c r="BV112" s="53" t="s">
        <v>133</v>
      </c>
      <c r="BW112" s="54" cm="1">
        <f t="array" ref="BW112">IFERROR(VLOOKUP($A112,TRANSPOSE('[1]Fur 3 PLC'!$AS$1:$BX$38),8,0),0)</f>
        <v>0</v>
      </c>
      <c r="BX112" s="54" cm="1">
        <f t="array" ref="BX112">IFERROR(VLOOKUP($A112,TRANSPOSE('[1]Fur 3 PLC'!$AS$1:$BX$38),30,0),0)</f>
        <v>0</v>
      </c>
      <c r="BY112" s="54" cm="1">
        <f t="array" ref="BY112">IFERROR(VLOOKUP($A112,TRANSPOSE('[1]Fur 3 PLC'!$AS$1:$BX$38),14,0),0)</f>
        <v>0</v>
      </c>
      <c r="BZ112" s="54" cm="1">
        <f t="array" ref="BZ112">IFERROR(VLOOKUP($A112,TRANSPOSE('[1]Fur 3 PLC'!$AS$1:$BX$38),16,0),0)</f>
        <v>0</v>
      </c>
      <c r="CA112" s="54" cm="1">
        <f t="array" ref="CA112">IFERROR(VLOOKUP($A112,TRANSPOSE('[1]Fur 3 PLC'!$AS$1:$BX$38),9,0),0)</f>
        <v>0</v>
      </c>
      <c r="CB112" s="54" cm="1">
        <f t="array" ref="CB112">IFERROR(VLOOKUP($A112,TRANSPOSE('[1]Fur 3 PLC'!$AS$1:$BX$38),17,0),0)</f>
        <v>0</v>
      </c>
      <c r="CC112" s="54" cm="1">
        <f t="array" ref="CC112">IFERROR(VLOOKUP($A112,TRANSPOSE('[1]Fur 3 PLC'!$AS$1:$BX$38),20,0),0)</f>
        <v>0</v>
      </c>
      <c r="CD112" s="54" cm="1">
        <f t="array" ref="CD112">IFERROR(VLOOKUP($A112,TRANSPOSE('[1]Fur 3 PLC'!$AS$1:$BX$38),28,0),0)</f>
        <v>0</v>
      </c>
      <c r="CE112" s="54" cm="1">
        <f t="array" ref="CE112">IFERROR(VLOOKUP($A112,TRANSPOSE('[1]Fur 3 PLC'!$AS$1:$BX$38),13,0),0)</f>
        <v>0</v>
      </c>
      <c r="CF112" s="54" cm="1">
        <f t="array" ref="CF112">IFERROR(VLOOKUP($A112,TRANSPOSE('[1]Fur 3 PLC'!$AS$1:$BX$38),37,0),0)</f>
        <v>0</v>
      </c>
      <c r="CG112" s="54" cm="1">
        <f t="array" ref="CG112">IFERROR(VLOOKUP($A112,TRANSPOSE('[1]Fur 3 PLC'!$AS$1:$BX$38),6,0),0)</f>
        <v>0</v>
      </c>
      <c r="CH112" s="54" cm="1">
        <f t="array" ref="CH112">IFERROR(VLOOKUP($A112,TRANSPOSE('[1]Fur 3 PLC'!$AS$1:$BX$38),21,0),0)</f>
        <v>0</v>
      </c>
      <c r="CI112" s="54" cm="1">
        <f t="array" ref="CI112">IFERROR(VLOOKUP($A112,TRANSPOSE('[1]Fur 3 PLC'!$AS$1:$BX$38),12,0),0)</f>
        <v>0</v>
      </c>
      <c r="CJ112" s="54" cm="1">
        <f t="array" ref="CJ112">IFERROR(VLOOKUP($A112,TRANSPOSE('[1]Fur 3 PLC'!$AS$1:$BX$38),25,0),0)</f>
        <v>0</v>
      </c>
      <c r="CK112" s="54" cm="1">
        <f t="array" ref="CK112">IFERROR(VLOOKUP($A112,TRANSPOSE('[1]Fur 3 PLC'!$AS$1:$BX$38),26,0),0)</f>
        <v>0</v>
      </c>
      <c r="CL112" s="54" cm="1">
        <f t="array" ref="CL112">IFERROR(VLOOKUP($A112,TRANSPOSE('[1]Fur 3 PLC'!$AS$1:$BX$38),27,0),0)</f>
        <v>0</v>
      </c>
      <c r="CM112" s="54" cm="1">
        <f t="array" ref="CM112">IFERROR(VLOOKUP($A112,TRANSPOSE('[1]Fur 3 PLC'!$AS$1:$BX$38),22,0),0)</f>
        <v>0</v>
      </c>
      <c r="CN112" s="54"/>
      <c r="CO112" s="54" cm="1">
        <f t="array" ref="CO112">IFERROR(VLOOKUP($A112,TRANSPOSE('[1]Fur 3 PLC'!$AS$1:$BX$38),29,0),0)</f>
        <v>0</v>
      </c>
      <c r="CP112" s="54" cm="1">
        <f t="array" ref="CP112">IFERROR(VLOOKUP($A112,TRANSPOSE('[1]Fur 3 PLC'!$AS$1:$BX$38),10,0),0)</f>
        <v>0</v>
      </c>
      <c r="CQ112" s="54" cm="1">
        <f t="array" ref="CQ112">IFERROR(VLOOKUP($A112,TRANSPOSE('[1]Fur 3 PLC'!$AS$1:$BX$38),7,0),0)</f>
        <v>0</v>
      </c>
      <c r="CR112" s="54" cm="1">
        <f t="array" ref="CR112">IFERROR(VLOOKUP($A112,TRANSPOSE('[1]Fur 3 PLC'!$AS$1:$BX$38),35,0),0)</f>
        <v>0</v>
      </c>
      <c r="CS112" s="54" cm="1">
        <f t="array" ref="CS112">IFERROR(VLOOKUP($A112,TRANSPOSE('[1]Fur 3 PLC'!$AS$1:$BX$38),11,0),0)</f>
        <v>0</v>
      </c>
      <c r="CT112" s="54" cm="1">
        <f t="array" ref="CT112">IFERROR(VLOOKUP($A112,TRANSPOSE('[1]Fur 3 PLC'!$AS$1:$BX$38),19,0),0)</f>
        <v>0</v>
      </c>
      <c r="CU112" s="54" cm="1">
        <f t="array" ref="CU112">IFERROR(VLOOKUP($A112,TRANSPOSE('[1]Fur 3 PLC'!$AS$1:$BX$38),18,0),0)</f>
        <v>0</v>
      </c>
      <c r="CV112" s="54" cm="1">
        <f t="array" ref="CV112">IFERROR(VLOOKUP($A112,TRANSPOSE('[1]Fur 3 PLC'!$AR$1:$BV$38),15,0),0)</f>
        <v>0</v>
      </c>
      <c r="CW112" s="54" cm="1">
        <f t="array" ref="CW112">IFERROR(VLOOKUP($A112,TRANSPOSE('[1]Fur 3 PLC'!$CK$1:$DO$38),8,0),0)</f>
        <v>0</v>
      </c>
      <c r="CX112" s="54" cm="1">
        <f t="array" ref="CX112">IFERROR(VLOOKUP($A112,TRANSPOSE('[1]Fur 3 PLC'!$CK$1:$DO$38),30,0),0)</f>
        <v>0</v>
      </c>
      <c r="CY112" s="54" cm="1">
        <f t="array" ref="CY112">IFERROR(VLOOKUP($A112,TRANSPOSE('[1]Fur 3 PLC'!$CK$1:$DO$38),14,0),0)</f>
        <v>0</v>
      </c>
      <c r="CZ112" s="54" cm="1">
        <f t="array" ref="CZ112">IFERROR(VLOOKUP($A112,TRANSPOSE('[1]Fur 3 PLC'!$CK$1:$DO$38),16,0),0)</f>
        <v>0</v>
      </c>
      <c r="DA112" s="54" cm="1">
        <f t="array" ref="DA112">IFERROR(VLOOKUP($A112,TRANSPOSE('[1]Fur 3 PLC'!$CK$1:$DO$38),9,0),0)</f>
        <v>0</v>
      </c>
      <c r="DB112" s="55" cm="1">
        <f t="array" ref="DB112">IFERROR(VLOOKUP($A112,TRANSPOSE('[1]Fur 3 PLC'!$CK$1:$DO$38),17,0),0)</f>
        <v>0</v>
      </c>
      <c r="DC112" s="55" cm="1">
        <f t="array" ref="DC112">IFERROR(VLOOKUP($A112,TRANSPOSE('[1]Fur 3 PLC'!$CK$1:$DO$38),20,0),0)</f>
        <v>0</v>
      </c>
      <c r="DD112" s="54" cm="1">
        <f t="array" ref="DD112">IFERROR(VLOOKUP($A112,TRANSPOSE('[1]Fur 3 PLC'!$CK$1:$DO$38),28,0),0)</f>
        <v>0</v>
      </c>
      <c r="DE112" s="54" cm="1">
        <f t="array" ref="DE112">IFERROR(VLOOKUP($A112,TRANSPOSE('[1]Fur 3 PLC'!$CK$1:$DO$38),13,0),0)</f>
        <v>0</v>
      </c>
      <c r="DF112" s="54" cm="1">
        <f t="array" ref="DF112">IFERROR(VLOOKUP($A112,TRANSPOSE('[1]Fur 3 PLC'!$CK$1:$DO$38),37,0),0)</f>
        <v>0</v>
      </c>
      <c r="DG112" s="54" cm="1">
        <f t="array" ref="DG112">IFERROR(VLOOKUP($A112,TRANSPOSE('[1]Fur 3 PLC'!$CK$1:$DO$38),6,0),0)</f>
        <v>0</v>
      </c>
      <c r="DH112" s="54" cm="1">
        <f t="array" ref="DH112">IFERROR(VLOOKUP($A112,TRANSPOSE('[1]Fur 3 PLC'!$CK$1:$DO$38),21,0),0)</f>
        <v>0</v>
      </c>
      <c r="DI112" s="54" cm="1">
        <f t="array" ref="DI112">IFERROR(VLOOKUP($A112,TRANSPOSE('[1]Fur 3 PLC'!$CK$1:$DO$38),12,0),0)</f>
        <v>0</v>
      </c>
      <c r="DJ112" s="54" cm="1">
        <f t="array" ref="DJ112">IFERROR(VLOOKUP($A112,TRANSPOSE('[1]Fur 3 PLC'!$CK$1:$DO$38),25,0),0)</f>
        <v>0</v>
      </c>
      <c r="DK112" s="54" cm="1">
        <f t="array" ref="DK112">IFERROR(VLOOKUP($A112,TRANSPOSE('[1]Fur 3 PLC'!$CK$1:$DO$38),26,0),0)</f>
        <v>0</v>
      </c>
      <c r="DL112" s="54" cm="1">
        <f t="array" ref="DL112">IFERROR(VLOOKUP($A112,TRANSPOSE('[1]Fur 3 PLC'!$CK$1:$DO$38),27,0),0)</f>
        <v>0</v>
      </c>
      <c r="DM112" s="54" cm="1">
        <f t="array" ref="DM112">IFERROR(VLOOKUP($A112,TRANSPOSE('[1]Fur 3 PLC'!$CK$1:$DO$38),22,0),0)</f>
        <v>0</v>
      </c>
      <c r="DN112" s="54" cm="1">
        <f t="array" ref="DN112">IFERROR(VLOOKUP($A112,TRANSPOSE('[1]Fur 3 PLC'!$CK$1:$DO$38),19,0),0)</f>
        <v>0</v>
      </c>
      <c r="DO112" s="54" cm="1">
        <f t="array" ref="DO112">IFERROR(VLOOKUP($A112,TRANSPOSE('[1]Fur 3 PLC'!$CK$1:$DO$38),29,0),0)</f>
        <v>0</v>
      </c>
      <c r="DP112" s="54" cm="1">
        <f t="array" ref="DP112">IFERROR(VLOOKUP($A112,TRANSPOSE('[1]Fur 3 PLC'!$CK$1:$DO$38),10,0),0)</f>
        <v>0</v>
      </c>
      <c r="DQ112" s="54" cm="1">
        <f t="array" ref="DQ112">IFERROR(VLOOKUP($A112,TRANSPOSE('[1]Fur 3 PLC'!$CK$1:$DO$38),7,0),0)</f>
        <v>0</v>
      </c>
      <c r="DR112" s="54" cm="1">
        <f t="array" ref="DR112">IFERROR(VLOOKUP($A112,TRANSPOSE('[1]Fur 3 PLC'!$CK$1:$DO$38),35,0),0)</f>
        <v>0</v>
      </c>
      <c r="DS112" s="54" cm="1">
        <f t="array" ref="DS112">IFERROR(VLOOKUP($A112,TRANSPOSE('[1]Fur 3 PLC'!$CK$1:$DO$38),11,0),0)</f>
        <v>0</v>
      </c>
      <c r="DT112" s="54" cm="1">
        <f t="array" ref="DT112">IFERROR(VLOOKUP($A112,TRANSPOSE('[1]Fur 3 PLC'!$CK$1:$DO$38),19,0),0)</f>
        <v>0</v>
      </c>
      <c r="DU112" s="54" cm="1">
        <f t="array" ref="DU112">IFERROR(VLOOKUP($A112,TRANSPOSE('[1]Fur 3 PLC'!$CK$1:$DO$38),18,0),0)</f>
        <v>0</v>
      </c>
      <c r="DV112" s="54" cm="1">
        <f t="array" ref="DV112">IFERROR(VLOOKUP($A112,TRANSPOSE('[1]Fur 3 PLC'!$CK$1:$DO$38),15,0),0)</f>
        <v>0</v>
      </c>
      <c r="DW112" t="str">
        <f t="shared" si="136"/>
        <v>Dec-25</v>
      </c>
    </row>
    <row r="113" spans="1:127" x14ac:dyDescent="0.3">
      <c r="A113" s="28" t="str">
        <f t="shared" si="59"/>
        <v>F446019</v>
      </c>
      <c r="B113" s="29" t="s">
        <v>29</v>
      </c>
      <c r="C113" s="30">
        <f>C112</f>
        <v>46019</v>
      </c>
      <c r="D113" s="29" t="str">
        <f>VLOOKUP($B113&amp;$C113,'[1]FC4 Prod'!$A$6:$BP$36,[2]Consolidated!D$1)</f>
        <v>Mr.Ganesh Ghosh Ji</v>
      </c>
      <c r="E113" s="29">
        <f>VLOOKUP($B113&amp;$C113,'[1]FC4 Prod'!$A$6:$BP$36,[2]Consolidated!E$1)</f>
        <v>0</v>
      </c>
      <c r="F113" s="31">
        <f>VLOOKUP($B113&amp;$C113,'[1]FC4 Prod'!$A$6:$BP$36,[2]Consolidated!F$1)</f>
        <v>0</v>
      </c>
      <c r="G113" s="32" t="e">
        <f>VLOOKUP($B113&amp;$C113,'[1]FC4 Prod'!$A$6:$BP$36,[2]Consolidated!G$1)</f>
        <v>#REF!</v>
      </c>
      <c r="H113" s="32">
        <f>VLOOKUP($B113&amp;$C113,'[1]FC4 Prod'!$A$6:$BP$36,[2]Consolidated!H$1)</f>
        <v>0</v>
      </c>
      <c r="I113" s="32">
        <f>VLOOKUP($B113&amp;$C113,'[1]FC4 Prod'!$A$6:$BP$36,[2]Consolidated!I$1)</f>
        <v>0</v>
      </c>
      <c r="J113" s="32">
        <f>VLOOKUP($B113&amp;$C113,'[1]FC4 Prod'!$A$6:$BP$36,[2]Consolidated!J$1)</f>
        <v>0</v>
      </c>
      <c r="K113" s="32">
        <f>VLOOKUP($B113&amp;$C113,'[1]FC4 Prod'!$A$6:$BP$36,[2]Consolidated!K$1)</f>
        <v>0</v>
      </c>
      <c r="L113" s="32">
        <f>VLOOKUP($B113&amp;$C113,'[1]FC4 Prod'!$A$6:$BP$36,[2]Consolidated!L$1)</f>
        <v>0</v>
      </c>
      <c r="M113" s="32">
        <f>VLOOKUP($B113&amp;$C113,'[1]FC4 Prod'!$A$6:$BP$36,[2]Consolidated!M$1)</f>
        <v>0</v>
      </c>
      <c r="N113" s="32">
        <f>VLOOKUP($B113&amp;$C113,'[1]FC4 Prod'!$A$6:$BP$36,[2]Consolidated!N$1)</f>
        <v>0</v>
      </c>
      <c r="O113" s="32">
        <f>VLOOKUP($B113&amp;$C113,'[1]FC4 Prod'!$A$6:$BP$36,[2]Consolidated!O$1)</f>
        <v>0</v>
      </c>
      <c r="P113" s="33">
        <f>VLOOKUP($B113&amp;$C113,'[1]FC4 Prod'!$A$6:$BP$36,[2]Consolidated!P$1)</f>
        <v>12</v>
      </c>
      <c r="Q113" s="29">
        <f>VLOOKUP($B113&amp;$C113,'[1]FC4 Prod'!$A$6:$BP$36,[2]Consolidated!Q$1)</f>
        <v>0</v>
      </c>
      <c r="R113" s="29">
        <f>VLOOKUP($B113&amp;$C113,'[1]FC4 Prod'!$A$6:$BP$36,[2]Consolidated!R$1)</f>
        <v>0</v>
      </c>
      <c r="S113" s="34" t="e">
        <f>VLOOKUP($B113&amp;$C113,'[1]FC4 Prod'!$A$6:$BP$36,[2]Consolidated!S$1)</f>
        <v>#REF!</v>
      </c>
      <c r="T113" s="34" t="e">
        <f>VLOOKUP($B113&amp;$C113,'[1]FC4 Prod'!$A$6:$BP$36,[2]Consolidated!T$1)</f>
        <v>#REF!</v>
      </c>
      <c r="U113" s="34" t="e">
        <f>VLOOKUP($B113&amp;$C113,'[1]FC4 Prod'!$A$6:$BP$36,[2]Consolidated!U$1)</f>
        <v>#REF!</v>
      </c>
      <c r="V113" s="34">
        <f>VLOOKUP($B113&amp;$C113,'[1]FC4 Prod'!$A$6:$BP$36,[2]Consolidated!V$1)</f>
        <v>0</v>
      </c>
      <c r="W113" s="35">
        <f>VLOOKUP($B113&amp;$C113,'[1]FC4 Prod'!$A$6:$BP$36,[2]Consolidated!W$1)</f>
        <v>0</v>
      </c>
      <c r="X113" s="35">
        <f>VLOOKUP($B113&amp;$C113,'[1]FC4 Prod'!$A$6:$BP$36,[2]Consolidated!X$1)</f>
        <v>0</v>
      </c>
      <c r="Y113" s="36">
        <f>VLOOKUP($B113&amp;$C113,'[1]FC4 Prod'!$A$6:$BP$36,[2]Consolidated!Y$1)</f>
        <v>0</v>
      </c>
      <c r="Z113" s="37" t="e">
        <f>VLOOKUP($B113&amp;$C113,'[1]FC4 Prod'!$A$6:$BP$36,[2]Consolidated!Z$1)</f>
        <v>#REF!</v>
      </c>
      <c r="AA113" s="31">
        <f>VLOOKUP($B113&amp;$C113,'[1]FC4 Prod'!$A$6:$BP$36,[2]Consolidated!AA$1)</f>
        <v>0</v>
      </c>
      <c r="AB113" s="31">
        <f>VLOOKUP($B113&amp;$C113,'[1]FC4 Prod'!$A$6:$BP$36,[2]Consolidated!AB$1)</f>
        <v>0</v>
      </c>
      <c r="AC113" s="31">
        <f>VLOOKUP($B113&amp;$C113,'[1]FC4 Prod'!$A$6:$BP$36,[2]Consolidated!AC$1)</f>
        <v>0</v>
      </c>
      <c r="AD113" s="38">
        <f>VLOOKUP($B113&amp;$C113,'[1]FC4 Prod'!$A$6:$BP$36,[2]Consolidated!AD$1)</f>
        <v>0</v>
      </c>
      <c r="AE113" s="38">
        <f>VLOOKUP($B113&amp;$C113,'[1]FC4 Prod'!$A$6:$BP$36,[2]Consolidated!AE$1)</f>
        <v>0</v>
      </c>
      <c r="AF113" s="39">
        <f>VLOOKUP($B113&amp;$C113,'[1]FC4 Prod'!$A$6:$BP$36,[2]Consolidated!AF$1)</f>
        <v>0</v>
      </c>
      <c r="AG113" s="39">
        <f>VLOOKUP($B113&amp;$C113,'[1]FC4 Prod'!$A$6:$BP$36,[2]Consolidated!AG$1)</f>
        <v>0</v>
      </c>
      <c r="AH113" s="34">
        <f>VLOOKUP($B113&amp;$C113,'[1]FC4 Prod'!$A$6:$BP$36,[2]Consolidated!AH$1)</f>
        <v>0</v>
      </c>
      <c r="AI113" s="33">
        <f>VLOOKUP($B113&amp;$C113,'[1]FC4 Prod'!$A$6:$BP$36,[2]Consolidated!AI$1)</f>
        <v>0</v>
      </c>
      <c r="AJ113" s="39">
        <f>VLOOKUP($B113&amp;$C113,'[1]FC4 Prod'!$A$6:$BP$36,[2]Consolidated!AJ$1)</f>
        <v>0</v>
      </c>
      <c r="AK113" s="39">
        <f>VLOOKUP($B113&amp;$C113,'[1]FC4 Prod'!$A$6:$BP$36,[2]Consolidated!AK$1)</f>
        <v>0</v>
      </c>
      <c r="AL113" s="40" t="e">
        <f>VLOOKUP($B113&amp;$C113,'[1]FC4 Prod'!$A$6:$BP$36,[2]Consolidated!AL$1)</f>
        <v>#REF!</v>
      </c>
      <c r="AM113" s="41">
        <f>VLOOKUP($B113&amp;$C113,'[1]FC4 Prod'!$A$6:$BP$36,[2]Consolidated!AM$1)</f>
        <v>0</v>
      </c>
      <c r="AN113" s="42" t="e">
        <f>VLOOKUP($B113&amp;$C113,'[1]FC4 Prod'!$A$6:$BP$36,[2]Consolidated!AN$1)</f>
        <v>#REF!</v>
      </c>
      <c r="AO113" s="43" t="e">
        <f>VLOOKUP($B113&amp;$C113,'[1]FC4 Prod'!$A$6:$BP$36,[2]Consolidated!AO$1)</f>
        <v>#REF!</v>
      </c>
      <c r="AP113" s="44">
        <f>VLOOKUP($B113&amp;$C113,'[1]FC4 Prod'!$A$6:$BP$36,[2]Consolidated!AP$1)</f>
        <v>0</v>
      </c>
      <c r="AQ113" s="44">
        <f>VLOOKUP($B113&amp;$C113,'[1]FC4 Prod'!$A$6:$BP$36,[2]Consolidated!AQ$1)</f>
        <v>0</v>
      </c>
      <c r="AR113" s="45">
        <f>VLOOKUP($B113&amp;$C113,'[1]FC4 Prod'!$A$6:$BP$36,[2]Consolidated!AR$1)</f>
        <v>0</v>
      </c>
      <c r="AS113" s="46">
        <f>VLOOKUP($B113&amp;$C113,'[1]FC4 Prod'!$A$6:$BP$36,[2]Consolidated!AS$1)</f>
        <v>0</v>
      </c>
      <c r="AT113" s="29">
        <f>VLOOKUP($B113&amp;$C113,'[1]FC4 Prod'!$A$6:$BP$36,[2]Consolidated!AT$1)</f>
        <v>0</v>
      </c>
      <c r="AU113" s="34">
        <f>VLOOKUP($B113&amp;$C113,'[1]FC4 Prod'!$A$6:$BP$36,[2]Consolidated!AU$1)</f>
        <v>0</v>
      </c>
      <c r="AV113" s="34">
        <f>VLOOKUP($B113&amp;$C113,'[1]FC4 Prod'!$A$6:$BP$36,[2]Consolidated!AV$1)</f>
        <v>0</v>
      </c>
      <c r="AW113" s="47">
        <f>VLOOKUP($B113&amp;$C113,'[1]FC4 Prod'!$A$6:$BP$36,[2]Consolidated!AW$1)</f>
        <v>0</v>
      </c>
      <c r="AX113" s="47">
        <f>VLOOKUP($B113&amp;$C113,'[1]FC4 Prod'!$A$6:$BP$36,[2]Consolidated!AX$1)</f>
        <v>0</v>
      </c>
      <c r="AY113" s="48">
        <f>VLOOKUP($B113&amp;$C113,'[1]FC4 Prod'!$A$6:$BP$36,[2]Consolidated!AY$1)</f>
        <v>0</v>
      </c>
      <c r="AZ113" s="47">
        <f>VLOOKUP($B113&amp;$C113,'[1]FC4 Prod'!$A$6:$BP$36,[2]Consolidated!AZ$1)</f>
        <v>0</v>
      </c>
      <c r="BA113" s="47">
        <f>VLOOKUP($B113&amp;$C113,'[1]FC4 Prod'!$A$6:$BP$36,[2]Consolidated!BA$1)</f>
        <v>0</v>
      </c>
      <c r="BB113" s="47">
        <f>VLOOKUP($B113&amp;$C113,'[1]FC4 Prod'!$A$6:$BP$36,[2]Consolidated!BB$1)</f>
        <v>0</v>
      </c>
      <c r="BC113" s="47">
        <f>VLOOKUP($B113&amp;$C113,'[1]FC4 Prod'!$A$6:$BP$36,[2]Consolidated!BC$1)</f>
        <v>0</v>
      </c>
      <c r="BD113" s="49">
        <f>VLOOKUP($B113&amp;$C113,'[1]FC4 Prod'!$A$6:$BP$36,[2]Consolidated!BD$1)</f>
        <v>0</v>
      </c>
      <c r="BE113" s="47">
        <f>VLOOKUP($B113&amp;$C113,'[1]FC4 Prod'!$A$6:$BP$36,[2]Consolidated!BE$1)</f>
        <v>0</v>
      </c>
      <c r="BF113" s="47">
        <f>VLOOKUP($B113&amp;$C113,'[1]FC4 Prod'!$A$6:$BP$36,[2]Consolidated!BF$1)</f>
        <v>0</v>
      </c>
      <c r="BG113" s="50">
        <f>VLOOKUP($B113&amp;$C113,'[1]FC4 Prod'!$A$6:$BP$36,[2]Consolidated!BG$1)</f>
        <v>0</v>
      </c>
      <c r="BH113" s="50">
        <f>VLOOKUP($B113&amp;$C113,'[1]FC4 Prod'!$A$6:$BP$36,[2]Consolidated!BH$1)</f>
        <v>0</v>
      </c>
      <c r="BI113" s="50">
        <f>VLOOKUP($B113&amp;$C113,'[1]FC4 Prod'!$A$6:$BP$36,[2]Consolidated!BI$1)</f>
        <v>0</v>
      </c>
      <c r="BJ113" s="37" t="e">
        <f>VLOOKUP($B113&amp;$C113,'[1]FC4 Prod'!$A$6:$BP$36,[2]Consolidated!BJ$1)</f>
        <v>#REF!</v>
      </c>
      <c r="BK113" s="37" t="e">
        <f>VLOOKUP($B113&amp;$C113,'[1]FC4 Prod'!$A$6:$BP$36,[2]Consolidated!BK$1)</f>
        <v>#REF!</v>
      </c>
      <c r="BL113" s="37" t="e">
        <f>VLOOKUP($B113&amp;$C113,'[1]FC4 Prod'!$A$6:$BP$36,[2]Consolidated!BL$1)</f>
        <v>#REF!</v>
      </c>
      <c r="BM113" s="37" t="e">
        <f>VLOOKUP($B113&amp;$C113,'[1]FC4 Prod'!$A$6:$BP$36,[2]Consolidated!BM$1)</f>
        <v>#REF!</v>
      </c>
      <c r="BN113" s="37" t="e">
        <f>VLOOKUP($B113&amp;$C113,'[1]FC4 Prod'!$A$6:$BP$36,[2]Consolidated!BN$1)</f>
        <v>#REF!</v>
      </c>
      <c r="BO113" s="37" t="e">
        <f>VLOOKUP($B113&amp;$C113,'[1]FC4 Prod'!$A$6:$BP$36,[2]Consolidated!BO$1)</f>
        <v>#REF!</v>
      </c>
      <c r="BP113" s="37" t="e">
        <f>VLOOKUP($B113&amp;$C113,'[1]FC4 Prod'!$A$6:$BP$36,[2]Consolidated!BP$1)</f>
        <v>#REF!</v>
      </c>
      <c r="BQ113" s="51" t="e">
        <f>VLOOKUP($B113&amp;$C113,'[1]FC4 Prod'!$A$6:$BP$36,[2]Consolidated!BQ$1)</f>
        <v>#REF!</v>
      </c>
      <c r="BR113" s="51">
        <f>VLOOKUP($B113&amp;$C113,'[1]FC4 Prod'!$A$6:$BQ$36,[2]Consolidated!BR$1)</f>
        <v>41644</v>
      </c>
      <c r="BS113" s="52">
        <f t="shared" ref="BS113" si="139">BE113+BF113*110%+BG113+BA113</f>
        <v>0</v>
      </c>
      <c r="BT113" s="32">
        <f t="shared" si="137"/>
        <v>41644</v>
      </c>
      <c r="BU113" s="37">
        <f t="shared" si="138"/>
        <v>0</v>
      </c>
      <c r="BV113" s="53" t="s">
        <v>133</v>
      </c>
      <c r="BW113" s="54" cm="1">
        <f t="array" ref="BW113">IFERROR(VLOOKUP($A113,TRANSPOSE('[1]Fur 4 PLC'!$AR$1:$BV$39),8,0),0)</f>
        <v>0</v>
      </c>
      <c r="BX113" s="54" cm="1">
        <f t="array" ref="BX113">IFERROR(VLOOKUP($A113,TRANSPOSE('[1]Fur 4 PLC'!$AR$1:$BV$39),30,0),0)</f>
        <v>0</v>
      </c>
      <c r="BY113" s="54" cm="1">
        <f t="array" ref="BY113">IFERROR(VLOOKUP($A113,TRANSPOSE('[1]Fur 4 PLC'!$AR$1:$BV$39),14,0),0)</f>
        <v>0</v>
      </c>
      <c r="BZ113" s="54" cm="1">
        <f t="array" ref="BZ113">IFERROR(VLOOKUP($A113,TRANSPOSE('[1]Fur 4 PLC'!$AR$1:$BV$39),16,0),0)</f>
        <v>0</v>
      </c>
      <c r="CA113" s="54" cm="1">
        <f t="array" ref="CA113">IFERROR(VLOOKUP($A113,TRANSPOSE('[1]Fur 4 PLC'!$AR$1:$BV$39),9,0),0)</f>
        <v>0</v>
      </c>
      <c r="CB113" s="54" cm="1">
        <f t="array" ref="CB113">IFERROR(VLOOKUP($A113,TRANSPOSE('[1]Fur 4 PLC'!$AR$1:$BV$39),17,0),0)</f>
        <v>0</v>
      </c>
      <c r="CC113" s="54" cm="1">
        <f t="array" ref="CC113">IFERROR(VLOOKUP($A113,TRANSPOSE('[1]Fur 4 PLC'!$AR$1:$BV$39),20,0),0)</f>
        <v>0</v>
      </c>
      <c r="CD113" s="54" cm="1">
        <f t="array" ref="CD113">IFERROR(VLOOKUP($A113,TRANSPOSE('[1]Fur 4 PLC'!$AR$1:$BV$39),28,0),0)</f>
        <v>0</v>
      </c>
      <c r="CE113" s="54" cm="1">
        <f t="array" ref="CE113">IFERROR(VLOOKUP($A113,TRANSPOSE('[1]Fur 4 PLC'!$AR$1:$BV$39),13,0),0)</f>
        <v>0</v>
      </c>
      <c r="CF113" s="54" cm="1">
        <f t="array" ref="CF113">IFERROR(VLOOKUP($A113,TRANSPOSE('[1]Fur 4 PLC'!$AR$1:$BV$39),37,0),0)</f>
        <v>0</v>
      </c>
      <c r="CG113" s="54" cm="1">
        <f t="array" ref="CG113">IFERROR(VLOOKUP($A113,TRANSPOSE('[1]Fur 4 PLC'!$AR$1:$BV$39),6,0),0)</f>
        <v>0</v>
      </c>
      <c r="CH113" s="54" cm="1">
        <f t="array" ref="CH113">IFERROR(VLOOKUP($A113,TRANSPOSE('[1]Fur 4 PLC'!$AR$1:$BV$39),21,0),0)</f>
        <v>0</v>
      </c>
      <c r="CI113" s="54" cm="1">
        <f t="array" ref="CI113">IFERROR(VLOOKUP($A113,TRANSPOSE('[1]Fur 4 PLC'!$AR$1:$BV$39),12,0),0)</f>
        <v>0</v>
      </c>
      <c r="CJ113" s="54" cm="1">
        <f t="array" ref="CJ113">IFERROR(VLOOKUP($A113,TRANSPOSE('[1]Fur 4 PLC'!$AR$1:$BV$39),25,0),0)</f>
        <v>0</v>
      </c>
      <c r="CK113" s="54" cm="1">
        <f t="array" ref="CK113">IFERROR(VLOOKUP($A113,TRANSPOSE('[1]Fur 4 PLC'!$AR$1:$BV$39),26,0),0)</f>
        <v>0</v>
      </c>
      <c r="CL113" s="54" cm="1">
        <f t="array" ref="CL113">IFERROR(VLOOKUP($A113,TRANSPOSE('[1]Fur 4 PLC'!$AR$1:$BV$39),27,0),0)</f>
        <v>0</v>
      </c>
      <c r="CM113" s="54" cm="1">
        <f t="array" ref="CM113">IFERROR(VLOOKUP($A113,TRANSPOSE('[1]Fur 4 PLC'!$AR$1:$BV$39),22,0),0)</f>
        <v>0</v>
      </c>
      <c r="CN113" s="54"/>
      <c r="CO113" s="54" cm="1">
        <f t="array" ref="CO113">IFERROR(VLOOKUP($A113,TRANSPOSE('[1]Fur 4 PLC'!$AR$1:$BV$39),29,0),0)</f>
        <v>0</v>
      </c>
      <c r="CP113" s="54" cm="1">
        <f t="array" ref="CP113">IFERROR(VLOOKUP($A113,TRANSPOSE('[1]Fur 4 PLC'!$AR$1:$BV$39),10,0),0)</f>
        <v>0</v>
      </c>
      <c r="CQ113" s="54" cm="1">
        <f t="array" ref="CQ113">IFERROR(VLOOKUP($A113,TRANSPOSE('[1]Fur 4 PLC'!$AR$1:$BV$39),7,0),0)</f>
        <v>0</v>
      </c>
      <c r="CR113" s="54" cm="1">
        <f t="array" ref="CR113">IFERROR(VLOOKUP($A113,TRANSPOSE('[1]Fur 4 PLC'!$AR$1:$BV$39),36,0),0)</f>
        <v>0</v>
      </c>
      <c r="CS113" s="54" cm="1">
        <f t="array" ref="CS113">IFERROR(VLOOKUP($A113,TRANSPOSE('[1]Fur 4 PLC'!$AR$1:$BV$39),11,0),0)</f>
        <v>0</v>
      </c>
      <c r="CT113" s="54" cm="1">
        <f t="array" ref="CT113">IFERROR(VLOOKUP($A113,TRANSPOSE('[1]Fur 4 PLC'!$AR$1:$BV$39),19,0),0)</f>
        <v>0</v>
      </c>
      <c r="CU113" s="54" cm="1">
        <f t="array" ref="CU113">IFERROR(VLOOKUP($A113,TRANSPOSE('[1]Fur 4 PLC'!$AR$1:$BV$39),18,0),0)</f>
        <v>0</v>
      </c>
      <c r="CV113" s="54" cm="1">
        <f t="array" ref="CV113">IFERROR(VLOOKUP($A113,TRANSPOSE('[1]Fur 4 PLC'!$AR$1:$BV$38),15,0),0)</f>
        <v>0</v>
      </c>
      <c r="CW113" s="54" cm="1">
        <f t="array" ref="CW113">IFERROR(VLOOKUP($A113,TRANSPOSE('[1]Fur 4 PLC'!$CK$1:$DO$39),8,0),0)</f>
        <v>0</v>
      </c>
      <c r="CX113" s="54" cm="1">
        <f t="array" ref="CX113">IFERROR(VLOOKUP($A113,TRANSPOSE('[1]Fur 4 PLC'!$CK$1:$DO$39),30,0),0)</f>
        <v>0</v>
      </c>
      <c r="CY113" s="54" cm="1">
        <f t="array" ref="CY113">IFERROR(VLOOKUP($A113,TRANSPOSE('[1]Fur 4 PLC'!$CK$1:$DO$39),14,0),0)</f>
        <v>0</v>
      </c>
      <c r="CZ113" s="54" cm="1">
        <f t="array" ref="CZ113">IFERROR(VLOOKUP($A113,TRANSPOSE('[1]Fur 4 PLC'!$CK$1:$DO$39),16,0),0)</f>
        <v>0</v>
      </c>
      <c r="DA113" s="54" cm="1">
        <f t="array" ref="DA113">IFERROR(VLOOKUP($A113,TRANSPOSE('[1]Fur 4 PLC'!$CK$1:$DO$39),9,0),0)</f>
        <v>0</v>
      </c>
      <c r="DB113" s="55" cm="1">
        <f t="array" ref="DB113">IFERROR(VLOOKUP($A113,TRANSPOSE('[1]Fur 4 PLC'!$CK$1:$DO$39),17,0),0)</f>
        <v>0</v>
      </c>
      <c r="DC113" s="55" cm="1">
        <f t="array" ref="DC113">IFERROR(VLOOKUP($A113,TRANSPOSE('[1]Fur 4 PLC'!$CK$1:$DO$39),20,0),0)</f>
        <v>0</v>
      </c>
      <c r="DD113" s="54" cm="1">
        <f t="array" ref="DD113">IFERROR(VLOOKUP($A113,TRANSPOSE('[1]Fur 4 PLC'!$CK$1:$DO$39),28,0),0)</f>
        <v>0</v>
      </c>
      <c r="DE113" s="54" cm="1">
        <f t="array" ref="DE113">IFERROR(VLOOKUP($A113,TRANSPOSE('[1]Fur 4 PLC'!$CK$1:$DO$39),13,0),0)</f>
        <v>0</v>
      </c>
      <c r="DF113" s="54" cm="1">
        <f t="array" ref="DF113">IFERROR(VLOOKUP($A113,TRANSPOSE('[1]Fur 4 PLC'!$CK$1:$DO$39),37,0),0)</f>
        <v>0</v>
      </c>
      <c r="DG113" s="54" cm="1">
        <f t="array" ref="DG113">IFERROR(VLOOKUP($A113,TRANSPOSE('[1]Fur 4 PLC'!$CK$1:$DO$39),6,0),0)</f>
        <v>0</v>
      </c>
      <c r="DH113" s="54" cm="1">
        <f t="array" ref="DH113">IFERROR(VLOOKUP($A113,TRANSPOSE('[1]Fur 4 PLC'!$CK$1:$DO$39),21,0),0)</f>
        <v>0</v>
      </c>
      <c r="DI113" s="54" cm="1">
        <f t="array" ref="DI113">IFERROR(VLOOKUP($A113,TRANSPOSE('[1]Fur 4 PLC'!$CK$1:$DO$39),12,0),0)</f>
        <v>0</v>
      </c>
      <c r="DJ113" s="54" cm="1">
        <f t="array" ref="DJ113">IFERROR(VLOOKUP($A113,TRANSPOSE('[1]Fur 4 PLC'!$CK$1:$DO$39),25,0),0)</f>
        <v>0</v>
      </c>
      <c r="DK113" s="54" cm="1">
        <f t="array" ref="DK113">IFERROR(VLOOKUP($A113,TRANSPOSE('[1]Fur 4 PLC'!$CK$1:$DO$39),26,0),0)</f>
        <v>0</v>
      </c>
      <c r="DL113" s="54" cm="1">
        <f t="array" ref="DL113">IFERROR(VLOOKUP($A113,TRANSPOSE('[1]Fur 4 PLC'!$CK$1:$DO$39),27,0),0)</f>
        <v>0</v>
      </c>
      <c r="DM113" s="54" cm="1">
        <f t="array" ref="DM113">IFERROR(VLOOKUP($A113,TRANSPOSE('[1]Fur 4 PLC'!$CK$1:$DO$39),22,0),0)</f>
        <v>0</v>
      </c>
      <c r="DN113" s="54" cm="1">
        <f t="array" ref="DN113">IFERROR(VLOOKUP($A113,TRANSPOSE('[1]Fur 4 PLC'!$CK$1:$DO$39),19,0),0)</f>
        <v>0</v>
      </c>
      <c r="DO113" s="54" cm="1">
        <f t="array" ref="DO113">IFERROR(VLOOKUP($A113,TRANSPOSE('[1]Fur 4 PLC'!$CK$1:$DO$39),29,0),0)</f>
        <v>0</v>
      </c>
      <c r="DP113" s="54" cm="1">
        <f t="array" ref="DP113">IFERROR(VLOOKUP($A113,TRANSPOSE('[1]Fur 4 PLC'!$CK$1:$DO$39),10,0),0)</f>
        <v>0</v>
      </c>
      <c r="DQ113" s="54" cm="1">
        <f t="array" ref="DQ113">IFERROR(VLOOKUP($A113,TRANSPOSE('[1]Fur 4 PLC'!$CK$1:$DO$39),7,0),0)</f>
        <v>0</v>
      </c>
      <c r="DR113" s="54" cm="1">
        <f t="array" ref="DR113">IFERROR(VLOOKUP($A113,TRANSPOSE('[1]Fur 4 PLC'!$CK$1:$DO$39),36,0),0)</f>
        <v>0</v>
      </c>
      <c r="DS113" s="54" cm="1">
        <f t="array" ref="DS113">IFERROR(VLOOKUP($A113,TRANSPOSE('[1]Fur 4 PLC'!$CK$1:$DO$39),11,0),0)</f>
        <v>0</v>
      </c>
      <c r="DT113" s="54" cm="1">
        <f t="array" ref="DT113">IFERROR(VLOOKUP($A113,TRANSPOSE('[1]Fur 4 PLC'!$CK$1:$DO$39),19,0),0)</f>
        <v>0</v>
      </c>
      <c r="DU113" s="54" cm="1">
        <f t="array" ref="DU113">IFERROR(VLOOKUP($A113,TRANSPOSE('[1]Fur 4 PLC'!$CK$1:$DO$39),18,0),0)</f>
        <v>0</v>
      </c>
      <c r="DV113" s="54" cm="1">
        <f t="array" ref="DV113">IFERROR(VLOOKUP($A113,TRANSPOSE('[1]Fur 4 PLC'!$CK$1:$DO$39),15,0),0)</f>
        <v>0</v>
      </c>
      <c r="DW113" t="str">
        <f t="shared" si="136"/>
        <v>Dec-25</v>
      </c>
    </row>
    <row r="114" spans="1:127" x14ac:dyDescent="0.3">
      <c r="A114" s="28" t="str">
        <f t="shared" ref="A114:A125" si="140">B114&amp;C114</f>
        <v>F146020</v>
      </c>
      <c r="B114" s="29" t="s">
        <v>26</v>
      </c>
      <c r="C114" s="30">
        <f>C110+1</f>
        <v>46020</v>
      </c>
      <c r="D114" s="29" t="str">
        <f>VLOOKUP($B114&amp;$C114,'[1]FC1 Prod'!$A$6:$BP$36,[2]Consolidated!D$1)</f>
        <v>Raju Singh</v>
      </c>
      <c r="E114" s="29">
        <f>VLOOKUP($B114&amp;$C114,'[1]FC1 Prod'!$A$6:$BP$36,[2]Consolidated!E$1)</f>
        <v>0</v>
      </c>
      <c r="F114" s="31">
        <f>VLOOKUP($B114&amp;$C114,'[1]FC1 Prod'!$A$6:$BP$36,[2]Consolidated!F$1)</f>
        <v>0</v>
      </c>
      <c r="G114" s="32" t="e">
        <f>VLOOKUP($B114&amp;$C114,'[1]FC1 Prod'!$A$6:$BP$36,[2]Consolidated!G$1)</f>
        <v>#REF!</v>
      </c>
      <c r="H114" s="32">
        <f>VLOOKUP($B114&amp;$C114,'[1]FC1 Prod'!$A$6:$BP$36,[2]Consolidated!H$1)</f>
        <v>0</v>
      </c>
      <c r="I114" s="32">
        <f>VLOOKUP($B114&amp;$C114,'[1]FC1 Prod'!$A$6:$BP$36,[2]Consolidated!I$1)</f>
        <v>0</v>
      </c>
      <c r="J114" s="32">
        <f>VLOOKUP($B114&amp;$C114,'[1]FC1 Prod'!$A$6:$BP$36,[2]Consolidated!J$1)</f>
        <v>0</v>
      </c>
      <c r="K114" s="32">
        <f>VLOOKUP($B114&amp;$C114,'[1]FC1 Prod'!$A$6:$BP$36,[2]Consolidated!K$1)</f>
        <v>0</v>
      </c>
      <c r="L114" s="32">
        <f>VLOOKUP($B114&amp;$C114,'[1]FC1 Prod'!$A$6:$BP$36,[2]Consolidated!L$1)</f>
        <v>0</v>
      </c>
      <c r="M114" s="32">
        <f>VLOOKUP($B114&amp;$C114,'[1]FC1 Prod'!$A$6:$BP$36,[2]Consolidated!M$1)</f>
        <v>0</v>
      </c>
      <c r="N114" s="32">
        <f>VLOOKUP($B114&amp;$C114,'[1]FC1 Prod'!$A$6:$BP$36,[2]Consolidated!N$1)</f>
        <v>0</v>
      </c>
      <c r="O114" s="32">
        <f>VLOOKUP($B114&amp;$C114,'[1]FC1 Prod'!$A$6:$BP$36,[2]Consolidated!O$1)</f>
        <v>0</v>
      </c>
      <c r="P114" s="33">
        <f>VLOOKUP($B114&amp;$C114,'[1]FC1 Prod'!$A$6:$BP$36,[2]Consolidated!P$1)</f>
        <v>8</v>
      </c>
      <c r="Q114" s="29">
        <f>VLOOKUP($B114&amp;$C114,'[1]FC1 Prod'!$A$6:$BP$36,[2]Consolidated!Q$1)</f>
        <v>0</v>
      </c>
      <c r="R114" s="29">
        <f>VLOOKUP($B114&amp;$C114,'[1]FC1 Prod'!$A$6:$BP$36,[2]Consolidated!R$1)</f>
        <v>0</v>
      </c>
      <c r="S114" s="34" t="e">
        <f>VLOOKUP($B114&amp;$C114,'[1]FC1 Prod'!$A$6:$BP$36,[2]Consolidated!S$1)</f>
        <v>#REF!</v>
      </c>
      <c r="T114" s="34" t="e">
        <f>VLOOKUP($B114&amp;$C114,'[1]FC1 Prod'!$A$6:$BP$36,[2]Consolidated!T$1)</f>
        <v>#REF!</v>
      </c>
      <c r="U114" s="34" t="e">
        <f>VLOOKUP($B114&amp;$C114,'[1]FC1 Prod'!$A$6:$BP$36,[2]Consolidated!U$1)</f>
        <v>#REF!</v>
      </c>
      <c r="V114" s="34">
        <f>VLOOKUP($B114&amp;$C114,'[1]FC1 Prod'!$A$6:$BP$36,[2]Consolidated!V$1)</f>
        <v>0</v>
      </c>
      <c r="W114" s="35">
        <f>VLOOKUP($B114&amp;$C114,'[1]FC1 Prod'!$A$6:$BP$36,[2]Consolidated!W$1)</f>
        <v>0</v>
      </c>
      <c r="X114" s="35">
        <f>VLOOKUP($B114&amp;$C114,'[1]FC1 Prod'!$A$6:$BP$36,[2]Consolidated!X$1)</f>
        <v>0</v>
      </c>
      <c r="Y114" s="36">
        <f>VLOOKUP($B114&amp;$C114,'[1]FC1 Prod'!$A$6:$BP$36,[2]Consolidated!Y$1)</f>
        <v>0</v>
      </c>
      <c r="Z114" s="37" t="e">
        <f>VLOOKUP($B114&amp;$C114,'[1]FC1 Prod'!$A$6:$BP$36,[2]Consolidated!Z$1)</f>
        <v>#REF!</v>
      </c>
      <c r="AA114" s="31">
        <f>VLOOKUP($B114&amp;$C114,'[1]FC1 Prod'!$A$6:$BP$36,[2]Consolidated!AA$1)</f>
        <v>0</v>
      </c>
      <c r="AB114" s="31">
        <f>VLOOKUP($B114&amp;$C114,'[1]FC1 Prod'!$A$6:$BP$36,[2]Consolidated!AB$1)</f>
        <v>0</v>
      </c>
      <c r="AC114" s="31">
        <f>VLOOKUP($B114&amp;$C114,'[1]FC1 Prod'!$A$6:$BP$36,[2]Consolidated!AC$1)</f>
        <v>0</v>
      </c>
      <c r="AD114" s="38">
        <f>VLOOKUP($B114&amp;$C114,'[1]FC1 Prod'!$A$6:$BP$36,[2]Consolidated!AD$1)</f>
        <v>0</v>
      </c>
      <c r="AE114" s="38">
        <f>VLOOKUP($B114&amp;$C114,'[1]FC1 Prod'!$A$6:$BP$36,[2]Consolidated!AE$1)</f>
        <v>0</v>
      </c>
      <c r="AF114" s="39">
        <f>VLOOKUP($B114&amp;$C114,'[1]FC1 Prod'!$A$6:$BP$36,[2]Consolidated!AF$1)</f>
        <v>0</v>
      </c>
      <c r="AG114" s="39">
        <f>VLOOKUP($B114&amp;$C114,'[1]FC1 Prod'!$A$6:$BP$36,[2]Consolidated!AG$1)</f>
        <v>0</v>
      </c>
      <c r="AH114" s="34">
        <f>VLOOKUP($B114&amp;$C114,'[1]FC1 Prod'!$A$6:$BP$36,[2]Consolidated!AH$1)</f>
        <v>0</v>
      </c>
      <c r="AI114" s="33">
        <f>VLOOKUP($B114&amp;$C114,'[1]FC1 Prod'!$A$6:$BP$36,[2]Consolidated!AI$1)</f>
        <v>0</v>
      </c>
      <c r="AJ114" s="39">
        <f>VLOOKUP($B114&amp;$C114,'[1]FC1 Prod'!$A$6:$BP$36,[2]Consolidated!AJ$1)</f>
        <v>0</v>
      </c>
      <c r="AK114" s="39">
        <f>VLOOKUP($B114&amp;$C114,'[1]FC1 Prod'!$A$6:$BP$36,[2]Consolidated!AK$1)</f>
        <v>0</v>
      </c>
      <c r="AL114" s="40" t="e">
        <f>VLOOKUP($B114&amp;$C114,'[1]FC1 Prod'!$A$6:$BP$36,[2]Consolidated!AL$1)</f>
        <v>#REF!</v>
      </c>
      <c r="AM114" s="41">
        <f>VLOOKUP($B114&amp;$C114,'[1]FC1 Prod'!$A$6:$BP$36,[2]Consolidated!AM$1)</f>
        <v>0</v>
      </c>
      <c r="AN114" s="42" t="e">
        <f>VLOOKUP($B114&amp;$C114,'[1]FC1 Prod'!$A$6:$BP$36,[2]Consolidated!AN$1)</f>
        <v>#REF!</v>
      </c>
      <c r="AO114" s="43" t="e">
        <f>VLOOKUP($B114&amp;$C114,'[1]FC1 Prod'!$A$6:$BP$36,[2]Consolidated!AO$1)</f>
        <v>#REF!</v>
      </c>
      <c r="AP114" s="44">
        <f>VLOOKUP($B114&amp;$C114,'[1]FC1 Prod'!$A$6:$BP$36,[2]Consolidated!AP$1)</f>
        <v>0</v>
      </c>
      <c r="AQ114" s="44">
        <f>VLOOKUP($B114&amp;$C114,'[1]FC1 Prod'!$A$6:$BP$36,[2]Consolidated!AQ$1)</f>
        <v>0</v>
      </c>
      <c r="AR114" s="45">
        <f>VLOOKUP($B114&amp;$C114,'[1]FC1 Prod'!$A$6:$BP$36,[2]Consolidated!AR$1)</f>
        <v>0</v>
      </c>
      <c r="AS114" s="46">
        <f>VLOOKUP($B114&amp;$C114,'[1]FC1 Prod'!$A$6:$BP$36,[2]Consolidated!AS$1)</f>
        <v>0</v>
      </c>
      <c r="AT114" s="29">
        <f>VLOOKUP($B114&amp;$C114,'[1]FC1 Prod'!$A$6:$BP$36,[2]Consolidated!AT$1)</f>
        <v>0</v>
      </c>
      <c r="AU114" s="34">
        <f>VLOOKUP($B114&amp;$C114,'[1]FC1 Prod'!$A$6:$BP$36,[2]Consolidated!AU$1)</f>
        <v>0</v>
      </c>
      <c r="AV114" s="34">
        <f>VLOOKUP($B114&amp;$C114,'[1]FC1 Prod'!$A$6:$BP$36,[2]Consolidated!AV$1)</f>
        <v>0</v>
      </c>
      <c r="AW114" s="47">
        <f>VLOOKUP($B114&amp;$C114,'[1]FC1 Prod'!$A$6:$BP$36,[2]Consolidated!AW$1)</f>
        <v>0</v>
      </c>
      <c r="AX114" s="47">
        <f>VLOOKUP($B114&amp;$C114,'[1]FC1 Prod'!$A$6:$BP$36,[2]Consolidated!AX$1)</f>
        <v>0</v>
      </c>
      <c r="AY114" s="48">
        <f>VLOOKUP($B114&amp;$C114,'[1]FC1 Prod'!$A$6:$BP$36,[2]Consolidated!AY$1)</f>
        <v>0</v>
      </c>
      <c r="AZ114" s="47">
        <f>VLOOKUP($B114&amp;$C114,'[1]FC1 Prod'!$A$6:$BP$36,[2]Consolidated!AZ$1)</f>
        <v>0</v>
      </c>
      <c r="BA114" s="47">
        <f>VLOOKUP($B114&amp;$C114,'[1]FC1 Prod'!$A$6:$BP$36,[2]Consolidated!BA$1)</f>
        <v>0</v>
      </c>
      <c r="BB114" s="47">
        <f>VLOOKUP($B114&amp;$C114,'[1]FC1 Prod'!$A$6:$BP$36,[2]Consolidated!BB$1)</f>
        <v>0</v>
      </c>
      <c r="BC114" s="47">
        <f>VLOOKUP($B114&amp;$C114,'[1]FC1 Prod'!$A$6:$BP$36,[2]Consolidated!BC$1)</f>
        <v>0</v>
      </c>
      <c r="BD114" s="49">
        <f>VLOOKUP($B114&amp;$C114,'[1]FC1 Prod'!$A$6:$BP$36,[2]Consolidated!BD$1)</f>
        <v>0</v>
      </c>
      <c r="BE114" s="47">
        <f>VLOOKUP($B114&amp;$C114,'[1]FC1 Prod'!$A$6:$BP$36,[2]Consolidated!BE$1)</f>
        <v>0</v>
      </c>
      <c r="BF114" s="47">
        <f>VLOOKUP($B114&amp;$C114,'[1]FC1 Prod'!$A$6:$BP$36,[2]Consolidated!BF$1)</f>
        <v>0</v>
      </c>
      <c r="BG114" s="50">
        <f>VLOOKUP($B114&amp;$C114,'[1]FC1 Prod'!$A$6:$BP$36,[2]Consolidated!BG$1)</f>
        <v>0</v>
      </c>
      <c r="BH114" s="50">
        <f>VLOOKUP($B114&amp;$C114,'[1]FC1 Prod'!$A$6:$BP$36,[2]Consolidated!BH$1)</f>
        <v>0</v>
      </c>
      <c r="BI114" s="50">
        <f>VLOOKUP($B114&amp;$C114,'[1]FC1 Prod'!$A$6:$BP$36,[2]Consolidated!BI$1)</f>
        <v>0</v>
      </c>
      <c r="BJ114" s="37" t="e">
        <f>VLOOKUP($B114&amp;$C114,'[1]FC1 Prod'!$A$6:$BP$36,[2]Consolidated!BJ$1)</f>
        <v>#REF!</v>
      </c>
      <c r="BK114" s="37" t="e">
        <f>VLOOKUP($B114&amp;$C114,'[1]FC1 Prod'!$A$6:$BP$36,[2]Consolidated!BK$1)</f>
        <v>#REF!</v>
      </c>
      <c r="BL114" s="37" t="e">
        <f>VLOOKUP($B114&amp;$C114,'[1]FC1 Prod'!$A$6:$BP$36,[2]Consolidated!BL$1)</f>
        <v>#REF!</v>
      </c>
      <c r="BM114" s="37" t="e">
        <f>VLOOKUP($B114&amp;$C114,'[1]FC1 Prod'!$A$6:$BP$36,[2]Consolidated!BM$1)</f>
        <v>#REF!</v>
      </c>
      <c r="BN114" s="37" t="e">
        <f>VLOOKUP($B114&amp;$C114,'[1]FC1 Prod'!$A$6:$BP$36,[2]Consolidated!BN$1)</f>
        <v>#REF!</v>
      </c>
      <c r="BO114" s="37" t="e">
        <f>VLOOKUP($B114&amp;$C114,'[1]FC1 Prod'!$A$6:$BP$36,[2]Consolidated!BO$1)</f>
        <v>#REF!</v>
      </c>
      <c r="BP114" s="37" t="e">
        <f>VLOOKUP($B114&amp;$C114,'[1]FC1 Prod'!$A$6:$BP$36,[2]Consolidated!BP$1)</f>
        <v>#REF!</v>
      </c>
      <c r="BQ114" s="51" t="e">
        <f>VLOOKUP($B114&amp;$C114,'[1]FC1 Prod'!$A$6:$BP$36,[2]Consolidated!BQ$1)</f>
        <v>#REF!</v>
      </c>
      <c r="BR114" s="51">
        <f>VLOOKUP($B114&amp;$C114,'[1]FC1 Prod'!$A$6:$BQ$36,[2]Consolidated!BR$1)</f>
        <v>69902</v>
      </c>
      <c r="BS114" s="52">
        <f t="shared" ref="BS114:BS116" si="141">BE114+BF114+BG114+BA114</f>
        <v>0</v>
      </c>
      <c r="BT114" s="32">
        <f>BR114-BS114</f>
        <v>69902</v>
      </c>
      <c r="BU114" s="37">
        <f>E114*BT114</f>
        <v>0</v>
      </c>
      <c r="BV114" s="53" t="s">
        <v>133</v>
      </c>
      <c r="BW114" s="54" cm="1">
        <f t="array" ref="BW114">IFERROR(VLOOKUP($A114,TRANSPOSE('[1]Fur 1 PLC'!$AR$1:$BV$38),8,0),0)</f>
        <v>0</v>
      </c>
      <c r="BX114" s="54" cm="1">
        <f t="array" ref="BX114">IFERROR(VLOOKUP($A114,TRANSPOSE('[1]Fur 1 PLC'!$AR$1:$BV$38),30,0),0)</f>
        <v>0</v>
      </c>
      <c r="BY114" s="54" cm="1">
        <f t="array" ref="BY114">IFERROR(VLOOKUP($A114,TRANSPOSE('[1]Fur 1 PLC'!$AR$1:$BV$38),14,0),0)</f>
        <v>0</v>
      </c>
      <c r="BZ114" s="54" cm="1">
        <f t="array" ref="BZ114">IFERROR(VLOOKUP($A114,TRANSPOSE('[1]Fur 1 PLC'!$AR$1:$BV$38),16,0),0)</f>
        <v>0</v>
      </c>
      <c r="CA114" s="54" cm="1">
        <f t="array" ref="CA114">IFERROR(VLOOKUP($A114,TRANSPOSE('[1]Fur 1 PLC'!$AR$1:$BV$38),9,0),0)</f>
        <v>0</v>
      </c>
      <c r="CB114" s="54" cm="1">
        <f t="array" ref="CB114">IFERROR(VLOOKUP($A114,TRANSPOSE('[1]Fur 1 PLC'!$AR$1:$BV$38),17,0),0)</f>
        <v>0</v>
      </c>
      <c r="CC114" s="54" cm="1">
        <f t="array" ref="CC114">IFERROR(VLOOKUP($A114,TRANSPOSE('[1]Fur 1 PLC'!$AR$1:$BV$38),20,0),0)</f>
        <v>0</v>
      </c>
      <c r="CD114" s="54" cm="1">
        <f t="array" ref="CD114">IFERROR(VLOOKUP($A114,TRANSPOSE('[1]Fur 1 PLC'!$AR$1:$BV$38),28,0),0)</f>
        <v>0</v>
      </c>
      <c r="CE114" s="54" cm="1">
        <f t="array" ref="CE114">IFERROR(VLOOKUP($A114,TRANSPOSE('[1]Fur 1 PLC'!$AR$1:$BV$38),13,0),0)</f>
        <v>0</v>
      </c>
      <c r="CF114" s="54" cm="1">
        <f t="array" ref="CF114">IFERROR(VLOOKUP($A114,TRANSPOSE('[1]Fur 1 PLC'!$AR$1:$BV$38),37,0),0)</f>
        <v>0</v>
      </c>
      <c r="CG114" s="54" cm="1">
        <f t="array" ref="CG114">IFERROR(VLOOKUP($A114,TRANSPOSE('[1]Fur 1 PLC'!$AR$1:$BV$38),6,0),0)</f>
        <v>0</v>
      </c>
      <c r="CH114" s="54" cm="1">
        <f t="array" ref="CH114">IFERROR(VLOOKUP($A114,TRANSPOSE('[1]Fur 1 PLC'!$AR$1:$BV$38),21,0),0)</f>
        <v>0</v>
      </c>
      <c r="CI114" s="54" cm="1">
        <f t="array" ref="CI114">IFERROR(VLOOKUP($A114,TRANSPOSE('[1]Fur 1 PLC'!$AR$1:$BV$38),12,0),0)</f>
        <v>0</v>
      </c>
      <c r="CJ114" s="54" cm="1">
        <f t="array" ref="CJ114">IFERROR(VLOOKUP($A114,TRANSPOSE('[1]Fur 1 PLC'!$AR$1:$BV$38),25,0),0)</f>
        <v>0</v>
      </c>
      <c r="CK114" s="54" cm="1">
        <f t="array" ref="CK114">IFERROR(VLOOKUP($A114,TRANSPOSE('[1]Fur 1 PLC'!$AR$1:$BV$38),26,0),0)</f>
        <v>0</v>
      </c>
      <c r="CL114" s="54" cm="1">
        <f t="array" ref="CL114">IFERROR(VLOOKUP($A114,TRANSPOSE('[1]Fur 1 PLC'!$AR$1:$BV$38),27,0),0)</f>
        <v>0</v>
      </c>
      <c r="CM114" s="54" cm="1">
        <f t="array" ref="CM114">IFERROR(VLOOKUP($A114,TRANSPOSE('[1]Fur 1 PLC'!$AR$1:$BV$38),22,0),0)</f>
        <v>0</v>
      </c>
      <c r="CN114" s="54"/>
      <c r="CO114" s="54" cm="1">
        <f t="array" ref="CO114">IFERROR(VLOOKUP($A114,TRANSPOSE('[1]Fur 1 PLC'!$AR$1:$BV$38),29,0),0)</f>
        <v>0</v>
      </c>
      <c r="CP114" s="54" cm="1">
        <f t="array" ref="CP114">IFERROR(VLOOKUP($A114,TRANSPOSE('[1]Fur 1 PLC'!$AR$1:$BV$38),10,0),0)</f>
        <v>0</v>
      </c>
      <c r="CQ114" s="54" cm="1">
        <f t="array" ref="CQ114">IFERROR(VLOOKUP($A114,TRANSPOSE('[1]Fur 1 PLC'!$AR$1:$BV$38),7,0),0)</f>
        <v>0</v>
      </c>
      <c r="CR114" s="54" cm="1">
        <f t="array" ref="CR114">IFERROR(VLOOKUP($A114,TRANSPOSE('[1]Fur 1 PLC'!$AR$1:$BV$38),35,0),0)</f>
        <v>0</v>
      </c>
      <c r="CS114" s="54" cm="1">
        <f t="array" ref="CS114">IFERROR(VLOOKUP($A114,TRANSPOSE('[1]Fur 1 PLC'!$AR$1:$BV$38),11,0),0)</f>
        <v>0</v>
      </c>
      <c r="CT114" s="54" cm="1">
        <f t="array" ref="CT114">IFERROR(VLOOKUP($A114,TRANSPOSE('[1]Fur 1 PLC'!$AR$1:$BV$38),19,0),0)</f>
        <v>0</v>
      </c>
      <c r="CU114" s="54" cm="1">
        <f t="array" ref="CU114">IFERROR(VLOOKUP($A114,TRANSPOSE('[1]Fur 1 PLC'!$AR$1:$BV$38),18,0),0)</f>
        <v>0</v>
      </c>
      <c r="CV114" s="54" cm="1">
        <f t="array" ref="CV114">IFERROR(VLOOKUP($A114,TRANSPOSE('[1]Fur 1 PLC'!$AR$1:$BV$38),15,0),0)</f>
        <v>0</v>
      </c>
      <c r="CW114" s="54" cm="1">
        <f t="array" ref="CW114">IFERROR(VLOOKUP($A114,TRANSPOSE('[1]Fur 1 PLC'!$CL$1:$DP$38),8,0),0)</f>
        <v>0</v>
      </c>
      <c r="CX114" s="54" cm="1">
        <f t="array" ref="CX114">IFERROR(VLOOKUP($A114,TRANSPOSE('[1]Fur 1 PLC'!$CL$1:$DP$38),30,0),0)</f>
        <v>0</v>
      </c>
      <c r="CY114" s="54" cm="1">
        <f t="array" ref="CY114">IFERROR(VLOOKUP($A114,TRANSPOSE('[1]Fur 1 PLC'!$CL$1:$DP$38),14,0),0)</f>
        <v>0</v>
      </c>
      <c r="CZ114" s="54" cm="1">
        <f t="array" ref="CZ114">IFERROR(VLOOKUP($A114,TRANSPOSE('[1]Fur 1 PLC'!$CL$1:$DP$38),16,0),0)</f>
        <v>0</v>
      </c>
      <c r="DA114" s="54" cm="1">
        <f t="array" ref="DA114">IFERROR(VLOOKUP($A114,TRANSPOSE('[1]Fur 1 PLC'!$CL$1:$DP$38),9,0),0)</f>
        <v>0</v>
      </c>
      <c r="DB114" s="55" cm="1">
        <f t="array" ref="DB114">IFERROR(VLOOKUP($A114,TRANSPOSE('[1]Fur 1 PLC'!$CL$1:$DP$38),17,0),0)</f>
        <v>0</v>
      </c>
      <c r="DC114" s="55" cm="1">
        <f t="array" ref="DC114">IFERROR(VLOOKUP($A114,TRANSPOSE('[1]Fur 1 PLC'!$CL$1:$DP$38),20,0),0)</f>
        <v>0</v>
      </c>
      <c r="DD114" s="54" cm="1">
        <f t="array" ref="DD114">IFERROR(VLOOKUP($A114,TRANSPOSE('[1]Fur 1 PLC'!$CL$1:$DP$38),28,0),0)</f>
        <v>0</v>
      </c>
      <c r="DE114" s="54" cm="1">
        <f t="array" ref="DE114">IFERROR(VLOOKUP($A114,TRANSPOSE('[1]Fur 1 PLC'!$CL$1:$DP$38),13,0),0)</f>
        <v>0</v>
      </c>
      <c r="DF114" s="54" cm="1">
        <f t="array" ref="DF114">IFERROR(VLOOKUP($A114,TRANSPOSE('[1]Fur 1 PLC'!$CL$1:$DP$38),37,0),0)</f>
        <v>0</v>
      </c>
      <c r="DG114" s="54" cm="1">
        <f t="array" ref="DG114">IFERROR(VLOOKUP($A114,TRANSPOSE('[1]Fur 1 PLC'!$CL$1:$DP$38),6,0),0)</f>
        <v>0</v>
      </c>
      <c r="DH114" s="54" cm="1">
        <f t="array" ref="DH114">IFERROR(VLOOKUP($A114,TRANSPOSE('[1]Fur 1 PLC'!$CL$1:$DP$38),21,0),0)</f>
        <v>0</v>
      </c>
      <c r="DI114" s="54" cm="1">
        <f t="array" ref="DI114">IFERROR(VLOOKUP($A114,TRANSPOSE('[1]Fur 1 PLC'!$CL$1:$DP$38),12,0),0)</f>
        <v>0</v>
      </c>
      <c r="DJ114" s="54" cm="1">
        <f t="array" ref="DJ114">IFERROR(VLOOKUP($A114,TRANSPOSE('[1]Fur 1 PLC'!$CL$1:$DP$38),25,0),0)</f>
        <v>0</v>
      </c>
      <c r="DK114" s="54" cm="1">
        <f t="array" ref="DK114">IFERROR(VLOOKUP($A114,TRANSPOSE('[1]Fur 1 PLC'!$CL$1:$DP$38),26,0),0)</f>
        <v>0</v>
      </c>
      <c r="DL114" s="54" cm="1">
        <f t="array" ref="DL114">IFERROR(VLOOKUP($A114,TRANSPOSE('[1]Fur 1 PLC'!$CL$1:$DP$38),27,0),0)</f>
        <v>0</v>
      </c>
      <c r="DM114" s="54" cm="1">
        <f t="array" ref="DM114">IFERROR(VLOOKUP($A114,TRANSPOSE('[1]Fur 1 PLC'!$CL$1:$DP$38),22,0),0)</f>
        <v>0</v>
      </c>
      <c r="DN114" s="54" cm="1">
        <f t="array" ref="DN114">IFERROR(VLOOKUP($A114,TRANSPOSE('[1]Fur 1 PLC'!$CL$1:$DP$38),19,0),0)</f>
        <v>0</v>
      </c>
      <c r="DO114" s="54" cm="1">
        <f t="array" ref="DO114">IFERROR(VLOOKUP($A114,TRANSPOSE('[1]Fur 1 PLC'!$CL$1:$DP$38),29,0),0)</f>
        <v>0</v>
      </c>
      <c r="DP114" s="54" cm="1">
        <f t="array" ref="DP114">IFERROR(VLOOKUP($A114,TRANSPOSE('[1]Fur 1 PLC'!$CL$1:$DP$38),10,0),0)</f>
        <v>0</v>
      </c>
      <c r="DQ114" s="54" cm="1">
        <f t="array" ref="DQ114">IFERROR(VLOOKUP($A114,TRANSPOSE('[1]Fur 1 PLC'!$CL$1:$DP$38),7,0),0)</f>
        <v>0</v>
      </c>
      <c r="DR114" s="54" cm="1">
        <f t="array" ref="DR114">IFERROR(VLOOKUP($A114,TRANSPOSE('[1]Fur 1 PLC'!$CL$1:$DP$38),35,0),0)</f>
        <v>0</v>
      </c>
      <c r="DS114" s="54" cm="1">
        <f t="array" ref="DS114">IFERROR(VLOOKUP($A114,TRANSPOSE('[1]Fur 1 PLC'!$CL$1:$DP$38),11,0),0)</f>
        <v>0</v>
      </c>
      <c r="DT114" s="54" cm="1">
        <f t="array" ref="DT114">IFERROR(VLOOKUP($A114,TRANSPOSE('[1]Fur 1 PLC'!$CL$1:$DP$38),19,0),0)</f>
        <v>0</v>
      </c>
      <c r="DU114" s="54" cm="1">
        <f t="array" ref="DU114">IFERROR(VLOOKUP($A114,TRANSPOSE('[1]Fur 1 PLC'!$CL$1:$DP$38),18,0),0)</f>
        <v>0</v>
      </c>
      <c r="DV114" s="54" cm="1">
        <f t="array" ref="DV114">IFERROR(VLOOKUP($A114,TRANSPOSE('[1]Fur 1 PLC'!$CL$1:$DP$38),15,0),0)</f>
        <v>0</v>
      </c>
      <c r="DW114" t="str">
        <f>TEXT(C114,"Mmm-yy")</f>
        <v>Dec-25</v>
      </c>
    </row>
    <row r="115" spans="1:127" x14ac:dyDescent="0.3">
      <c r="A115" s="28" t="str">
        <f t="shared" si="140"/>
        <v>F246020</v>
      </c>
      <c r="B115" s="29" t="s">
        <v>27</v>
      </c>
      <c r="C115" s="30">
        <f>C114</f>
        <v>46020</v>
      </c>
      <c r="D115" s="29" t="str">
        <f>VLOOKUP($B115&amp;$C115,'[1]FC2 Prod'!$A$6:$BP$36,[2]Consolidated!D$1)</f>
        <v>Mr. Girish Malik</v>
      </c>
      <c r="E115" s="29">
        <f>VLOOKUP($B115&amp;$C115,'[1]FC2 Prod'!$A$6:$BP$36,[2]Consolidated!E$1)</f>
        <v>0</v>
      </c>
      <c r="F115" s="29">
        <f>VLOOKUP($B115&amp;$C115,'[1]FC2 Prod'!$A$6:$BP$36,[2]Consolidated!F$1)</f>
        <v>0</v>
      </c>
      <c r="G115" s="29" t="e">
        <f>VLOOKUP($B115&amp;$C115,'[1]FC2 Prod'!$A$6:$BP$36,[2]Consolidated!G$1)</f>
        <v>#REF!</v>
      </c>
      <c r="H115" s="32">
        <f>VLOOKUP($B115&amp;$C115,'[1]FC2 Prod'!$A$6:$BP$36,[2]Consolidated!H$1)</f>
        <v>0</v>
      </c>
      <c r="I115" s="32">
        <f>VLOOKUP($B115&amp;$C115,'[1]FC2 Prod'!$A$6:$BP$36,[2]Consolidated!I$1)</f>
        <v>0</v>
      </c>
      <c r="J115" s="32">
        <f>VLOOKUP($B115&amp;$C115,'[1]FC2 Prod'!$A$6:$BP$36,[2]Consolidated!J$1)</f>
        <v>0</v>
      </c>
      <c r="K115" s="32">
        <f>VLOOKUP($B115&amp;$C115,'[1]FC2 Prod'!$A$6:$BP$36,[2]Consolidated!K$1)</f>
        <v>0</v>
      </c>
      <c r="L115" s="32">
        <f>VLOOKUP($B115&amp;$C115,'[1]FC2 Prod'!$A$6:$BP$36,[2]Consolidated!L$1)</f>
        <v>0</v>
      </c>
      <c r="M115" s="32">
        <f>VLOOKUP($B115&amp;$C115,'[1]FC2 Prod'!$A$6:$BP$36,[2]Consolidated!M$1)</f>
        <v>0</v>
      </c>
      <c r="N115" s="32">
        <f>VLOOKUP($B115&amp;$C115,'[1]FC2 Prod'!$A$6:$BP$36,[2]Consolidated!N$1)</f>
        <v>0</v>
      </c>
      <c r="O115" s="32">
        <f>VLOOKUP($B115&amp;$C115,'[1]FC2 Prod'!$A$6:$BP$36,[2]Consolidated!O$1)</f>
        <v>0</v>
      </c>
      <c r="P115" s="34">
        <f>VLOOKUP($B115&amp;$C115,'[1]FC2 Prod'!$A$6:$BP$36,[2]Consolidated!P$1)</f>
        <v>10</v>
      </c>
      <c r="Q115" s="29">
        <f>VLOOKUP($B115&amp;$C115,'[1]FC2 Prod'!$A$6:$BP$36,[2]Consolidated!Q$1)</f>
        <v>0</v>
      </c>
      <c r="R115" s="29">
        <f>VLOOKUP($B115&amp;$C115,'[1]FC2 Prod'!$A$6:$BP$36,[2]Consolidated!R$1)</f>
        <v>0</v>
      </c>
      <c r="S115" s="34" t="e">
        <f>VLOOKUP($B115&amp;$C115,'[1]FC2 Prod'!$A$6:$BP$36,[2]Consolidated!S$1)</f>
        <v>#REF!</v>
      </c>
      <c r="T115" s="34" t="e">
        <f>VLOOKUP($B115&amp;$C115,'[1]FC2 Prod'!$A$6:$BP$36,[2]Consolidated!T$1)</f>
        <v>#REF!</v>
      </c>
      <c r="U115" s="34" t="e">
        <f>VLOOKUP($B115&amp;$C115,'[1]FC2 Prod'!$A$6:$BP$36,[2]Consolidated!U$1)</f>
        <v>#REF!</v>
      </c>
      <c r="V115" s="34">
        <f>VLOOKUP($B115&amp;$C115,'[1]FC2 Prod'!$A$6:$BP$36,[2]Consolidated!V$1)</f>
        <v>0</v>
      </c>
      <c r="W115" s="29">
        <f>VLOOKUP($B115&amp;$C115,'[1]FC2 Prod'!$A$6:$BP$36,[2]Consolidated!W$1)</f>
        <v>0</v>
      </c>
      <c r="X115" s="35">
        <f>VLOOKUP($B115&amp;$C115,'[1]FC2 Prod'!$A$6:$BP$36,[2]Consolidated!X$1)</f>
        <v>0</v>
      </c>
      <c r="Y115" s="36">
        <f>VLOOKUP($B115&amp;$C115,'[1]FC2 Prod'!$A$6:$BP$36,[2]Consolidated!Y$1)</f>
        <v>0</v>
      </c>
      <c r="Z115" s="37" t="e">
        <f>VLOOKUP($B115&amp;$C115,'[1]FC2 Prod'!$A$6:$BP$36,[2]Consolidated!Z$1)</f>
        <v>#REF!</v>
      </c>
      <c r="AA115" s="31">
        <f>VLOOKUP($B115&amp;$C115,'[1]FC2 Prod'!$A$6:$BP$36,[2]Consolidated!AA$1)</f>
        <v>0</v>
      </c>
      <c r="AB115" s="31">
        <f>VLOOKUP($B115&amp;$C115,'[1]FC2 Prod'!$A$6:$BP$36,[2]Consolidated!AB$1)</f>
        <v>0</v>
      </c>
      <c r="AC115" s="31">
        <f>VLOOKUP($B115&amp;$C115,'[1]FC2 Prod'!$A$6:$BP$36,[2]Consolidated!AC$1)</f>
        <v>0</v>
      </c>
      <c r="AD115" s="38">
        <f>VLOOKUP($B115&amp;$C115,'[1]FC2 Prod'!$A$6:$BP$36,[2]Consolidated!AD$1)</f>
        <v>0</v>
      </c>
      <c r="AE115" s="38">
        <f>VLOOKUP($B115&amp;$C115,'[1]FC2 Prod'!$A$6:$BP$36,[2]Consolidated!AE$1)</f>
        <v>0</v>
      </c>
      <c r="AF115" s="39">
        <f>VLOOKUP($B115&amp;$C115,'[1]FC2 Prod'!$A$6:$BP$36,[2]Consolidated!AF$1)</f>
        <v>0</v>
      </c>
      <c r="AG115" s="39">
        <f>VLOOKUP($B115&amp;$C115,'[1]FC2 Prod'!$A$6:$BP$36,[2]Consolidated!AG$1)</f>
        <v>0</v>
      </c>
      <c r="AH115" s="34">
        <f>VLOOKUP($B115&amp;$C115,'[1]FC2 Prod'!$A$6:$BP$36,[2]Consolidated!AH$1)</f>
        <v>0</v>
      </c>
      <c r="AI115" s="33">
        <f>VLOOKUP($B115&amp;$C115,'[1]FC2 Prod'!$A$6:$BP$36,[2]Consolidated!AI$1)</f>
        <v>0</v>
      </c>
      <c r="AJ115" s="39">
        <f>VLOOKUP($B115&amp;$C115,'[1]FC2 Prod'!$A$6:$BP$36,[2]Consolidated!AJ$1)</f>
        <v>0</v>
      </c>
      <c r="AK115" s="39">
        <f>VLOOKUP($B115&amp;$C115,'[1]FC2 Prod'!$A$6:$BP$36,[2]Consolidated!AK$1)</f>
        <v>0</v>
      </c>
      <c r="AL115" s="40" t="e">
        <f>VLOOKUP($B115&amp;$C115,'[1]FC2 Prod'!$A$6:$BP$36,[2]Consolidated!AL$1)</f>
        <v>#REF!</v>
      </c>
      <c r="AM115" s="41">
        <f>VLOOKUP($B115&amp;$C115,'[1]FC2 Prod'!$A$6:$BP$36,[2]Consolidated!AM$1)</f>
        <v>0</v>
      </c>
      <c r="AN115" s="42" t="e">
        <f>VLOOKUP($B115&amp;$C115,'[1]FC2 Prod'!$A$6:$BP$36,[2]Consolidated!AN$1)</f>
        <v>#REF!</v>
      </c>
      <c r="AO115" s="43" t="e">
        <f>VLOOKUP($B115&amp;$C115,'[1]FC2 Prod'!$A$6:$BP$36,[2]Consolidated!AO$1)</f>
        <v>#REF!</v>
      </c>
      <c r="AP115" s="44">
        <f>VLOOKUP($B115&amp;$C115,'[1]FC2 Prod'!$A$6:$BP$36,[2]Consolidated!AP$1)</f>
        <v>0</v>
      </c>
      <c r="AQ115" s="44">
        <f>VLOOKUP($B115&amp;$C115,'[1]FC2 Prod'!$A$6:$BP$36,[2]Consolidated!AQ$1)</f>
        <v>0</v>
      </c>
      <c r="AR115" s="45">
        <f>VLOOKUP($B115&amp;$C115,'[1]FC2 Prod'!$A$6:$BP$36,[2]Consolidated!AR$1)</f>
        <v>0</v>
      </c>
      <c r="AS115" s="46">
        <f>VLOOKUP($B115&amp;$C115,'[1]FC2 Prod'!$A$6:$BP$36,[2]Consolidated!AS$1)</f>
        <v>0</v>
      </c>
      <c r="AT115" s="29">
        <f>VLOOKUP($B115&amp;$C115,'[1]FC2 Prod'!$A$6:$BP$36,[2]Consolidated!AT$1)</f>
        <v>0</v>
      </c>
      <c r="AU115" s="34">
        <f>VLOOKUP($B115&amp;$C115,'[1]FC2 Prod'!$A$6:$BP$36,[2]Consolidated!AU$1)</f>
        <v>0</v>
      </c>
      <c r="AV115" s="34">
        <f>VLOOKUP($B115&amp;$C115,'[1]FC2 Prod'!$A$6:$BP$36,[2]Consolidated!AV$1)</f>
        <v>0</v>
      </c>
      <c r="AW115" s="47">
        <f>VLOOKUP($B115&amp;$C115,'[1]FC2 Prod'!$A$6:$BP$36,[2]Consolidated!AW$1)</f>
        <v>0</v>
      </c>
      <c r="AX115" s="47">
        <f>VLOOKUP($B115&amp;$C115,'[1]FC2 Prod'!$A$6:$BP$36,[2]Consolidated!AX$1)</f>
        <v>0</v>
      </c>
      <c r="AY115" s="48">
        <f>VLOOKUP($B115&amp;$C115,'[1]FC2 Prod'!$A$6:$BP$36,[2]Consolidated!AY$1)</f>
        <v>0</v>
      </c>
      <c r="AZ115" s="47">
        <f>VLOOKUP($B115&amp;$C115,'[1]FC2 Prod'!$A$6:$BP$36,[2]Consolidated!AZ$1)</f>
        <v>0</v>
      </c>
      <c r="BA115" s="47">
        <f>VLOOKUP($B115&amp;$C115,'[1]FC2 Prod'!$A$6:$BP$36,[2]Consolidated!BA$1)</f>
        <v>0</v>
      </c>
      <c r="BB115" s="47">
        <f>VLOOKUP($B115&amp;$C115,'[1]FC2 Prod'!$A$6:$BP$36,[2]Consolidated!BB$1)</f>
        <v>0</v>
      </c>
      <c r="BC115" s="47">
        <f>VLOOKUP($B115&amp;$C115,'[1]FC2 Prod'!$A$6:$BP$36,[2]Consolidated!BC$1)</f>
        <v>0</v>
      </c>
      <c r="BD115" s="49">
        <f>VLOOKUP($B115&amp;$C115,'[1]FC2 Prod'!$A$6:$BP$36,[2]Consolidated!BD$1)</f>
        <v>0</v>
      </c>
      <c r="BE115" s="47">
        <f>VLOOKUP($B115&amp;$C115,'[1]FC2 Prod'!$A$6:$BP$36,[2]Consolidated!BE$1)</f>
        <v>0</v>
      </c>
      <c r="BF115" s="47">
        <f>VLOOKUP($B115&amp;$C115,'[1]FC2 Prod'!$A$6:$BP$36,[2]Consolidated!BF$1)</f>
        <v>0</v>
      </c>
      <c r="BG115" s="50">
        <f>VLOOKUP($B115&amp;$C115,'[1]FC2 Prod'!$A$6:$BP$36,[2]Consolidated!BG$1)</f>
        <v>0</v>
      </c>
      <c r="BH115" s="50">
        <f>VLOOKUP($B115&amp;$C115,'[1]FC2 Prod'!$A$6:$BP$36,[2]Consolidated!BH$1)</f>
        <v>0</v>
      </c>
      <c r="BI115" s="50">
        <f>VLOOKUP($B115&amp;$C115,'[1]FC2 Prod'!$A$6:$BP$36,[2]Consolidated!BI$1)</f>
        <v>0</v>
      </c>
      <c r="BJ115" s="37" t="e">
        <f>VLOOKUP($B115&amp;$C115,'[1]FC2 Prod'!$A$6:$BP$36,[2]Consolidated!BJ$1)</f>
        <v>#REF!</v>
      </c>
      <c r="BK115" s="37" t="e">
        <f>VLOOKUP($B115&amp;$C115,'[1]FC2 Prod'!$A$6:$BP$36,[2]Consolidated!BK$1)</f>
        <v>#REF!</v>
      </c>
      <c r="BL115" s="37" t="e">
        <f>VLOOKUP($B115&amp;$C115,'[1]FC2 Prod'!$A$6:$BP$36,[2]Consolidated!BL$1)</f>
        <v>#REF!</v>
      </c>
      <c r="BM115" s="37" t="e">
        <f>VLOOKUP($B115&amp;$C115,'[1]FC2 Prod'!$A$6:$BP$36,[2]Consolidated!BM$1)</f>
        <v>#REF!</v>
      </c>
      <c r="BN115" s="37" t="e">
        <f>VLOOKUP($B115&amp;$C115,'[1]FC2 Prod'!$A$6:$BP$36,[2]Consolidated!BN$1)</f>
        <v>#REF!</v>
      </c>
      <c r="BO115" s="37" t="e">
        <f>VLOOKUP($B115&amp;$C115,'[1]FC2 Prod'!$A$6:$BP$36,[2]Consolidated!BO$1)</f>
        <v>#REF!</v>
      </c>
      <c r="BP115" s="37" t="e">
        <f>VLOOKUP($B115&amp;$C115,'[1]FC2 Prod'!$A$6:$BP$36,[2]Consolidated!BP$1)</f>
        <v>#REF!</v>
      </c>
      <c r="BQ115" s="29" t="e">
        <f>VLOOKUP($B115&amp;$C115,'[1]FC2 Prod'!$A$6:$BP$36,[2]Consolidated!BQ$1)</f>
        <v>#REF!</v>
      </c>
      <c r="BR115" s="51">
        <f>VLOOKUP($B115&amp;$C115,'[1]FC2 Prod'!$A$6:$BQ$36,[2]Consolidated!BR$1)</f>
        <v>68163</v>
      </c>
      <c r="BS115" s="52">
        <f t="shared" si="141"/>
        <v>0</v>
      </c>
      <c r="BT115" s="32">
        <f>BR115-BS115</f>
        <v>68163</v>
      </c>
      <c r="BU115" s="37">
        <f>E115*BT115</f>
        <v>0</v>
      </c>
      <c r="BV115" s="53" t="s">
        <v>133</v>
      </c>
      <c r="BW115" s="54" cm="1">
        <f t="array" ref="BW115">IFERROR(VLOOKUP($A115,TRANSPOSE('[1]Fur 2 PLC'!$AR$1:$BV$38),8,0),0)</f>
        <v>0</v>
      </c>
      <c r="BX115" s="54" cm="1">
        <f t="array" ref="BX115">IFERROR(VLOOKUP($A115,TRANSPOSE('[1]Fur 2 PLC'!$AR$1:$BV$38),30,0),0)</f>
        <v>0</v>
      </c>
      <c r="BY115" s="54" cm="1">
        <f t="array" ref="BY115">IFERROR(VLOOKUP($A115,TRANSPOSE('[1]Fur 2 PLC'!$AR$1:$BV$38),14,0),0)</f>
        <v>0</v>
      </c>
      <c r="BZ115" s="54" cm="1">
        <f t="array" ref="BZ115">IFERROR(VLOOKUP($A115,TRANSPOSE('[1]Fur 2 PLC'!$AR$1:$BV$38),16,0),0)</f>
        <v>0</v>
      </c>
      <c r="CA115" s="54" cm="1">
        <f t="array" ref="CA115">IFERROR(VLOOKUP($A115,TRANSPOSE('[1]Fur 2 PLC'!$AR$1:$BV$38),9,0),0)</f>
        <v>0</v>
      </c>
      <c r="CB115" s="54" cm="1">
        <f t="array" ref="CB115">IFERROR(VLOOKUP($A115,TRANSPOSE('[1]Fur 2 PLC'!$AR$1:$BV$38),17,0),0)</f>
        <v>0</v>
      </c>
      <c r="CC115" s="54" cm="1">
        <f t="array" ref="CC115">IFERROR(VLOOKUP($A115,TRANSPOSE('[1]Fur 2 PLC'!$AR$1:$BV$38),20,0),0)</f>
        <v>0</v>
      </c>
      <c r="CD115" s="54" cm="1">
        <f t="array" ref="CD115">IFERROR(VLOOKUP($A115,TRANSPOSE('[1]Fur 2 PLC'!$AR$1:$BV$38),28,0),0)</f>
        <v>0</v>
      </c>
      <c r="CE115" s="54" cm="1">
        <f t="array" ref="CE115">IFERROR(VLOOKUP($A115,TRANSPOSE('[1]Fur 2 PLC'!$AR$1:$BV$38),13,0),0)</f>
        <v>0</v>
      </c>
      <c r="CF115" s="54" cm="1">
        <f t="array" ref="CF115">IFERROR(VLOOKUP($A115,TRANSPOSE('[1]Fur 2 PLC'!$AR$1:$BV$38),37,0),0)</f>
        <v>0</v>
      </c>
      <c r="CG115" s="54" cm="1">
        <f t="array" ref="CG115">IFERROR(VLOOKUP($A115,TRANSPOSE('[1]Fur 2 PLC'!$AR$1:$BV$38),6,0),0)</f>
        <v>0</v>
      </c>
      <c r="CH115" s="54" cm="1">
        <f t="array" ref="CH115">IFERROR(VLOOKUP($A115,TRANSPOSE('[1]Fur 2 PLC'!$AR$1:$BV$38),21,0),0)</f>
        <v>0</v>
      </c>
      <c r="CI115" s="54" cm="1">
        <f t="array" ref="CI115">IFERROR(VLOOKUP($A115,TRANSPOSE('[1]Fur 2 PLC'!$AR$1:$BV$38),12,0),0)</f>
        <v>0</v>
      </c>
      <c r="CJ115" s="54" cm="1">
        <f t="array" ref="CJ115">IFERROR(VLOOKUP($A115,TRANSPOSE('[1]Fur 2 PLC'!$AR$1:$BV$38),25,0),0)</f>
        <v>0</v>
      </c>
      <c r="CK115" s="54" cm="1">
        <f t="array" ref="CK115">IFERROR(VLOOKUP($A115,TRANSPOSE('[1]Fur 2 PLC'!$AR$1:$BV$38),26,0),0)</f>
        <v>0</v>
      </c>
      <c r="CL115" s="54" cm="1">
        <f t="array" ref="CL115">IFERROR(VLOOKUP($A115,TRANSPOSE('[1]Fur 2 PLC'!$AR$1:$BV$38),27,0),0)</f>
        <v>0</v>
      </c>
      <c r="CM115" s="54" cm="1">
        <f t="array" ref="CM115">IFERROR(VLOOKUP($A115,TRANSPOSE('[1]Fur 2 PLC'!$AR$1:$BV$38),22,0),0)</f>
        <v>0</v>
      </c>
      <c r="CN115" s="54"/>
      <c r="CO115" s="54" cm="1">
        <f t="array" ref="CO115">IFERROR(VLOOKUP($A115,TRANSPOSE('[1]Fur 2 PLC'!$AR$1:$BV$38),29,0),0)</f>
        <v>0</v>
      </c>
      <c r="CP115" s="54" cm="1">
        <f t="array" ref="CP115">IFERROR(VLOOKUP($A115,TRANSPOSE('[1]Fur 2 PLC'!$AR$1:$BV$38),10,0),0)</f>
        <v>0</v>
      </c>
      <c r="CQ115" s="54" cm="1">
        <f t="array" ref="CQ115">IFERROR(VLOOKUP($A115,TRANSPOSE('[1]Fur 2 PLC'!$AR$1:$BV$38),7,0),0)</f>
        <v>0</v>
      </c>
      <c r="CR115" s="54" cm="1">
        <f t="array" ref="CR115">IFERROR(VLOOKUP($A115,TRANSPOSE('[1]Fur 2 PLC'!$AR$1:$BV$38),35,0),0)</f>
        <v>0</v>
      </c>
      <c r="CS115" s="54" cm="1">
        <f t="array" ref="CS115">IFERROR(VLOOKUP($A115,TRANSPOSE('[1]Fur 2 PLC'!$AR$1:$BV$38),11,0),0)</f>
        <v>0</v>
      </c>
      <c r="CT115" s="54" cm="1">
        <f t="array" ref="CT115">IFERROR(VLOOKUP($A115,TRANSPOSE('[1]Fur 2 PLC'!$AR$1:$BV$38),19,0),0)</f>
        <v>0</v>
      </c>
      <c r="CU115" s="54" cm="1">
        <f t="array" ref="CU115">IFERROR(VLOOKUP($A115,TRANSPOSE('[1]Fur 2 PLC'!$AR$1:$BV$38),18,0),0)</f>
        <v>0</v>
      </c>
      <c r="CV115" s="54" cm="1">
        <f t="array" ref="CV115">IFERROR(VLOOKUP($A115,TRANSPOSE('[1]Fur 2 PLC'!$AR$1:$BV$38),15,0),0)</f>
        <v>0</v>
      </c>
      <c r="CW115" s="54" cm="1">
        <f t="array" ref="CW115">IFERROR(VLOOKUP($A115,TRANSPOSE('[1]Fur 2 PLC'!$CI$1:$DM$38),8,0),0)</f>
        <v>0</v>
      </c>
      <c r="CX115" s="54" cm="1">
        <f t="array" ref="CX115">IFERROR(VLOOKUP($A115,TRANSPOSE('[1]Fur 2 PLC'!$CI$1:$DM$38),30,0),0)</f>
        <v>0</v>
      </c>
      <c r="CY115" s="54" cm="1">
        <f t="array" ref="CY115">IFERROR(VLOOKUP($A115,TRANSPOSE('[1]Fur 2 PLC'!$CI$1:$DM$38),14,0),0)</f>
        <v>0</v>
      </c>
      <c r="CZ115" s="54" cm="1">
        <f t="array" ref="CZ115">IFERROR(VLOOKUP($A115,TRANSPOSE('[1]Fur 2 PLC'!$CI$1:$DM$38),16,0),0)</f>
        <v>0</v>
      </c>
      <c r="DA115" s="54" cm="1">
        <f t="array" ref="DA115">IFERROR(VLOOKUP($A115,TRANSPOSE('[1]Fur 2 PLC'!$CI$1:$DM$38),9,0),0)</f>
        <v>0</v>
      </c>
      <c r="DB115" s="55" cm="1">
        <f t="array" ref="DB115">IFERROR(VLOOKUP($A115,TRANSPOSE('[1]Fur 2 PLC'!$CI$1:$DM$38),17,0),0)</f>
        <v>0</v>
      </c>
      <c r="DC115" s="55" cm="1">
        <f t="array" ref="DC115">IFERROR(VLOOKUP($A115,TRANSPOSE('[1]Fur 2 PLC'!$CI$1:$DM$38),20,0),0)</f>
        <v>0</v>
      </c>
      <c r="DD115" s="54" cm="1">
        <f t="array" ref="DD115">IFERROR(VLOOKUP($A115,TRANSPOSE('[1]Fur 2 PLC'!$CI$1:$DM$38),28,0),0)</f>
        <v>0</v>
      </c>
      <c r="DE115" s="54" cm="1">
        <f t="array" ref="DE115">IFERROR(VLOOKUP($A115,TRANSPOSE('[1]Fur 2 PLC'!$CI$1:$DM$38),13,0),0)</f>
        <v>0</v>
      </c>
      <c r="DF115" s="54" cm="1">
        <f t="array" ref="DF115">IFERROR(VLOOKUP($A115,TRANSPOSE('[1]Fur 2 PLC'!$CI$1:$DM$38),37,0),0)</f>
        <v>0</v>
      </c>
      <c r="DG115" s="54" cm="1">
        <f t="array" ref="DG115">IFERROR(VLOOKUP($A115,TRANSPOSE('[1]Fur 2 PLC'!$CI$1:$DM$38),6,0),0)</f>
        <v>0</v>
      </c>
      <c r="DH115" s="54" cm="1">
        <f t="array" ref="DH115">IFERROR(VLOOKUP($A115,TRANSPOSE('[1]Fur 2 PLC'!$CI$1:$DM$38),21,0),0)</f>
        <v>0</v>
      </c>
      <c r="DI115" s="54" cm="1">
        <f t="array" ref="DI115">IFERROR(VLOOKUP($A115,TRANSPOSE('[1]Fur 2 PLC'!$CI$1:$DM$38),12,0),0)</f>
        <v>0</v>
      </c>
      <c r="DJ115" s="54" cm="1">
        <f t="array" ref="DJ115">IFERROR(VLOOKUP($A115,TRANSPOSE('[1]Fur 2 PLC'!$CI$1:$DM$38),25,0),0)</f>
        <v>0</v>
      </c>
      <c r="DK115" s="54" cm="1">
        <f t="array" ref="DK115">IFERROR(VLOOKUP($A115,TRANSPOSE('[1]Fur 2 PLC'!$CI$1:$DM$38),26,0),0)</f>
        <v>0</v>
      </c>
      <c r="DL115" s="54" cm="1">
        <f t="array" ref="DL115">IFERROR(VLOOKUP($A115,TRANSPOSE('[1]Fur 2 PLC'!$CI$1:$DM$38),27,0),0)</f>
        <v>0</v>
      </c>
      <c r="DM115" s="54" cm="1">
        <f t="array" ref="DM115">IFERROR(VLOOKUP($A115,TRANSPOSE('[1]Fur 2 PLC'!$CI$1:$DM$38),22,0),0)</f>
        <v>0</v>
      </c>
      <c r="DN115" s="54" cm="1">
        <f t="array" ref="DN115">IFERROR(VLOOKUP($A115,TRANSPOSE('[1]Fur 2 PLC'!$CI$1:$DM$38),19,0),0)</f>
        <v>0</v>
      </c>
      <c r="DO115" s="54" cm="1">
        <f t="array" ref="DO115">IFERROR(VLOOKUP($A115,TRANSPOSE('[1]Fur 2 PLC'!$CI$1:$DM$38),29,0),0)</f>
        <v>0</v>
      </c>
      <c r="DP115" s="54" cm="1">
        <f t="array" ref="DP115">IFERROR(VLOOKUP($A115,TRANSPOSE('[1]Fur 2 PLC'!$CI$1:$DM$38),10,0),0)</f>
        <v>0</v>
      </c>
      <c r="DQ115" s="54" cm="1">
        <f t="array" ref="DQ115">IFERROR(VLOOKUP($A115,TRANSPOSE('[1]Fur 2 PLC'!$CI$1:$DM$38),7,0),0)</f>
        <v>0</v>
      </c>
      <c r="DR115" s="54" cm="1">
        <f t="array" ref="DR115">IFERROR(VLOOKUP($A115,TRANSPOSE('[1]Fur 2 PLC'!$CI$1:$DM$38),35,0),0)</f>
        <v>0</v>
      </c>
      <c r="DS115" s="54" cm="1">
        <f t="array" ref="DS115">IFERROR(VLOOKUP($A115,TRANSPOSE('[1]Fur 2 PLC'!$CI$1:$DM$38),11,0),0)</f>
        <v>0</v>
      </c>
      <c r="DT115" s="54" cm="1">
        <f t="array" ref="DT115">IFERROR(VLOOKUP($A115,TRANSPOSE('[1]Fur 2 PLC'!$CI$1:$DM$38),19,0),0)</f>
        <v>0</v>
      </c>
      <c r="DU115" s="54" cm="1">
        <f t="array" ref="DU115">IFERROR(VLOOKUP($A115,TRANSPOSE('[1]Fur 2 PLC'!$CI$1:$DM$38),18,0),0)</f>
        <v>0</v>
      </c>
      <c r="DV115" s="54" cm="1">
        <f t="array" ref="DV115">IFERROR(VLOOKUP($A115,TRANSPOSE('[1]Fur 2 PLC'!$CI$1:$DM$38),15,0),0)</f>
        <v>0</v>
      </c>
      <c r="DW115" t="str">
        <f t="shared" ref="DW115:DW117" si="142">TEXT(C115,"Mmm-yy")</f>
        <v>Dec-25</v>
      </c>
    </row>
    <row r="116" spans="1:127" x14ac:dyDescent="0.3">
      <c r="A116" s="28" t="str">
        <f t="shared" si="140"/>
        <v>F346020</v>
      </c>
      <c r="B116" s="29" t="s">
        <v>28</v>
      </c>
      <c r="C116" s="30">
        <f>C115</f>
        <v>46020</v>
      </c>
      <c r="D116" s="29" t="str">
        <f>VLOOKUP($B116&amp;$C116,'[1]FC3 Prod'!$A$6:$BP$36,[2]Consolidated!D$1)</f>
        <v>Mr. Ajay Singh</v>
      </c>
      <c r="E116" s="29">
        <f>VLOOKUP($B116&amp;$C116,'[1]FC3 Prod'!$A$6:$BP$36,[2]Consolidated!E$1)</f>
        <v>0</v>
      </c>
      <c r="F116" s="31">
        <f>VLOOKUP($B116&amp;$C116,'[1]FC3 Prod'!$A$6:$BP$36,[2]Consolidated!F$1)</f>
        <v>0</v>
      </c>
      <c r="G116" s="32" t="e">
        <f>VLOOKUP($B116&amp;$C116,'[1]FC3 Prod'!$A$6:$BP$36,[2]Consolidated!G$1)</f>
        <v>#REF!</v>
      </c>
      <c r="H116" s="32">
        <f>VLOOKUP($B116&amp;$C116,'[1]FC3 Prod'!$A$6:$BP$36,[2]Consolidated!H$1)</f>
        <v>0</v>
      </c>
      <c r="I116" s="32">
        <f>VLOOKUP($B116&amp;$C116,'[1]FC3 Prod'!$A$6:$BP$36,[2]Consolidated!I$1)</f>
        <v>0</v>
      </c>
      <c r="J116" s="32">
        <f>VLOOKUP($B116&amp;$C116,'[1]FC3 Prod'!$A$6:$BP$36,[2]Consolidated!J$1)</f>
        <v>0</v>
      </c>
      <c r="K116" s="32">
        <f>VLOOKUP($B116&amp;$C116,'[1]FC3 Prod'!$A$6:$BP$36,[2]Consolidated!K$1)</f>
        <v>0</v>
      </c>
      <c r="L116" s="32">
        <f>VLOOKUP($B116&amp;$C116,'[1]FC3 Prod'!$A$6:$BP$36,[2]Consolidated!L$1)</f>
        <v>0</v>
      </c>
      <c r="M116" s="32">
        <f>VLOOKUP($B116&amp;$C116,'[1]FC3 Prod'!$A$6:$BP$36,[2]Consolidated!M$1)</f>
        <v>0</v>
      </c>
      <c r="N116" s="32">
        <f>VLOOKUP($B116&amp;$C116,'[1]FC3 Prod'!$A$6:$BP$36,[2]Consolidated!N$1)</f>
        <v>0</v>
      </c>
      <c r="O116" s="32">
        <f>VLOOKUP($B116&amp;$C116,'[1]FC3 Prod'!$A$6:$BP$36,[2]Consolidated!O$1)</f>
        <v>0</v>
      </c>
      <c r="P116" s="33">
        <f>VLOOKUP($B116&amp;$C116,'[1]FC3 Prod'!$A$6:$BP$36,[2]Consolidated!P$1)</f>
        <v>9</v>
      </c>
      <c r="Q116" s="29">
        <f>VLOOKUP($B116&amp;$C116,'[1]FC3 Prod'!$A$6:$BP$36,[2]Consolidated!Q$1)</f>
        <v>0</v>
      </c>
      <c r="R116" s="29">
        <f>VLOOKUP($B116&amp;$C116,'[1]FC3 Prod'!$A$6:$BP$36,[2]Consolidated!R$1)</f>
        <v>0</v>
      </c>
      <c r="S116" s="34" t="e">
        <f>VLOOKUP($B116&amp;$C116,'[1]FC3 Prod'!$A$6:$BP$36,[2]Consolidated!S$1)</f>
        <v>#REF!</v>
      </c>
      <c r="T116" s="34" t="e">
        <f>VLOOKUP($B116&amp;$C116,'[1]FC3 Prod'!$A$6:$BP$36,[2]Consolidated!T$1)</f>
        <v>#REF!</v>
      </c>
      <c r="U116" s="34" t="e">
        <f>VLOOKUP($B116&amp;$C116,'[1]FC3 Prod'!$A$6:$BP$36,[2]Consolidated!U$1)</f>
        <v>#REF!</v>
      </c>
      <c r="V116" s="34">
        <f>VLOOKUP($B116&amp;$C116,'[1]FC3 Prod'!$A$6:$BP$36,[2]Consolidated!V$1)</f>
        <v>0</v>
      </c>
      <c r="W116" s="35">
        <f>VLOOKUP($B116&amp;$C116,'[1]FC3 Prod'!$A$6:$BP$36,[2]Consolidated!W$1)</f>
        <v>0</v>
      </c>
      <c r="X116" s="35">
        <f>VLOOKUP($B116&amp;$C116,'[1]FC3 Prod'!$A$6:$BP$36,[2]Consolidated!X$1)</f>
        <v>0</v>
      </c>
      <c r="Y116" s="36">
        <f>VLOOKUP($B116&amp;$C116,'[1]FC3 Prod'!$A$6:$BP$36,[2]Consolidated!Y$1)</f>
        <v>0</v>
      </c>
      <c r="Z116" s="37" t="e">
        <f>VLOOKUP($B116&amp;$C116,'[1]FC3 Prod'!$A$6:$BP$36,[2]Consolidated!Z$1)</f>
        <v>#REF!</v>
      </c>
      <c r="AA116" s="31">
        <f>VLOOKUP($B116&amp;$C116,'[1]FC3 Prod'!$A$6:$BP$36,[2]Consolidated!AA$1)</f>
        <v>0</v>
      </c>
      <c r="AB116" s="31">
        <f>VLOOKUP($B116&amp;$C116,'[1]FC3 Prod'!$A$6:$BP$36,[2]Consolidated!AB$1)</f>
        <v>0</v>
      </c>
      <c r="AC116" s="31" t="e">
        <f>VLOOKUP($B116&amp;$C116,'[1]FC3 Prod'!$A$6:$BP$36,[2]Consolidated!AC$1)</f>
        <v>#REF!</v>
      </c>
      <c r="AD116" s="38">
        <f>VLOOKUP($B116&amp;$C116,'[1]FC3 Prod'!$A$6:$BP$36,[2]Consolidated!AD$1)</f>
        <v>0</v>
      </c>
      <c r="AE116" s="38">
        <f>VLOOKUP($B116&amp;$C116,'[1]FC3 Prod'!$A$6:$BP$36,[2]Consolidated!AE$1)</f>
        <v>0</v>
      </c>
      <c r="AF116" s="39">
        <f>VLOOKUP($B116&amp;$C116,'[1]FC3 Prod'!$A$6:$BP$36,[2]Consolidated!AF$1)</f>
        <v>0</v>
      </c>
      <c r="AG116" s="39">
        <f>VLOOKUP($B116&amp;$C116,'[1]FC3 Prod'!$A$6:$BP$36,[2]Consolidated!AG$1)</f>
        <v>0</v>
      </c>
      <c r="AH116" s="34">
        <f>VLOOKUP($B116&amp;$C116,'[1]FC3 Prod'!$A$6:$BP$36,[2]Consolidated!AH$1)</f>
        <v>0</v>
      </c>
      <c r="AI116" s="33">
        <f>VLOOKUP($B116&amp;$C116,'[1]FC3 Prod'!$A$6:$BP$36,[2]Consolidated!AI$1)</f>
        <v>0</v>
      </c>
      <c r="AJ116" s="39">
        <f>VLOOKUP($B116&amp;$C116,'[1]FC3 Prod'!$A$6:$BP$36,[2]Consolidated!AJ$1)</f>
        <v>0</v>
      </c>
      <c r="AK116" s="39">
        <f>VLOOKUP($B116&amp;$C116,'[1]FC3 Prod'!$A$6:$BP$36,[2]Consolidated!AK$1)</f>
        <v>0</v>
      </c>
      <c r="AL116" s="40" t="e">
        <f>VLOOKUP($B116&amp;$C116,'[1]FC3 Prod'!$A$6:$BP$36,[2]Consolidated!AL$1)</f>
        <v>#REF!</v>
      </c>
      <c r="AM116" s="41">
        <f>VLOOKUP($B116&amp;$C116,'[1]FC3 Prod'!$A$6:$BP$36,[2]Consolidated!AM$1)</f>
        <v>0</v>
      </c>
      <c r="AN116" s="42" t="e">
        <f>VLOOKUP($B116&amp;$C116,'[1]FC3 Prod'!$A$6:$BP$36,[2]Consolidated!AN$1)</f>
        <v>#REF!</v>
      </c>
      <c r="AO116" s="43" t="e">
        <f>VLOOKUP($B116&amp;$C116,'[1]FC3 Prod'!$A$6:$BP$36,[2]Consolidated!AO$1)</f>
        <v>#REF!</v>
      </c>
      <c r="AP116" s="44">
        <f>VLOOKUP($B116&amp;$C116,'[1]FC3 Prod'!$A$6:$BP$36,[2]Consolidated!AP$1)</f>
        <v>0</v>
      </c>
      <c r="AQ116" s="44">
        <f>VLOOKUP($B116&amp;$C116,'[1]FC3 Prod'!$A$6:$BP$36,[2]Consolidated!AQ$1)</f>
        <v>0</v>
      </c>
      <c r="AR116" s="45">
        <f>VLOOKUP($B116&amp;$C116,'[1]FC3 Prod'!$A$6:$BP$36,[2]Consolidated!AR$1)</f>
        <v>0</v>
      </c>
      <c r="AS116" s="46">
        <f>VLOOKUP($B116&amp;$C116,'[1]FC3 Prod'!$A$6:$BP$36,[2]Consolidated!AS$1)</f>
        <v>0</v>
      </c>
      <c r="AT116" s="29">
        <f>VLOOKUP($B116&amp;$C116,'[1]FC3 Prod'!$A$6:$BP$36,[2]Consolidated!AT$1)</f>
        <v>0</v>
      </c>
      <c r="AU116" s="34">
        <f>VLOOKUP($B116&amp;$C116,'[1]FC3 Prod'!$A$6:$BP$36,[2]Consolidated!AU$1)</f>
        <v>0</v>
      </c>
      <c r="AV116" s="34">
        <f>VLOOKUP($B116&amp;$C116,'[1]FC3 Prod'!$A$6:$BP$36,[2]Consolidated!AV$1)</f>
        <v>0</v>
      </c>
      <c r="AW116" s="47">
        <f>VLOOKUP($B116&amp;$C116,'[1]FC3 Prod'!$A$6:$BP$36,[2]Consolidated!AW$1)</f>
        <v>0</v>
      </c>
      <c r="AX116" s="47">
        <f>VLOOKUP($B116&amp;$C116,'[1]FC3 Prod'!$A$6:$BP$36,[2]Consolidated!AX$1)</f>
        <v>0</v>
      </c>
      <c r="AY116" s="48">
        <f>VLOOKUP($B116&amp;$C116,'[1]FC3 Prod'!$A$6:$BP$36,[2]Consolidated!AY$1)</f>
        <v>0</v>
      </c>
      <c r="AZ116" s="47">
        <f>VLOOKUP($B116&amp;$C116,'[1]FC3 Prod'!$A$6:$BP$36,[2]Consolidated!AZ$1)</f>
        <v>0</v>
      </c>
      <c r="BA116" s="47">
        <f>VLOOKUP($B116&amp;$C116,'[1]FC3 Prod'!$A$6:$BP$36,[2]Consolidated!BA$1)</f>
        <v>0</v>
      </c>
      <c r="BB116" s="47">
        <f>VLOOKUP($B116&amp;$C116,'[1]FC3 Prod'!$A$6:$BP$36,[2]Consolidated!BB$1)</f>
        <v>0</v>
      </c>
      <c r="BC116" s="47">
        <f>VLOOKUP($B116&amp;$C116,'[1]FC3 Prod'!$A$6:$BP$36,[2]Consolidated!BC$1)</f>
        <v>0</v>
      </c>
      <c r="BD116" s="49">
        <f>VLOOKUP($B116&amp;$C116,'[1]FC3 Prod'!$A$6:$BP$36,[2]Consolidated!BD$1)</f>
        <v>0</v>
      </c>
      <c r="BE116" s="47">
        <f>VLOOKUP($B116&amp;$C116,'[1]FC3 Prod'!$A$6:$BP$36,[2]Consolidated!BE$1)</f>
        <v>0</v>
      </c>
      <c r="BF116" s="47">
        <f>VLOOKUP($B116&amp;$C116,'[1]FC3 Prod'!$A$6:$BP$36,[2]Consolidated!BF$1)</f>
        <v>0</v>
      </c>
      <c r="BG116" s="50">
        <f>VLOOKUP($B116&amp;$C116,'[1]FC3 Prod'!$A$6:$BP$36,[2]Consolidated!BG$1)</f>
        <v>0</v>
      </c>
      <c r="BH116" s="50">
        <f>VLOOKUP($B116&amp;$C116,'[1]FC3 Prod'!$A$6:$BP$36,[2]Consolidated!BH$1)</f>
        <v>0</v>
      </c>
      <c r="BI116" s="50">
        <f>VLOOKUP($B116&amp;$C116,'[1]FC3 Prod'!$A$6:$BP$36,[2]Consolidated!BI$1)</f>
        <v>0</v>
      </c>
      <c r="BJ116" s="37" t="e">
        <f>VLOOKUP($B116&amp;$C116,'[1]FC3 Prod'!$A$6:$BP$36,[2]Consolidated!BJ$1)</f>
        <v>#REF!</v>
      </c>
      <c r="BK116" s="37" t="e">
        <f>VLOOKUP($B116&amp;$C116,'[1]FC3 Prod'!$A$6:$BP$36,[2]Consolidated!BK$1)</f>
        <v>#REF!</v>
      </c>
      <c r="BL116" s="37" t="e">
        <f>VLOOKUP($B116&amp;$C116,'[1]FC3 Prod'!$A$6:$BP$36,[2]Consolidated!BL$1)</f>
        <v>#REF!</v>
      </c>
      <c r="BM116" s="37" t="e">
        <f>VLOOKUP($B116&amp;$C116,'[1]FC3 Prod'!$A$6:$BP$36,[2]Consolidated!BM$1)</f>
        <v>#REF!</v>
      </c>
      <c r="BN116" s="37" t="e">
        <f>VLOOKUP($B116&amp;$C116,'[1]FC3 Prod'!$A$6:$BP$36,[2]Consolidated!BN$1)</f>
        <v>#REF!</v>
      </c>
      <c r="BO116" s="37" t="e">
        <f>VLOOKUP($B116&amp;$C116,'[1]FC3 Prod'!$A$6:$BP$36,[2]Consolidated!BO$1)</f>
        <v>#REF!</v>
      </c>
      <c r="BP116" s="37" t="e">
        <f>VLOOKUP($B116&amp;$C116,'[1]FC3 Prod'!$A$6:$BP$36,[2]Consolidated!BP$1)</f>
        <v>#REF!</v>
      </c>
      <c r="BQ116" s="51" t="e">
        <f>VLOOKUP($B116&amp;$C116,'[1]FC3 Prod'!$A$6:$BP$36,[2]Consolidated!BQ$1)</f>
        <v>#REF!</v>
      </c>
      <c r="BR116" s="51">
        <f>VLOOKUP($B116&amp;$C116,'[1]FC3 Prod'!$A$6:$BQ$36,[2]Consolidated!BR$1)</f>
        <v>60369</v>
      </c>
      <c r="BS116" s="52">
        <f t="shared" si="141"/>
        <v>0</v>
      </c>
      <c r="BT116" s="32">
        <f t="shared" ref="BT116:BT117" si="143">BR116-BS116</f>
        <v>60369</v>
      </c>
      <c r="BU116" s="37">
        <f t="shared" ref="BU116:BU117" si="144">E116*BT116</f>
        <v>0</v>
      </c>
      <c r="BV116" s="53" t="s">
        <v>133</v>
      </c>
      <c r="BW116" s="54" cm="1">
        <f t="array" ref="BW116">IFERROR(VLOOKUP($A116,TRANSPOSE('[1]Fur 3 PLC'!$AS$1:$BX$38),8,0),0)</f>
        <v>0</v>
      </c>
      <c r="BX116" s="54" cm="1">
        <f t="array" ref="BX116">IFERROR(VLOOKUP($A116,TRANSPOSE('[1]Fur 3 PLC'!$AS$1:$BX$38),30,0),0)</f>
        <v>0</v>
      </c>
      <c r="BY116" s="54" cm="1">
        <f t="array" ref="BY116">IFERROR(VLOOKUP($A116,TRANSPOSE('[1]Fur 3 PLC'!$AS$1:$BX$38),14,0),0)</f>
        <v>0</v>
      </c>
      <c r="BZ116" s="54" cm="1">
        <f t="array" ref="BZ116">IFERROR(VLOOKUP($A116,TRANSPOSE('[1]Fur 3 PLC'!$AS$1:$BX$38),16,0),0)</f>
        <v>0</v>
      </c>
      <c r="CA116" s="54" cm="1">
        <f t="array" ref="CA116">IFERROR(VLOOKUP($A116,TRANSPOSE('[1]Fur 3 PLC'!$AS$1:$BX$38),9,0),0)</f>
        <v>0</v>
      </c>
      <c r="CB116" s="54" cm="1">
        <f t="array" ref="CB116">IFERROR(VLOOKUP($A116,TRANSPOSE('[1]Fur 3 PLC'!$AS$1:$BX$38),17,0),0)</f>
        <v>0</v>
      </c>
      <c r="CC116" s="54" cm="1">
        <f t="array" ref="CC116">IFERROR(VLOOKUP($A116,TRANSPOSE('[1]Fur 3 PLC'!$AS$1:$BX$38),20,0),0)</f>
        <v>0</v>
      </c>
      <c r="CD116" s="54" cm="1">
        <f t="array" ref="CD116">IFERROR(VLOOKUP($A116,TRANSPOSE('[1]Fur 3 PLC'!$AS$1:$BX$38),28,0),0)</f>
        <v>0</v>
      </c>
      <c r="CE116" s="54" cm="1">
        <f t="array" ref="CE116">IFERROR(VLOOKUP($A116,TRANSPOSE('[1]Fur 3 PLC'!$AS$1:$BX$38),13,0),0)</f>
        <v>0</v>
      </c>
      <c r="CF116" s="54" cm="1">
        <f t="array" ref="CF116">IFERROR(VLOOKUP($A116,TRANSPOSE('[1]Fur 3 PLC'!$AS$1:$BX$38),37,0),0)</f>
        <v>0</v>
      </c>
      <c r="CG116" s="54" cm="1">
        <f t="array" ref="CG116">IFERROR(VLOOKUP($A116,TRANSPOSE('[1]Fur 3 PLC'!$AS$1:$BX$38),6,0),0)</f>
        <v>0</v>
      </c>
      <c r="CH116" s="54" cm="1">
        <f t="array" ref="CH116">IFERROR(VLOOKUP($A116,TRANSPOSE('[1]Fur 3 PLC'!$AS$1:$BX$38),21,0),0)</f>
        <v>0</v>
      </c>
      <c r="CI116" s="54" cm="1">
        <f t="array" ref="CI116">IFERROR(VLOOKUP($A116,TRANSPOSE('[1]Fur 3 PLC'!$AS$1:$BX$38),12,0),0)</f>
        <v>0</v>
      </c>
      <c r="CJ116" s="54" cm="1">
        <f t="array" ref="CJ116">IFERROR(VLOOKUP($A116,TRANSPOSE('[1]Fur 3 PLC'!$AS$1:$BX$38),25,0),0)</f>
        <v>0</v>
      </c>
      <c r="CK116" s="54" cm="1">
        <f t="array" ref="CK116">IFERROR(VLOOKUP($A116,TRANSPOSE('[1]Fur 3 PLC'!$AS$1:$BX$38),26,0),0)</f>
        <v>0</v>
      </c>
      <c r="CL116" s="54" cm="1">
        <f t="array" ref="CL116">IFERROR(VLOOKUP($A116,TRANSPOSE('[1]Fur 3 PLC'!$AS$1:$BX$38),27,0),0)</f>
        <v>0</v>
      </c>
      <c r="CM116" s="54" cm="1">
        <f t="array" ref="CM116">IFERROR(VLOOKUP($A116,TRANSPOSE('[1]Fur 3 PLC'!$AS$1:$BX$38),22,0),0)</f>
        <v>0</v>
      </c>
      <c r="CN116" s="54"/>
      <c r="CO116" s="54" cm="1">
        <f t="array" ref="CO116">IFERROR(VLOOKUP($A116,TRANSPOSE('[1]Fur 3 PLC'!$AS$1:$BX$38),29,0),0)</f>
        <v>0</v>
      </c>
      <c r="CP116" s="54" cm="1">
        <f t="array" ref="CP116">IFERROR(VLOOKUP($A116,TRANSPOSE('[1]Fur 3 PLC'!$AS$1:$BX$38),10,0),0)</f>
        <v>0</v>
      </c>
      <c r="CQ116" s="54" cm="1">
        <f t="array" ref="CQ116">IFERROR(VLOOKUP($A116,TRANSPOSE('[1]Fur 3 PLC'!$AS$1:$BX$38),7,0),0)</f>
        <v>0</v>
      </c>
      <c r="CR116" s="54" cm="1">
        <f t="array" ref="CR116">IFERROR(VLOOKUP($A116,TRANSPOSE('[1]Fur 3 PLC'!$AS$1:$BX$38),35,0),0)</f>
        <v>0</v>
      </c>
      <c r="CS116" s="54" cm="1">
        <f t="array" ref="CS116">IFERROR(VLOOKUP($A116,TRANSPOSE('[1]Fur 3 PLC'!$AS$1:$BX$38),11,0),0)</f>
        <v>0</v>
      </c>
      <c r="CT116" s="54" cm="1">
        <f t="array" ref="CT116">IFERROR(VLOOKUP($A116,TRANSPOSE('[1]Fur 3 PLC'!$AS$1:$BX$38),19,0),0)</f>
        <v>0</v>
      </c>
      <c r="CU116" s="54" cm="1">
        <f t="array" ref="CU116">IFERROR(VLOOKUP($A116,TRANSPOSE('[1]Fur 3 PLC'!$AS$1:$BX$38),18,0),0)</f>
        <v>0</v>
      </c>
      <c r="CV116" s="54" cm="1">
        <f t="array" ref="CV116">IFERROR(VLOOKUP($A116,TRANSPOSE('[1]Fur 3 PLC'!$AR$1:$BV$38),15,0),0)</f>
        <v>0</v>
      </c>
      <c r="CW116" s="54" cm="1">
        <f t="array" ref="CW116">IFERROR(VLOOKUP($A116,TRANSPOSE('[1]Fur 3 PLC'!$CK$1:$DO$38),8,0),0)</f>
        <v>0</v>
      </c>
      <c r="CX116" s="54" cm="1">
        <f t="array" ref="CX116">IFERROR(VLOOKUP($A116,TRANSPOSE('[1]Fur 3 PLC'!$CK$1:$DO$38),30,0),0)</f>
        <v>0</v>
      </c>
      <c r="CY116" s="54" cm="1">
        <f t="array" ref="CY116">IFERROR(VLOOKUP($A116,TRANSPOSE('[1]Fur 3 PLC'!$CK$1:$DO$38),14,0),0)</f>
        <v>0</v>
      </c>
      <c r="CZ116" s="54" cm="1">
        <f t="array" ref="CZ116">IFERROR(VLOOKUP($A116,TRANSPOSE('[1]Fur 3 PLC'!$CK$1:$DO$38),16,0),0)</f>
        <v>0</v>
      </c>
      <c r="DA116" s="54" cm="1">
        <f t="array" ref="DA116">IFERROR(VLOOKUP($A116,TRANSPOSE('[1]Fur 3 PLC'!$CK$1:$DO$38),9,0),0)</f>
        <v>0</v>
      </c>
      <c r="DB116" s="55" cm="1">
        <f t="array" ref="DB116">IFERROR(VLOOKUP($A116,TRANSPOSE('[1]Fur 3 PLC'!$CK$1:$DO$38),17,0),0)</f>
        <v>0</v>
      </c>
      <c r="DC116" s="55" cm="1">
        <f t="array" ref="DC116">IFERROR(VLOOKUP($A116,TRANSPOSE('[1]Fur 3 PLC'!$CK$1:$DO$38),20,0),0)</f>
        <v>0</v>
      </c>
      <c r="DD116" s="54" cm="1">
        <f t="array" ref="DD116">IFERROR(VLOOKUP($A116,TRANSPOSE('[1]Fur 3 PLC'!$CK$1:$DO$38),28,0),0)</f>
        <v>0</v>
      </c>
      <c r="DE116" s="54" cm="1">
        <f t="array" ref="DE116">IFERROR(VLOOKUP($A116,TRANSPOSE('[1]Fur 3 PLC'!$CK$1:$DO$38),13,0),0)</f>
        <v>0</v>
      </c>
      <c r="DF116" s="54" cm="1">
        <f t="array" ref="DF116">IFERROR(VLOOKUP($A116,TRANSPOSE('[1]Fur 3 PLC'!$CK$1:$DO$38),37,0),0)</f>
        <v>0</v>
      </c>
      <c r="DG116" s="54" cm="1">
        <f t="array" ref="DG116">IFERROR(VLOOKUP($A116,TRANSPOSE('[1]Fur 3 PLC'!$CK$1:$DO$38),6,0),0)</f>
        <v>0</v>
      </c>
      <c r="DH116" s="54" cm="1">
        <f t="array" ref="DH116">IFERROR(VLOOKUP($A116,TRANSPOSE('[1]Fur 3 PLC'!$CK$1:$DO$38),21,0),0)</f>
        <v>0</v>
      </c>
      <c r="DI116" s="54" cm="1">
        <f t="array" ref="DI116">IFERROR(VLOOKUP($A116,TRANSPOSE('[1]Fur 3 PLC'!$CK$1:$DO$38),12,0),0)</f>
        <v>0</v>
      </c>
      <c r="DJ116" s="54" cm="1">
        <f t="array" ref="DJ116">IFERROR(VLOOKUP($A116,TRANSPOSE('[1]Fur 3 PLC'!$CK$1:$DO$38),25,0),0)</f>
        <v>0</v>
      </c>
      <c r="DK116" s="54" cm="1">
        <f t="array" ref="DK116">IFERROR(VLOOKUP($A116,TRANSPOSE('[1]Fur 3 PLC'!$CK$1:$DO$38),26,0),0)</f>
        <v>0</v>
      </c>
      <c r="DL116" s="54" cm="1">
        <f t="array" ref="DL116">IFERROR(VLOOKUP($A116,TRANSPOSE('[1]Fur 3 PLC'!$CK$1:$DO$38),27,0),0)</f>
        <v>0</v>
      </c>
      <c r="DM116" s="54" cm="1">
        <f t="array" ref="DM116">IFERROR(VLOOKUP($A116,TRANSPOSE('[1]Fur 3 PLC'!$CK$1:$DO$38),22,0),0)</f>
        <v>0</v>
      </c>
      <c r="DN116" s="54" cm="1">
        <f t="array" ref="DN116">IFERROR(VLOOKUP($A116,TRANSPOSE('[1]Fur 3 PLC'!$CK$1:$DO$38),19,0),0)</f>
        <v>0</v>
      </c>
      <c r="DO116" s="54" cm="1">
        <f t="array" ref="DO116">IFERROR(VLOOKUP($A116,TRANSPOSE('[1]Fur 3 PLC'!$CK$1:$DO$38),29,0),0)</f>
        <v>0</v>
      </c>
      <c r="DP116" s="54" cm="1">
        <f t="array" ref="DP116">IFERROR(VLOOKUP($A116,TRANSPOSE('[1]Fur 3 PLC'!$CK$1:$DO$38),10,0),0)</f>
        <v>0</v>
      </c>
      <c r="DQ116" s="54" cm="1">
        <f t="array" ref="DQ116">IFERROR(VLOOKUP($A116,TRANSPOSE('[1]Fur 3 PLC'!$CK$1:$DO$38),7,0),0)</f>
        <v>0</v>
      </c>
      <c r="DR116" s="54" cm="1">
        <f t="array" ref="DR116">IFERROR(VLOOKUP($A116,TRANSPOSE('[1]Fur 3 PLC'!$CK$1:$DO$38),35,0),0)</f>
        <v>0</v>
      </c>
      <c r="DS116" s="54" cm="1">
        <f t="array" ref="DS116">IFERROR(VLOOKUP($A116,TRANSPOSE('[1]Fur 3 PLC'!$CK$1:$DO$38),11,0),0)</f>
        <v>0</v>
      </c>
      <c r="DT116" s="54" cm="1">
        <f t="array" ref="DT116">IFERROR(VLOOKUP($A116,TRANSPOSE('[1]Fur 3 PLC'!$CK$1:$DO$38),19,0),0)</f>
        <v>0</v>
      </c>
      <c r="DU116" s="54" cm="1">
        <f t="array" ref="DU116">IFERROR(VLOOKUP($A116,TRANSPOSE('[1]Fur 3 PLC'!$CK$1:$DO$38),18,0),0)</f>
        <v>0</v>
      </c>
      <c r="DV116" s="54" cm="1">
        <f t="array" ref="DV116">IFERROR(VLOOKUP($A116,TRANSPOSE('[1]Fur 3 PLC'!$CK$1:$DO$38),15,0),0)</f>
        <v>0</v>
      </c>
      <c r="DW116" t="str">
        <f t="shared" si="142"/>
        <v>Dec-25</v>
      </c>
    </row>
    <row r="117" spans="1:127" x14ac:dyDescent="0.3">
      <c r="A117" s="28" t="str">
        <f t="shared" si="140"/>
        <v>F446020</v>
      </c>
      <c r="B117" s="29" t="s">
        <v>29</v>
      </c>
      <c r="C117" s="30">
        <f>C116</f>
        <v>46020</v>
      </c>
      <c r="D117" s="29" t="str">
        <f>VLOOKUP($B117&amp;$C117,'[1]FC4 Prod'!$A$6:$BP$36,[2]Consolidated!D$1)</f>
        <v>Mr.Ganesh Ghosh Ji</v>
      </c>
      <c r="E117" s="29">
        <f>VLOOKUP($B117&amp;$C117,'[1]FC4 Prod'!$A$6:$BP$36,[2]Consolidated!E$1)</f>
        <v>0</v>
      </c>
      <c r="F117" s="31">
        <f>VLOOKUP($B117&amp;$C117,'[1]FC4 Prod'!$A$6:$BP$36,[2]Consolidated!F$1)</f>
        <v>0</v>
      </c>
      <c r="G117" s="32" t="e">
        <f>VLOOKUP($B117&amp;$C117,'[1]FC4 Prod'!$A$6:$BP$36,[2]Consolidated!G$1)</f>
        <v>#REF!</v>
      </c>
      <c r="H117" s="32">
        <f>VLOOKUP($B117&amp;$C117,'[1]FC4 Prod'!$A$6:$BP$36,[2]Consolidated!H$1)</f>
        <v>0</v>
      </c>
      <c r="I117" s="32">
        <f>VLOOKUP($B117&amp;$C117,'[1]FC4 Prod'!$A$6:$BP$36,[2]Consolidated!I$1)</f>
        <v>0</v>
      </c>
      <c r="J117" s="32">
        <f>VLOOKUP($B117&amp;$C117,'[1]FC4 Prod'!$A$6:$BP$36,[2]Consolidated!J$1)</f>
        <v>0</v>
      </c>
      <c r="K117" s="32">
        <f>VLOOKUP($B117&amp;$C117,'[1]FC4 Prod'!$A$6:$BP$36,[2]Consolidated!K$1)</f>
        <v>0</v>
      </c>
      <c r="L117" s="32">
        <f>VLOOKUP($B117&amp;$C117,'[1]FC4 Prod'!$A$6:$BP$36,[2]Consolidated!L$1)</f>
        <v>0</v>
      </c>
      <c r="M117" s="32">
        <f>VLOOKUP($B117&amp;$C117,'[1]FC4 Prod'!$A$6:$BP$36,[2]Consolidated!M$1)</f>
        <v>0</v>
      </c>
      <c r="N117" s="32">
        <f>VLOOKUP($B117&amp;$C117,'[1]FC4 Prod'!$A$6:$BP$36,[2]Consolidated!N$1)</f>
        <v>0</v>
      </c>
      <c r="O117" s="32">
        <f>VLOOKUP($B117&amp;$C117,'[1]FC4 Prod'!$A$6:$BP$36,[2]Consolidated!O$1)</f>
        <v>0</v>
      </c>
      <c r="P117" s="33">
        <f>VLOOKUP($B117&amp;$C117,'[1]FC4 Prod'!$A$6:$BP$36,[2]Consolidated!P$1)</f>
        <v>12</v>
      </c>
      <c r="Q117" s="29">
        <f>VLOOKUP($B117&amp;$C117,'[1]FC4 Prod'!$A$6:$BP$36,[2]Consolidated!Q$1)</f>
        <v>0</v>
      </c>
      <c r="R117" s="29">
        <f>VLOOKUP($B117&amp;$C117,'[1]FC4 Prod'!$A$6:$BP$36,[2]Consolidated!R$1)</f>
        <v>0</v>
      </c>
      <c r="S117" s="34" t="e">
        <f>VLOOKUP($B117&amp;$C117,'[1]FC4 Prod'!$A$6:$BP$36,[2]Consolidated!S$1)</f>
        <v>#REF!</v>
      </c>
      <c r="T117" s="34" t="e">
        <f>VLOOKUP($B117&amp;$C117,'[1]FC4 Prod'!$A$6:$BP$36,[2]Consolidated!T$1)</f>
        <v>#REF!</v>
      </c>
      <c r="U117" s="34" t="e">
        <f>VLOOKUP($B117&amp;$C117,'[1]FC4 Prod'!$A$6:$BP$36,[2]Consolidated!U$1)</f>
        <v>#REF!</v>
      </c>
      <c r="V117" s="34">
        <f>VLOOKUP($B117&amp;$C117,'[1]FC4 Prod'!$A$6:$BP$36,[2]Consolidated!V$1)</f>
        <v>0</v>
      </c>
      <c r="W117" s="35">
        <f>VLOOKUP($B117&amp;$C117,'[1]FC4 Prod'!$A$6:$BP$36,[2]Consolidated!W$1)</f>
        <v>0</v>
      </c>
      <c r="X117" s="35">
        <f>VLOOKUP($B117&amp;$C117,'[1]FC4 Prod'!$A$6:$BP$36,[2]Consolidated!X$1)</f>
        <v>0</v>
      </c>
      <c r="Y117" s="36">
        <f>VLOOKUP($B117&amp;$C117,'[1]FC4 Prod'!$A$6:$BP$36,[2]Consolidated!Y$1)</f>
        <v>0</v>
      </c>
      <c r="Z117" s="37" t="e">
        <f>VLOOKUP($B117&amp;$C117,'[1]FC4 Prod'!$A$6:$BP$36,[2]Consolidated!Z$1)</f>
        <v>#REF!</v>
      </c>
      <c r="AA117" s="31">
        <f>VLOOKUP($B117&amp;$C117,'[1]FC4 Prod'!$A$6:$BP$36,[2]Consolidated!AA$1)</f>
        <v>0</v>
      </c>
      <c r="AB117" s="31">
        <f>VLOOKUP($B117&amp;$C117,'[1]FC4 Prod'!$A$6:$BP$36,[2]Consolidated!AB$1)</f>
        <v>0</v>
      </c>
      <c r="AC117" s="31">
        <f>VLOOKUP($B117&amp;$C117,'[1]FC4 Prod'!$A$6:$BP$36,[2]Consolidated!AC$1)</f>
        <v>0</v>
      </c>
      <c r="AD117" s="38">
        <f>VLOOKUP($B117&amp;$C117,'[1]FC4 Prod'!$A$6:$BP$36,[2]Consolidated!AD$1)</f>
        <v>0</v>
      </c>
      <c r="AE117" s="38">
        <f>VLOOKUP($B117&amp;$C117,'[1]FC4 Prod'!$A$6:$BP$36,[2]Consolidated!AE$1)</f>
        <v>0</v>
      </c>
      <c r="AF117" s="39">
        <f>VLOOKUP($B117&amp;$C117,'[1]FC4 Prod'!$A$6:$BP$36,[2]Consolidated!AF$1)</f>
        <v>0</v>
      </c>
      <c r="AG117" s="39">
        <f>VLOOKUP($B117&amp;$C117,'[1]FC4 Prod'!$A$6:$BP$36,[2]Consolidated!AG$1)</f>
        <v>0</v>
      </c>
      <c r="AH117" s="34">
        <f>VLOOKUP($B117&amp;$C117,'[1]FC4 Prod'!$A$6:$BP$36,[2]Consolidated!AH$1)</f>
        <v>0</v>
      </c>
      <c r="AI117" s="33">
        <f>VLOOKUP($B117&amp;$C117,'[1]FC4 Prod'!$A$6:$BP$36,[2]Consolidated!AI$1)</f>
        <v>0</v>
      </c>
      <c r="AJ117" s="39">
        <f>VLOOKUP($B117&amp;$C117,'[1]FC4 Prod'!$A$6:$BP$36,[2]Consolidated!AJ$1)</f>
        <v>0</v>
      </c>
      <c r="AK117" s="39">
        <f>VLOOKUP($B117&amp;$C117,'[1]FC4 Prod'!$A$6:$BP$36,[2]Consolidated!AK$1)</f>
        <v>0</v>
      </c>
      <c r="AL117" s="40" t="e">
        <f>VLOOKUP($B117&amp;$C117,'[1]FC4 Prod'!$A$6:$BP$36,[2]Consolidated!AL$1)</f>
        <v>#REF!</v>
      </c>
      <c r="AM117" s="41">
        <f>VLOOKUP($B117&amp;$C117,'[1]FC4 Prod'!$A$6:$BP$36,[2]Consolidated!AM$1)</f>
        <v>0</v>
      </c>
      <c r="AN117" s="42" t="e">
        <f>VLOOKUP($B117&amp;$C117,'[1]FC4 Prod'!$A$6:$BP$36,[2]Consolidated!AN$1)</f>
        <v>#REF!</v>
      </c>
      <c r="AO117" s="43" t="e">
        <f>VLOOKUP($B117&amp;$C117,'[1]FC4 Prod'!$A$6:$BP$36,[2]Consolidated!AO$1)</f>
        <v>#REF!</v>
      </c>
      <c r="AP117" s="44">
        <f>VLOOKUP($B117&amp;$C117,'[1]FC4 Prod'!$A$6:$BP$36,[2]Consolidated!AP$1)</f>
        <v>0</v>
      </c>
      <c r="AQ117" s="44">
        <f>VLOOKUP($B117&amp;$C117,'[1]FC4 Prod'!$A$6:$BP$36,[2]Consolidated!AQ$1)</f>
        <v>0</v>
      </c>
      <c r="AR117" s="45">
        <f>VLOOKUP($B117&amp;$C117,'[1]FC4 Prod'!$A$6:$BP$36,[2]Consolidated!AR$1)</f>
        <v>0</v>
      </c>
      <c r="AS117" s="46">
        <f>VLOOKUP($B117&amp;$C117,'[1]FC4 Prod'!$A$6:$BP$36,[2]Consolidated!AS$1)</f>
        <v>0</v>
      </c>
      <c r="AT117" s="29">
        <f>VLOOKUP($B117&amp;$C117,'[1]FC4 Prod'!$A$6:$BP$36,[2]Consolidated!AT$1)</f>
        <v>0</v>
      </c>
      <c r="AU117" s="34">
        <f>VLOOKUP($B117&amp;$C117,'[1]FC4 Prod'!$A$6:$BP$36,[2]Consolidated!AU$1)</f>
        <v>0</v>
      </c>
      <c r="AV117" s="34">
        <f>VLOOKUP($B117&amp;$C117,'[1]FC4 Prod'!$A$6:$BP$36,[2]Consolidated!AV$1)</f>
        <v>0</v>
      </c>
      <c r="AW117" s="47">
        <f>VLOOKUP($B117&amp;$C117,'[1]FC4 Prod'!$A$6:$BP$36,[2]Consolidated!AW$1)</f>
        <v>0</v>
      </c>
      <c r="AX117" s="47">
        <f>VLOOKUP($B117&amp;$C117,'[1]FC4 Prod'!$A$6:$BP$36,[2]Consolidated!AX$1)</f>
        <v>0</v>
      </c>
      <c r="AY117" s="48">
        <f>VLOOKUP($B117&amp;$C117,'[1]FC4 Prod'!$A$6:$BP$36,[2]Consolidated!AY$1)</f>
        <v>0</v>
      </c>
      <c r="AZ117" s="47">
        <f>VLOOKUP($B117&amp;$C117,'[1]FC4 Prod'!$A$6:$BP$36,[2]Consolidated!AZ$1)</f>
        <v>0</v>
      </c>
      <c r="BA117" s="47">
        <f>VLOOKUP($B117&amp;$C117,'[1]FC4 Prod'!$A$6:$BP$36,[2]Consolidated!BA$1)</f>
        <v>0</v>
      </c>
      <c r="BB117" s="47">
        <f>VLOOKUP($B117&amp;$C117,'[1]FC4 Prod'!$A$6:$BP$36,[2]Consolidated!BB$1)</f>
        <v>0</v>
      </c>
      <c r="BC117" s="47">
        <f>VLOOKUP($B117&amp;$C117,'[1]FC4 Prod'!$A$6:$BP$36,[2]Consolidated!BC$1)</f>
        <v>0</v>
      </c>
      <c r="BD117" s="49">
        <f>VLOOKUP($B117&amp;$C117,'[1]FC4 Prod'!$A$6:$BP$36,[2]Consolidated!BD$1)</f>
        <v>0</v>
      </c>
      <c r="BE117" s="47">
        <f>VLOOKUP($B117&amp;$C117,'[1]FC4 Prod'!$A$6:$BP$36,[2]Consolidated!BE$1)</f>
        <v>0</v>
      </c>
      <c r="BF117" s="47">
        <f>VLOOKUP($B117&amp;$C117,'[1]FC4 Prod'!$A$6:$BP$36,[2]Consolidated!BF$1)</f>
        <v>0</v>
      </c>
      <c r="BG117" s="50">
        <f>VLOOKUP($B117&amp;$C117,'[1]FC4 Prod'!$A$6:$BP$36,[2]Consolidated!BG$1)</f>
        <v>0</v>
      </c>
      <c r="BH117" s="50">
        <f>VLOOKUP($B117&amp;$C117,'[1]FC4 Prod'!$A$6:$BP$36,[2]Consolidated!BH$1)</f>
        <v>0</v>
      </c>
      <c r="BI117" s="50">
        <f>VLOOKUP($B117&amp;$C117,'[1]FC4 Prod'!$A$6:$BP$36,[2]Consolidated!BI$1)</f>
        <v>0</v>
      </c>
      <c r="BJ117" s="37" t="e">
        <f>VLOOKUP($B117&amp;$C117,'[1]FC4 Prod'!$A$6:$BP$36,[2]Consolidated!BJ$1)</f>
        <v>#REF!</v>
      </c>
      <c r="BK117" s="37" t="e">
        <f>VLOOKUP($B117&amp;$C117,'[1]FC4 Prod'!$A$6:$BP$36,[2]Consolidated!BK$1)</f>
        <v>#REF!</v>
      </c>
      <c r="BL117" s="37" t="e">
        <f>VLOOKUP($B117&amp;$C117,'[1]FC4 Prod'!$A$6:$BP$36,[2]Consolidated!BL$1)</f>
        <v>#REF!</v>
      </c>
      <c r="BM117" s="37" t="e">
        <f>VLOOKUP($B117&amp;$C117,'[1]FC4 Prod'!$A$6:$BP$36,[2]Consolidated!BM$1)</f>
        <v>#REF!</v>
      </c>
      <c r="BN117" s="37" t="e">
        <f>VLOOKUP($B117&amp;$C117,'[1]FC4 Prod'!$A$6:$BP$36,[2]Consolidated!BN$1)</f>
        <v>#REF!</v>
      </c>
      <c r="BO117" s="37" t="e">
        <f>VLOOKUP($B117&amp;$C117,'[1]FC4 Prod'!$A$6:$BP$36,[2]Consolidated!BO$1)</f>
        <v>#REF!</v>
      </c>
      <c r="BP117" s="37" t="e">
        <f>VLOOKUP($B117&amp;$C117,'[1]FC4 Prod'!$A$6:$BP$36,[2]Consolidated!BP$1)</f>
        <v>#REF!</v>
      </c>
      <c r="BQ117" s="51" t="e">
        <f>VLOOKUP($B117&amp;$C117,'[1]FC4 Prod'!$A$6:$BP$36,[2]Consolidated!BQ$1)</f>
        <v>#REF!</v>
      </c>
      <c r="BR117" s="51">
        <f>VLOOKUP($B117&amp;$C117,'[1]FC4 Prod'!$A$6:$BQ$36,[2]Consolidated!BR$1)</f>
        <v>41644</v>
      </c>
      <c r="BS117" s="52">
        <f t="shared" ref="BS117" si="145">BE117+BF117*110%+BG117+BA117</f>
        <v>0</v>
      </c>
      <c r="BT117" s="32">
        <f t="shared" si="143"/>
        <v>41644</v>
      </c>
      <c r="BU117" s="37">
        <f t="shared" si="144"/>
        <v>0</v>
      </c>
      <c r="BV117" s="53" t="s">
        <v>133</v>
      </c>
      <c r="BW117" s="54" cm="1">
        <f t="array" ref="BW117">IFERROR(VLOOKUP($A117,TRANSPOSE('[1]Fur 4 PLC'!$AR$1:$BV$39),8,0),0)</f>
        <v>0</v>
      </c>
      <c r="BX117" s="54" cm="1">
        <f t="array" ref="BX117">IFERROR(VLOOKUP($A117,TRANSPOSE('[1]Fur 4 PLC'!$AR$1:$BV$39),30,0),0)</f>
        <v>0</v>
      </c>
      <c r="BY117" s="54" cm="1">
        <f t="array" ref="BY117">IFERROR(VLOOKUP($A117,TRANSPOSE('[1]Fur 4 PLC'!$AR$1:$BV$39),14,0),0)</f>
        <v>0</v>
      </c>
      <c r="BZ117" s="54" cm="1">
        <f t="array" ref="BZ117">IFERROR(VLOOKUP($A117,TRANSPOSE('[1]Fur 4 PLC'!$AR$1:$BV$39),16,0),0)</f>
        <v>0</v>
      </c>
      <c r="CA117" s="54" cm="1">
        <f t="array" ref="CA117">IFERROR(VLOOKUP($A117,TRANSPOSE('[1]Fur 4 PLC'!$AR$1:$BV$39),9,0),0)</f>
        <v>0</v>
      </c>
      <c r="CB117" s="54" cm="1">
        <f t="array" ref="CB117">IFERROR(VLOOKUP($A117,TRANSPOSE('[1]Fur 4 PLC'!$AR$1:$BV$39),17,0),0)</f>
        <v>0</v>
      </c>
      <c r="CC117" s="54" cm="1">
        <f t="array" ref="CC117">IFERROR(VLOOKUP($A117,TRANSPOSE('[1]Fur 4 PLC'!$AR$1:$BV$39),20,0),0)</f>
        <v>0</v>
      </c>
      <c r="CD117" s="54" cm="1">
        <f t="array" ref="CD117">IFERROR(VLOOKUP($A117,TRANSPOSE('[1]Fur 4 PLC'!$AR$1:$BV$39),28,0),0)</f>
        <v>0</v>
      </c>
      <c r="CE117" s="54" cm="1">
        <f t="array" ref="CE117">IFERROR(VLOOKUP($A117,TRANSPOSE('[1]Fur 4 PLC'!$AR$1:$BV$39),13,0),0)</f>
        <v>0</v>
      </c>
      <c r="CF117" s="54" cm="1">
        <f t="array" ref="CF117">IFERROR(VLOOKUP($A117,TRANSPOSE('[1]Fur 4 PLC'!$AR$1:$BV$39),37,0),0)</f>
        <v>0</v>
      </c>
      <c r="CG117" s="54" cm="1">
        <f t="array" ref="CG117">IFERROR(VLOOKUP($A117,TRANSPOSE('[1]Fur 4 PLC'!$AR$1:$BV$39),6,0),0)</f>
        <v>0</v>
      </c>
      <c r="CH117" s="54" cm="1">
        <f t="array" ref="CH117">IFERROR(VLOOKUP($A117,TRANSPOSE('[1]Fur 4 PLC'!$AR$1:$BV$39),21,0),0)</f>
        <v>0</v>
      </c>
      <c r="CI117" s="54" cm="1">
        <f t="array" ref="CI117">IFERROR(VLOOKUP($A117,TRANSPOSE('[1]Fur 4 PLC'!$AR$1:$BV$39),12,0),0)</f>
        <v>0</v>
      </c>
      <c r="CJ117" s="54" cm="1">
        <f t="array" ref="CJ117">IFERROR(VLOOKUP($A117,TRANSPOSE('[1]Fur 4 PLC'!$AR$1:$BV$39),25,0),0)</f>
        <v>0</v>
      </c>
      <c r="CK117" s="54" cm="1">
        <f t="array" ref="CK117">IFERROR(VLOOKUP($A117,TRANSPOSE('[1]Fur 4 PLC'!$AR$1:$BV$39),26,0),0)</f>
        <v>0</v>
      </c>
      <c r="CL117" s="54" cm="1">
        <f t="array" ref="CL117">IFERROR(VLOOKUP($A117,TRANSPOSE('[1]Fur 4 PLC'!$AR$1:$BV$39),27,0),0)</f>
        <v>0</v>
      </c>
      <c r="CM117" s="54" cm="1">
        <f t="array" ref="CM117">IFERROR(VLOOKUP($A117,TRANSPOSE('[1]Fur 4 PLC'!$AR$1:$BV$39),22,0),0)</f>
        <v>0</v>
      </c>
      <c r="CN117" s="54"/>
      <c r="CO117" s="54" cm="1">
        <f t="array" ref="CO117">IFERROR(VLOOKUP($A117,TRANSPOSE('[1]Fur 4 PLC'!$AR$1:$BV$39),29,0),0)</f>
        <v>0</v>
      </c>
      <c r="CP117" s="54" cm="1">
        <f t="array" ref="CP117">IFERROR(VLOOKUP($A117,TRANSPOSE('[1]Fur 4 PLC'!$AR$1:$BV$39),10,0),0)</f>
        <v>0</v>
      </c>
      <c r="CQ117" s="54" cm="1">
        <f t="array" ref="CQ117">IFERROR(VLOOKUP($A117,TRANSPOSE('[1]Fur 4 PLC'!$AR$1:$BV$39),7,0),0)</f>
        <v>0</v>
      </c>
      <c r="CR117" s="54" cm="1">
        <f t="array" ref="CR117">IFERROR(VLOOKUP($A117,TRANSPOSE('[1]Fur 4 PLC'!$AR$1:$BV$39),36,0),0)</f>
        <v>0</v>
      </c>
      <c r="CS117" s="54" cm="1">
        <f t="array" ref="CS117">IFERROR(VLOOKUP($A117,TRANSPOSE('[1]Fur 4 PLC'!$AR$1:$BV$39),11,0),0)</f>
        <v>0</v>
      </c>
      <c r="CT117" s="54" cm="1">
        <f t="array" ref="CT117">IFERROR(VLOOKUP($A117,TRANSPOSE('[1]Fur 4 PLC'!$AR$1:$BV$39),19,0),0)</f>
        <v>0</v>
      </c>
      <c r="CU117" s="54" cm="1">
        <f t="array" ref="CU117">IFERROR(VLOOKUP($A117,TRANSPOSE('[1]Fur 4 PLC'!$AR$1:$BV$39),18,0),0)</f>
        <v>0</v>
      </c>
      <c r="CV117" s="54" cm="1">
        <f t="array" ref="CV117">IFERROR(VLOOKUP($A117,TRANSPOSE('[1]Fur 4 PLC'!$AR$1:$BV$38),15,0),0)</f>
        <v>0</v>
      </c>
      <c r="CW117" s="54" cm="1">
        <f t="array" ref="CW117">IFERROR(VLOOKUP($A117,TRANSPOSE('[1]Fur 4 PLC'!$CK$1:$DO$39),8,0),0)</f>
        <v>0</v>
      </c>
      <c r="CX117" s="54" cm="1">
        <f t="array" ref="CX117">IFERROR(VLOOKUP($A117,TRANSPOSE('[1]Fur 4 PLC'!$CK$1:$DO$39),30,0),0)</f>
        <v>0</v>
      </c>
      <c r="CY117" s="54" cm="1">
        <f t="array" ref="CY117">IFERROR(VLOOKUP($A117,TRANSPOSE('[1]Fur 4 PLC'!$CK$1:$DO$39),14,0),0)</f>
        <v>0</v>
      </c>
      <c r="CZ117" s="54" cm="1">
        <f t="array" ref="CZ117">IFERROR(VLOOKUP($A117,TRANSPOSE('[1]Fur 4 PLC'!$CK$1:$DO$39),16,0),0)</f>
        <v>0</v>
      </c>
      <c r="DA117" s="54" cm="1">
        <f t="array" ref="DA117">IFERROR(VLOOKUP($A117,TRANSPOSE('[1]Fur 4 PLC'!$CK$1:$DO$39),9,0),0)</f>
        <v>0</v>
      </c>
      <c r="DB117" s="55" cm="1">
        <f t="array" ref="DB117">IFERROR(VLOOKUP($A117,TRANSPOSE('[1]Fur 4 PLC'!$CK$1:$DO$39),17,0),0)</f>
        <v>0</v>
      </c>
      <c r="DC117" s="55" cm="1">
        <f t="array" ref="DC117">IFERROR(VLOOKUP($A117,TRANSPOSE('[1]Fur 4 PLC'!$CK$1:$DO$39),20,0),0)</f>
        <v>0</v>
      </c>
      <c r="DD117" s="54" cm="1">
        <f t="array" ref="DD117">IFERROR(VLOOKUP($A117,TRANSPOSE('[1]Fur 4 PLC'!$CK$1:$DO$39),28,0),0)</f>
        <v>0</v>
      </c>
      <c r="DE117" s="54" cm="1">
        <f t="array" ref="DE117">IFERROR(VLOOKUP($A117,TRANSPOSE('[1]Fur 4 PLC'!$CK$1:$DO$39),13,0),0)</f>
        <v>0</v>
      </c>
      <c r="DF117" s="54" cm="1">
        <f t="array" ref="DF117">IFERROR(VLOOKUP($A117,TRANSPOSE('[1]Fur 4 PLC'!$CK$1:$DO$39),37,0),0)</f>
        <v>0</v>
      </c>
      <c r="DG117" s="54" cm="1">
        <f t="array" ref="DG117">IFERROR(VLOOKUP($A117,TRANSPOSE('[1]Fur 4 PLC'!$CK$1:$DO$39),6,0),0)</f>
        <v>0</v>
      </c>
      <c r="DH117" s="54" cm="1">
        <f t="array" ref="DH117">IFERROR(VLOOKUP($A117,TRANSPOSE('[1]Fur 4 PLC'!$CK$1:$DO$39),21,0),0)</f>
        <v>0</v>
      </c>
      <c r="DI117" s="54" cm="1">
        <f t="array" ref="DI117">IFERROR(VLOOKUP($A117,TRANSPOSE('[1]Fur 4 PLC'!$CK$1:$DO$39),12,0),0)</f>
        <v>0</v>
      </c>
      <c r="DJ117" s="54" cm="1">
        <f t="array" ref="DJ117">IFERROR(VLOOKUP($A117,TRANSPOSE('[1]Fur 4 PLC'!$CK$1:$DO$39),25,0),0)</f>
        <v>0</v>
      </c>
      <c r="DK117" s="54" cm="1">
        <f t="array" ref="DK117">IFERROR(VLOOKUP($A117,TRANSPOSE('[1]Fur 4 PLC'!$CK$1:$DO$39),26,0),0)</f>
        <v>0</v>
      </c>
      <c r="DL117" s="54" cm="1">
        <f t="array" ref="DL117">IFERROR(VLOOKUP($A117,TRANSPOSE('[1]Fur 4 PLC'!$CK$1:$DO$39),27,0),0)</f>
        <v>0</v>
      </c>
      <c r="DM117" s="54" cm="1">
        <f t="array" ref="DM117">IFERROR(VLOOKUP($A117,TRANSPOSE('[1]Fur 4 PLC'!$CK$1:$DO$39),22,0),0)</f>
        <v>0</v>
      </c>
      <c r="DN117" s="54" cm="1">
        <f t="array" ref="DN117">IFERROR(VLOOKUP($A117,TRANSPOSE('[1]Fur 4 PLC'!$CK$1:$DO$39),19,0),0)</f>
        <v>0</v>
      </c>
      <c r="DO117" s="54" cm="1">
        <f t="array" ref="DO117">IFERROR(VLOOKUP($A117,TRANSPOSE('[1]Fur 4 PLC'!$CK$1:$DO$39),29,0),0)</f>
        <v>0</v>
      </c>
      <c r="DP117" s="54" cm="1">
        <f t="array" ref="DP117">IFERROR(VLOOKUP($A117,TRANSPOSE('[1]Fur 4 PLC'!$CK$1:$DO$39),10,0),0)</f>
        <v>0</v>
      </c>
      <c r="DQ117" s="54" cm="1">
        <f t="array" ref="DQ117">IFERROR(VLOOKUP($A117,TRANSPOSE('[1]Fur 4 PLC'!$CK$1:$DO$39),7,0),0)</f>
        <v>0</v>
      </c>
      <c r="DR117" s="54" cm="1">
        <f t="array" ref="DR117">IFERROR(VLOOKUP($A117,TRANSPOSE('[1]Fur 4 PLC'!$CK$1:$DO$39),36,0),0)</f>
        <v>0</v>
      </c>
      <c r="DS117" s="54" cm="1">
        <f t="array" ref="DS117">IFERROR(VLOOKUP($A117,TRANSPOSE('[1]Fur 4 PLC'!$CK$1:$DO$39),11,0),0)</f>
        <v>0</v>
      </c>
      <c r="DT117" s="54" cm="1">
        <f t="array" ref="DT117">IFERROR(VLOOKUP($A117,TRANSPOSE('[1]Fur 4 PLC'!$CK$1:$DO$39),19,0),0)</f>
        <v>0</v>
      </c>
      <c r="DU117" s="54" cm="1">
        <f t="array" ref="DU117">IFERROR(VLOOKUP($A117,TRANSPOSE('[1]Fur 4 PLC'!$CK$1:$DO$39),18,0),0)</f>
        <v>0</v>
      </c>
      <c r="DV117" s="54" cm="1">
        <f t="array" ref="DV117">IFERROR(VLOOKUP($A117,TRANSPOSE('[1]Fur 4 PLC'!$CK$1:$DO$39),15,0),0)</f>
        <v>0</v>
      </c>
      <c r="DW117" t="str">
        <f t="shared" si="142"/>
        <v>Dec-25</v>
      </c>
    </row>
    <row r="118" spans="1:127" x14ac:dyDescent="0.3">
      <c r="A118" s="28" t="str">
        <f t="shared" si="140"/>
        <v>F146021</v>
      </c>
      <c r="B118" s="29" t="s">
        <v>26</v>
      </c>
      <c r="C118" s="30">
        <f>C114+1</f>
        <v>46021</v>
      </c>
      <c r="D118" s="29" t="str">
        <f>VLOOKUP($B118&amp;$C118,'[1]FC1 Prod'!$A$6:$BP$36,[2]Consolidated!D$1)</f>
        <v>Raju Singh</v>
      </c>
      <c r="E118" s="29">
        <f>VLOOKUP($B118&amp;$C118,'[1]FC1 Prod'!$A$6:$BP$36,[2]Consolidated!E$1)</f>
        <v>0</v>
      </c>
      <c r="F118" s="31">
        <f>VLOOKUP($B118&amp;$C118,'[1]FC1 Prod'!$A$6:$BP$36,[2]Consolidated!F$1)</f>
        <v>0</v>
      </c>
      <c r="G118" s="32" t="e">
        <f>VLOOKUP($B118&amp;$C118,'[1]FC1 Prod'!$A$6:$BP$36,[2]Consolidated!G$1)</f>
        <v>#REF!</v>
      </c>
      <c r="H118" s="32">
        <f>VLOOKUP($B118&amp;$C118,'[1]FC1 Prod'!$A$6:$BP$36,[2]Consolidated!H$1)</f>
        <v>0</v>
      </c>
      <c r="I118" s="32">
        <f>VLOOKUP($B118&amp;$C118,'[1]FC1 Prod'!$A$6:$BP$36,[2]Consolidated!I$1)</f>
        <v>0</v>
      </c>
      <c r="J118" s="32">
        <f>VLOOKUP($B118&amp;$C118,'[1]FC1 Prod'!$A$6:$BP$36,[2]Consolidated!J$1)</f>
        <v>0</v>
      </c>
      <c r="K118" s="32">
        <f>VLOOKUP($B118&amp;$C118,'[1]FC1 Prod'!$A$6:$BP$36,[2]Consolidated!K$1)</f>
        <v>0</v>
      </c>
      <c r="L118" s="32">
        <f>VLOOKUP($B118&amp;$C118,'[1]FC1 Prod'!$A$6:$BP$36,[2]Consolidated!L$1)</f>
        <v>0</v>
      </c>
      <c r="M118" s="32">
        <f>VLOOKUP($B118&amp;$C118,'[1]FC1 Prod'!$A$6:$BP$36,[2]Consolidated!M$1)</f>
        <v>0</v>
      </c>
      <c r="N118" s="32">
        <f>VLOOKUP($B118&amp;$C118,'[1]FC1 Prod'!$A$6:$BP$36,[2]Consolidated!N$1)</f>
        <v>0</v>
      </c>
      <c r="O118" s="32">
        <f>VLOOKUP($B118&amp;$C118,'[1]FC1 Prod'!$A$6:$BP$36,[2]Consolidated!O$1)</f>
        <v>0</v>
      </c>
      <c r="P118" s="33">
        <f>VLOOKUP($B118&amp;$C118,'[1]FC1 Prod'!$A$6:$BP$36,[2]Consolidated!P$1)</f>
        <v>8</v>
      </c>
      <c r="Q118" s="29">
        <f>VLOOKUP($B118&amp;$C118,'[1]FC1 Prod'!$A$6:$BP$36,[2]Consolidated!Q$1)</f>
        <v>0</v>
      </c>
      <c r="R118" s="29">
        <f>VLOOKUP($B118&amp;$C118,'[1]FC1 Prod'!$A$6:$BP$36,[2]Consolidated!R$1)</f>
        <v>0</v>
      </c>
      <c r="S118" s="34" t="e">
        <f>VLOOKUP($B118&amp;$C118,'[1]FC1 Prod'!$A$6:$BP$36,[2]Consolidated!S$1)</f>
        <v>#REF!</v>
      </c>
      <c r="T118" s="34" t="e">
        <f>VLOOKUP($B118&amp;$C118,'[1]FC1 Prod'!$A$6:$BP$36,[2]Consolidated!T$1)</f>
        <v>#REF!</v>
      </c>
      <c r="U118" s="34" t="e">
        <f>VLOOKUP($B118&amp;$C118,'[1]FC1 Prod'!$A$6:$BP$36,[2]Consolidated!U$1)</f>
        <v>#REF!</v>
      </c>
      <c r="V118" s="34">
        <f>VLOOKUP($B118&amp;$C118,'[1]FC1 Prod'!$A$6:$BP$36,[2]Consolidated!V$1)</f>
        <v>0</v>
      </c>
      <c r="W118" s="35">
        <f>VLOOKUP($B118&amp;$C118,'[1]FC1 Prod'!$A$6:$BP$36,[2]Consolidated!W$1)</f>
        <v>0</v>
      </c>
      <c r="X118" s="35">
        <f>VLOOKUP($B118&amp;$C118,'[1]FC1 Prod'!$A$6:$BP$36,[2]Consolidated!X$1)</f>
        <v>0</v>
      </c>
      <c r="Y118" s="36">
        <f>VLOOKUP($B118&amp;$C118,'[1]FC1 Prod'!$A$6:$BP$36,[2]Consolidated!Y$1)</f>
        <v>0</v>
      </c>
      <c r="Z118" s="37" t="e">
        <f>VLOOKUP($B118&amp;$C118,'[1]FC1 Prod'!$A$6:$BP$36,[2]Consolidated!Z$1)</f>
        <v>#REF!</v>
      </c>
      <c r="AA118" s="31">
        <f>VLOOKUP($B118&amp;$C118,'[1]FC1 Prod'!$A$6:$BP$36,[2]Consolidated!AA$1)</f>
        <v>0</v>
      </c>
      <c r="AB118" s="31">
        <f>VLOOKUP($B118&amp;$C118,'[1]FC1 Prod'!$A$6:$BP$36,[2]Consolidated!AB$1)</f>
        <v>0</v>
      </c>
      <c r="AC118" s="31">
        <f>VLOOKUP($B118&amp;$C118,'[1]FC1 Prod'!$A$6:$BP$36,[2]Consolidated!AC$1)</f>
        <v>0</v>
      </c>
      <c r="AD118" s="38">
        <f>VLOOKUP($B118&amp;$C118,'[1]FC1 Prod'!$A$6:$BP$36,[2]Consolidated!AD$1)</f>
        <v>0</v>
      </c>
      <c r="AE118" s="38">
        <f>VLOOKUP($B118&amp;$C118,'[1]FC1 Prod'!$A$6:$BP$36,[2]Consolidated!AE$1)</f>
        <v>0</v>
      </c>
      <c r="AF118" s="39">
        <f>VLOOKUP($B118&amp;$C118,'[1]FC1 Prod'!$A$6:$BP$36,[2]Consolidated!AF$1)</f>
        <v>0</v>
      </c>
      <c r="AG118" s="39">
        <f>VLOOKUP($B118&amp;$C118,'[1]FC1 Prod'!$A$6:$BP$36,[2]Consolidated!AG$1)</f>
        <v>0</v>
      </c>
      <c r="AH118" s="34">
        <f>VLOOKUP($B118&amp;$C118,'[1]FC1 Prod'!$A$6:$BP$36,[2]Consolidated!AH$1)</f>
        <v>0</v>
      </c>
      <c r="AI118" s="33">
        <f>VLOOKUP($B118&amp;$C118,'[1]FC1 Prod'!$A$6:$BP$36,[2]Consolidated!AI$1)</f>
        <v>0</v>
      </c>
      <c r="AJ118" s="39">
        <f>VLOOKUP($B118&amp;$C118,'[1]FC1 Prod'!$A$6:$BP$36,[2]Consolidated!AJ$1)</f>
        <v>0</v>
      </c>
      <c r="AK118" s="39">
        <f>VLOOKUP($B118&amp;$C118,'[1]FC1 Prod'!$A$6:$BP$36,[2]Consolidated!AK$1)</f>
        <v>0</v>
      </c>
      <c r="AL118" s="40" t="e">
        <f>VLOOKUP($B118&amp;$C118,'[1]FC1 Prod'!$A$6:$BP$36,[2]Consolidated!AL$1)</f>
        <v>#REF!</v>
      </c>
      <c r="AM118" s="41">
        <f>VLOOKUP($B118&amp;$C118,'[1]FC1 Prod'!$A$6:$BP$36,[2]Consolidated!AM$1)</f>
        <v>0</v>
      </c>
      <c r="AN118" s="42" t="e">
        <f>VLOOKUP($B118&amp;$C118,'[1]FC1 Prod'!$A$6:$BP$36,[2]Consolidated!AN$1)</f>
        <v>#REF!</v>
      </c>
      <c r="AO118" s="43" t="e">
        <f>VLOOKUP($B118&amp;$C118,'[1]FC1 Prod'!$A$6:$BP$36,[2]Consolidated!AO$1)</f>
        <v>#REF!</v>
      </c>
      <c r="AP118" s="44">
        <f>VLOOKUP($B118&amp;$C118,'[1]FC1 Prod'!$A$6:$BP$36,[2]Consolidated!AP$1)</f>
        <v>0</v>
      </c>
      <c r="AQ118" s="44">
        <f>VLOOKUP($B118&amp;$C118,'[1]FC1 Prod'!$A$6:$BP$36,[2]Consolidated!AQ$1)</f>
        <v>0</v>
      </c>
      <c r="AR118" s="45">
        <f>VLOOKUP($B118&amp;$C118,'[1]FC1 Prod'!$A$6:$BP$36,[2]Consolidated!AR$1)</f>
        <v>0</v>
      </c>
      <c r="AS118" s="46">
        <f>VLOOKUP($B118&amp;$C118,'[1]FC1 Prod'!$A$6:$BP$36,[2]Consolidated!AS$1)</f>
        <v>0</v>
      </c>
      <c r="AT118" s="29">
        <f>VLOOKUP($B118&amp;$C118,'[1]FC1 Prod'!$A$6:$BP$36,[2]Consolidated!AT$1)</f>
        <v>0</v>
      </c>
      <c r="AU118" s="34">
        <f>VLOOKUP($B118&amp;$C118,'[1]FC1 Prod'!$A$6:$BP$36,[2]Consolidated!AU$1)</f>
        <v>0</v>
      </c>
      <c r="AV118" s="34">
        <f>VLOOKUP($B118&amp;$C118,'[1]FC1 Prod'!$A$6:$BP$36,[2]Consolidated!AV$1)</f>
        <v>0</v>
      </c>
      <c r="AW118" s="47">
        <f>VLOOKUP($B118&amp;$C118,'[1]FC1 Prod'!$A$6:$BP$36,[2]Consolidated!AW$1)</f>
        <v>0</v>
      </c>
      <c r="AX118" s="47">
        <f>VLOOKUP($B118&amp;$C118,'[1]FC1 Prod'!$A$6:$BP$36,[2]Consolidated!AX$1)</f>
        <v>0</v>
      </c>
      <c r="AY118" s="48">
        <f>VLOOKUP($B118&amp;$C118,'[1]FC1 Prod'!$A$6:$BP$36,[2]Consolidated!AY$1)</f>
        <v>0</v>
      </c>
      <c r="AZ118" s="47">
        <f>VLOOKUP($B118&amp;$C118,'[1]FC1 Prod'!$A$6:$BP$36,[2]Consolidated!AZ$1)</f>
        <v>0</v>
      </c>
      <c r="BA118" s="47">
        <f>VLOOKUP($B118&amp;$C118,'[1]FC1 Prod'!$A$6:$BP$36,[2]Consolidated!BA$1)</f>
        <v>0</v>
      </c>
      <c r="BB118" s="47">
        <f>VLOOKUP($B118&amp;$C118,'[1]FC1 Prod'!$A$6:$BP$36,[2]Consolidated!BB$1)</f>
        <v>0</v>
      </c>
      <c r="BC118" s="47">
        <f>VLOOKUP($B118&amp;$C118,'[1]FC1 Prod'!$A$6:$BP$36,[2]Consolidated!BC$1)</f>
        <v>0</v>
      </c>
      <c r="BD118" s="49">
        <f>VLOOKUP($B118&amp;$C118,'[1]FC1 Prod'!$A$6:$BP$36,[2]Consolidated!BD$1)</f>
        <v>0</v>
      </c>
      <c r="BE118" s="47">
        <f>VLOOKUP($B118&amp;$C118,'[1]FC1 Prod'!$A$6:$BP$36,[2]Consolidated!BE$1)</f>
        <v>0</v>
      </c>
      <c r="BF118" s="47">
        <f>VLOOKUP($B118&amp;$C118,'[1]FC1 Prod'!$A$6:$BP$36,[2]Consolidated!BF$1)</f>
        <v>0</v>
      </c>
      <c r="BG118" s="50">
        <f>VLOOKUP($B118&amp;$C118,'[1]FC1 Prod'!$A$6:$BP$36,[2]Consolidated!BG$1)</f>
        <v>0</v>
      </c>
      <c r="BH118" s="50">
        <f>VLOOKUP($B118&amp;$C118,'[1]FC1 Prod'!$A$6:$BP$36,[2]Consolidated!BH$1)</f>
        <v>0</v>
      </c>
      <c r="BI118" s="50">
        <f>VLOOKUP($B118&amp;$C118,'[1]FC1 Prod'!$A$6:$BP$36,[2]Consolidated!BI$1)</f>
        <v>0</v>
      </c>
      <c r="BJ118" s="37" t="e">
        <f>VLOOKUP($B118&amp;$C118,'[1]FC1 Prod'!$A$6:$BP$36,[2]Consolidated!BJ$1)</f>
        <v>#REF!</v>
      </c>
      <c r="BK118" s="37" t="e">
        <f>VLOOKUP($B118&amp;$C118,'[1]FC1 Prod'!$A$6:$BP$36,[2]Consolidated!BK$1)</f>
        <v>#REF!</v>
      </c>
      <c r="BL118" s="37" t="e">
        <f>VLOOKUP($B118&amp;$C118,'[1]FC1 Prod'!$A$6:$BP$36,[2]Consolidated!BL$1)</f>
        <v>#REF!</v>
      </c>
      <c r="BM118" s="37" t="e">
        <f>VLOOKUP($B118&amp;$C118,'[1]FC1 Prod'!$A$6:$BP$36,[2]Consolidated!BM$1)</f>
        <v>#REF!</v>
      </c>
      <c r="BN118" s="37" t="e">
        <f>VLOOKUP($B118&amp;$C118,'[1]FC1 Prod'!$A$6:$BP$36,[2]Consolidated!BN$1)</f>
        <v>#REF!</v>
      </c>
      <c r="BO118" s="37" t="e">
        <f>VLOOKUP($B118&amp;$C118,'[1]FC1 Prod'!$A$6:$BP$36,[2]Consolidated!BO$1)</f>
        <v>#REF!</v>
      </c>
      <c r="BP118" s="37" t="e">
        <f>VLOOKUP($B118&amp;$C118,'[1]FC1 Prod'!$A$6:$BP$36,[2]Consolidated!BP$1)</f>
        <v>#REF!</v>
      </c>
      <c r="BQ118" s="51" t="e">
        <f>VLOOKUP($B118&amp;$C118,'[1]FC1 Prod'!$A$6:$BP$36,[2]Consolidated!BQ$1)</f>
        <v>#REF!</v>
      </c>
      <c r="BR118" s="51">
        <f>VLOOKUP($B118&amp;$C118,'[1]FC1 Prod'!$A$6:$BQ$36,[2]Consolidated!BR$1)</f>
        <v>69902</v>
      </c>
      <c r="BS118" s="52">
        <f t="shared" ref="BS118:BS120" si="146">BE118+BF118+BG118+BA118</f>
        <v>0</v>
      </c>
      <c r="BT118" s="32">
        <f>BR118-BS118</f>
        <v>69902</v>
      </c>
      <c r="BU118" s="37">
        <f>E118*BT118</f>
        <v>0</v>
      </c>
      <c r="BV118" s="53" t="s">
        <v>133</v>
      </c>
      <c r="BW118" s="54" cm="1">
        <f t="array" ref="BW118">IFERROR(VLOOKUP($A118,TRANSPOSE('[1]Fur 1 PLC'!$AR$1:$BV$38),8,0),0)</f>
        <v>0</v>
      </c>
      <c r="BX118" s="54" cm="1">
        <f t="array" ref="BX118">IFERROR(VLOOKUP($A118,TRANSPOSE('[1]Fur 1 PLC'!$AR$1:$BV$38),30,0),0)</f>
        <v>0</v>
      </c>
      <c r="BY118" s="54" cm="1">
        <f t="array" ref="BY118">IFERROR(VLOOKUP($A118,TRANSPOSE('[1]Fur 1 PLC'!$AR$1:$BV$38),14,0),0)</f>
        <v>0</v>
      </c>
      <c r="BZ118" s="54" cm="1">
        <f t="array" ref="BZ118">IFERROR(VLOOKUP($A118,TRANSPOSE('[1]Fur 1 PLC'!$AR$1:$BV$38),16,0),0)</f>
        <v>0</v>
      </c>
      <c r="CA118" s="54" cm="1">
        <f t="array" ref="CA118">IFERROR(VLOOKUP($A118,TRANSPOSE('[1]Fur 1 PLC'!$AR$1:$BV$38),9,0),0)</f>
        <v>0</v>
      </c>
      <c r="CB118" s="54" cm="1">
        <f t="array" ref="CB118">IFERROR(VLOOKUP($A118,TRANSPOSE('[1]Fur 1 PLC'!$AR$1:$BV$38),17,0),0)</f>
        <v>0</v>
      </c>
      <c r="CC118" s="54" cm="1">
        <f t="array" ref="CC118">IFERROR(VLOOKUP($A118,TRANSPOSE('[1]Fur 1 PLC'!$AR$1:$BV$38),20,0),0)</f>
        <v>0</v>
      </c>
      <c r="CD118" s="54" cm="1">
        <f t="array" ref="CD118">IFERROR(VLOOKUP($A118,TRANSPOSE('[1]Fur 1 PLC'!$AR$1:$BV$38),28,0),0)</f>
        <v>0</v>
      </c>
      <c r="CE118" s="54" cm="1">
        <f t="array" ref="CE118">IFERROR(VLOOKUP($A118,TRANSPOSE('[1]Fur 1 PLC'!$AR$1:$BV$38),13,0),0)</f>
        <v>0</v>
      </c>
      <c r="CF118" s="54" cm="1">
        <f t="array" ref="CF118">IFERROR(VLOOKUP($A118,TRANSPOSE('[1]Fur 1 PLC'!$AR$1:$BV$38),37,0),0)</f>
        <v>0</v>
      </c>
      <c r="CG118" s="54" cm="1">
        <f t="array" ref="CG118">IFERROR(VLOOKUP($A118,TRANSPOSE('[1]Fur 1 PLC'!$AR$1:$BV$38),6,0),0)</f>
        <v>0</v>
      </c>
      <c r="CH118" s="54" cm="1">
        <f t="array" ref="CH118">IFERROR(VLOOKUP($A118,TRANSPOSE('[1]Fur 1 PLC'!$AR$1:$BV$38),21,0),0)</f>
        <v>0</v>
      </c>
      <c r="CI118" s="54" cm="1">
        <f t="array" ref="CI118">IFERROR(VLOOKUP($A118,TRANSPOSE('[1]Fur 1 PLC'!$AR$1:$BV$38),12,0),0)</f>
        <v>0</v>
      </c>
      <c r="CJ118" s="54" cm="1">
        <f t="array" ref="CJ118">IFERROR(VLOOKUP($A118,TRANSPOSE('[1]Fur 1 PLC'!$AR$1:$BV$38),25,0),0)</f>
        <v>0</v>
      </c>
      <c r="CK118" s="54" cm="1">
        <f t="array" ref="CK118">IFERROR(VLOOKUP($A118,TRANSPOSE('[1]Fur 1 PLC'!$AR$1:$BV$38),26,0),0)</f>
        <v>0</v>
      </c>
      <c r="CL118" s="54" cm="1">
        <f t="array" ref="CL118">IFERROR(VLOOKUP($A118,TRANSPOSE('[1]Fur 1 PLC'!$AR$1:$BV$38),27,0),0)</f>
        <v>0</v>
      </c>
      <c r="CM118" s="54" cm="1">
        <f t="array" ref="CM118">IFERROR(VLOOKUP($A118,TRANSPOSE('[1]Fur 1 PLC'!$AR$1:$BV$38),22,0),0)</f>
        <v>0</v>
      </c>
      <c r="CN118" s="54"/>
      <c r="CO118" s="54" cm="1">
        <f t="array" ref="CO118">IFERROR(VLOOKUP($A118,TRANSPOSE('[1]Fur 1 PLC'!$AR$1:$BV$38),29,0),0)</f>
        <v>0</v>
      </c>
      <c r="CP118" s="54" cm="1">
        <f t="array" ref="CP118">IFERROR(VLOOKUP($A118,TRANSPOSE('[1]Fur 1 PLC'!$AR$1:$BV$38),10,0),0)</f>
        <v>0</v>
      </c>
      <c r="CQ118" s="54" cm="1">
        <f t="array" ref="CQ118">IFERROR(VLOOKUP($A118,TRANSPOSE('[1]Fur 1 PLC'!$AR$1:$BV$38),7,0),0)</f>
        <v>0</v>
      </c>
      <c r="CR118" s="54" cm="1">
        <f t="array" ref="CR118">IFERROR(VLOOKUP($A118,TRANSPOSE('[1]Fur 1 PLC'!$AR$1:$BV$38),35,0),0)</f>
        <v>0</v>
      </c>
      <c r="CS118" s="54" cm="1">
        <f t="array" ref="CS118">IFERROR(VLOOKUP($A118,TRANSPOSE('[1]Fur 1 PLC'!$AR$1:$BV$38),11,0),0)</f>
        <v>0</v>
      </c>
      <c r="CT118" s="54" cm="1">
        <f t="array" ref="CT118">IFERROR(VLOOKUP($A118,TRANSPOSE('[1]Fur 1 PLC'!$AR$1:$BV$38),19,0),0)</f>
        <v>0</v>
      </c>
      <c r="CU118" s="54" cm="1">
        <f t="array" ref="CU118">IFERROR(VLOOKUP($A118,TRANSPOSE('[1]Fur 1 PLC'!$AR$1:$BV$38),18,0),0)</f>
        <v>0</v>
      </c>
      <c r="CV118" s="54" cm="1">
        <f t="array" ref="CV118">IFERROR(VLOOKUP($A118,TRANSPOSE('[1]Fur 1 PLC'!$AR$1:$BV$38),15,0),0)</f>
        <v>0</v>
      </c>
      <c r="CW118" s="54" cm="1">
        <f t="array" ref="CW118">IFERROR(VLOOKUP($A118,TRANSPOSE('[1]Fur 1 PLC'!$CL$1:$DP$38),8,0),0)</f>
        <v>0</v>
      </c>
      <c r="CX118" s="54" cm="1">
        <f t="array" ref="CX118">IFERROR(VLOOKUP($A118,TRANSPOSE('[1]Fur 1 PLC'!$CL$1:$DP$38),30,0),0)</f>
        <v>0</v>
      </c>
      <c r="CY118" s="54" cm="1">
        <f t="array" ref="CY118">IFERROR(VLOOKUP($A118,TRANSPOSE('[1]Fur 1 PLC'!$CL$1:$DP$38),14,0),0)</f>
        <v>0</v>
      </c>
      <c r="CZ118" s="54" cm="1">
        <f t="array" ref="CZ118">IFERROR(VLOOKUP($A118,TRANSPOSE('[1]Fur 1 PLC'!$CL$1:$DP$38),16,0),0)</f>
        <v>0</v>
      </c>
      <c r="DA118" s="54" cm="1">
        <f t="array" ref="DA118">IFERROR(VLOOKUP($A118,TRANSPOSE('[1]Fur 1 PLC'!$CL$1:$DP$38),9,0),0)</f>
        <v>0</v>
      </c>
      <c r="DB118" s="55" cm="1">
        <f t="array" ref="DB118">IFERROR(VLOOKUP($A118,TRANSPOSE('[1]Fur 1 PLC'!$CL$1:$DP$38),17,0),0)</f>
        <v>0</v>
      </c>
      <c r="DC118" s="55" cm="1">
        <f t="array" ref="DC118">IFERROR(VLOOKUP($A118,TRANSPOSE('[1]Fur 1 PLC'!$CL$1:$DP$38),20,0),0)</f>
        <v>0</v>
      </c>
      <c r="DD118" s="54" cm="1">
        <f t="array" ref="DD118">IFERROR(VLOOKUP($A118,TRANSPOSE('[1]Fur 1 PLC'!$CL$1:$DP$38),28,0),0)</f>
        <v>0</v>
      </c>
      <c r="DE118" s="54" cm="1">
        <f t="array" ref="DE118">IFERROR(VLOOKUP($A118,TRANSPOSE('[1]Fur 1 PLC'!$CL$1:$DP$38),13,0),0)</f>
        <v>0</v>
      </c>
      <c r="DF118" s="54" cm="1">
        <f t="array" ref="DF118">IFERROR(VLOOKUP($A118,TRANSPOSE('[1]Fur 1 PLC'!$CL$1:$DP$38),37,0),0)</f>
        <v>0</v>
      </c>
      <c r="DG118" s="54" cm="1">
        <f t="array" ref="DG118">IFERROR(VLOOKUP($A118,TRANSPOSE('[1]Fur 1 PLC'!$CL$1:$DP$38),6,0),0)</f>
        <v>0</v>
      </c>
      <c r="DH118" s="54" cm="1">
        <f t="array" ref="DH118">IFERROR(VLOOKUP($A118,TRANSPOSE('[1]Fur 1 PLC'!$CL$1:$DP$38),21,0),0)</f>
        <v>0</v>
      </c>
      <c r="DI118" s="54" cm="1">
        <f t="array" ref="DI118">IFERROR(VLOOKUP($A118,TRANSPOSE('[1]Fur 1 PLC'!$CL$1:$DP$38),12,0),0)</f>
        <v>0</v>
      </c>
      <c r="DJ118" s="54" cm="1">
        <f t="array" ref="DJ118">IFERROR(VLOOKUP($A118,TRANSPOSE('[1]Fur 1 PLC'!$CL$1:$DP$38),25,0),0)</f>
        <v>0</v>
      </c>
      <c r="DK118" s="54" cm="1">
        <f t="array" ref="DK118">IFERROR(VLOOKUP($A118,TRANSPOSE('[1]Fur 1 PLC'!$CL$1:$DP$38),26,0),0)</f>
        <v>0</v>
      </c>
      <c r="DL118" s="54" cm="1">
        <f t="array" ref="DL118">IFERROR(VLOOKUP($A118,TRANSPOSE('[1]Fur 1 PLC'!$CL$1:$DP$38),27,0),0)</f>
        <v>0</v>
      </c>
      <c r="DM118" s="54" cm="1">
        <f t="array" ref="DM118">IFERROR(VLOOKUP($A118,TRANSPOSE('[1]Fur 1 PLC'!$CL$1:$DP$38),22,0),0)</f>
        <v>0</v>
      </c>
      <c r="DN118" s="54" cm="1">
        <f t="array" ref="DN118">IFERROR(VLOOKUP($A118,TRANSPOSE('[1]Fur 1 PLC'!$CL$1:$DP$38),19,0),0)</f>
        <v>0</v>
      </c>
      <c r="DO118" s="54" cm="1">
        <f t="array" ref="DO118">IFERROR(VLOOKUP($A118,TRANSPOSE('[1]Fur 1 PLC'!$CL$1:$DP$38),29,0),0)</f>
        <v>0</v>
      </c>
      <c r="DP118" s="54" cm="1">
        <f t="array" ref="DP118">IFERROR(VLOOKUP($A118,TRANSPOSE('[1]Fur 1 PLC'!$CL$1:$DP$38),10,0),0)</f>
        <v>0</v>
      </c>
      <c r="DQ118" s="54" cm="1">
        <f t="array" ref="DQ118">IFERROR(VLOOKUP($A118,TRANSPOSE('[1]Fur 1 PLC'!$CL$1:$DP$38),7,0),0)</f>
        <v>0</v>
      </c>
      <c r="DR118" s="54" cm="1">
        <f t="array" ref="DR118">IFERROR(VLOOKUP($A118,TRANSPOSE('[1]Fur 1 PLC'!$CL$1:$DP$38),35,0),0)</f>
        <v>0</v>
      </c>
      <c r="DS118" s="54" cm="1">
        <f t="array" ref="DS118">IFERROR(VLOOKUP($A118,TRANSPOSE('[1]Fur 1 PLC'!$CL$1:$DP$38),11,0),0)</f>
        <v>0</v>
      </c>
      <c r="DT118" s="54" cm="1">
        <f t="array" ref="DT118">IFERROR(VLOOKUP($A118,TRANSPOSE('[1]Fur 1 PLC'!$CL$1:$DP$38),19,0),0)</f>
        <v>0</v>
      </c>
      <c r="DU118" s="54" cm="1">
        <f t="array" ref="DU118">IFERROR(VLOOKUP($A118,TRANSPOSE('[1]Fur 1 PLC'!$CL$1:$DP$38),18,0),0)</f>
        <v>0</v>
      </c>
      <c r="DV118" s="54" cm="1">
        <f t="array" ref="DV118">IFERROR(VLOOKUP($A118,TRANSPOSE('[1]Fur 1 PLC'!$CL$1:$DP$38),15,0),0)</f>
        <v>0</v>
      </c>
      <c r="DW118" t="str">
        <f>TEXT(C118,"Mmm-yy")</f>
        <v>Dec-25</v>
      </c>
    </row>
    <row r="119" spans="1:127" x14ac:dyDescent="0.3">
      <c r="A119" s="28" t="str">
        <f t="shared" si="140"/>
        <v>F246021</v>
      </c>
      <c r="B119" s="29" t="s">
        <v>27</v>
      </c>
      <c r="C119" s="30">
        <f>C118</f>
        <v>46021</v>
      </c>
      <c r="D119" s="29" t="str">
        <f>VLOOKUP($B119&amp;$C119,'[1]FC2 Prod'!$A$6:$BP$36,[2]Consolidated!D$1)</f>
        <v>Mr. Girish Malik</v>
      </c>
      <c r="E119" s="29">
        <f>VLOOKUP($B119&amp;$C119,'[1]FC2 Prod'!$A$6:$BP$36,[2]Consolidated!E$1)</f>
        <v>0</v>
      </c>
      <c r="F119" s="29">
        <f>VLOOKUP($B119&amp;$C119,'[1]FC2 Prod'!$A$6:$BP$36,[2]Consolidated!F$1)</f>
        <v>0</v>
      </c>
      <c r="G119" s="29" t="e">
        <f>VLOOKUP($B119&amp;$C119,'[1]FC2 Prod'!$A$6:$BP$36,[2]Consolidated!G$1)</f>
        <v>#REF!</v>
      </c>
      <c r="H119" s="32">
        <f>VLOOKUP($B119&amp;$C119,'[1]FC2 Prod'!$A$6:$BP$36,[2]Consolidated!H$1)</f>
        <v>0</v>
      </c>
      <c r="I119" s="32">
        <f>VLOOKUP($B119&amp;$C119,'[1]FC2 Prod'!$A$6:$BP$36,[2]Consolidated!I$1)</f>
        <v>0</v>
      </c>
      <c r="J119" s="32">
        <f>VLOOKUP($B119&amp;$C119,'[1]FC2 Prod'!$A$6:$BP$36,[2]Consolidated!J$1)</f>
        <v>0</v>
      </c>
      <c r="K119" s="32">
        <f>VLOOKUP($B119&amp;$C119,'[1]FC2 Prod'!$A$6:$BP$36,[2]Consolidated!K$1)</f>
        <v>0</v>
      </c>
      <c r="L119" s="32">
        <f>VLOOKUP($B119&amp;$C119,'[1]FC2 Prod'!$A$6:$BP$36,[2]Consolidated!L$1)</f>
        <v>0</v>
      </c>
      <c r="M119" s="32">
        <f>VLOOKUP($B119&amp;$C119,'[1]FC2 Prod'!$A$6:$BP$36,[2]Consolidated!M$1)</f>
        <v>0</v>
      </c>
      <c r="N119" s="32">
        <f>VLOOKUP($B119&amp;$C119,'[1]FC2 Prod'!$A$6:$BP$36,[2]Consolidated!N$1)</f>
        <v>0</v>
      </c>
      <c r="O119" s="32">
        <f>VLOOKUP($B119&amp;$C119,'[1]FC2 Prod'!$A$6:$BP$36,[2]Consolidated!O$1)</f>
        <v>0</v>
      </c>
      <c r="P119" s="34">
        <f>VLOOKUP($B119&amp;$C119,'[1]FC2 Prod'!$A$6:$BP$36,[2]Consolidated!P$1)</f>
        <v>5</v>
      </c>
      <c r="Q119" s="29">
        <f>VLOOKUP($B119&amp;$C119,'[1]FC2 Prod'!$A$6:$BP$36,[2]Consolidated!Q$1)</f>
        <v>0</v>
      </c>
      <c r="R119" s="29">
        <f>VLOOKUP($B119&amp;$C119,'[1]FC2 Prod'!$A$6:$BP$36,[2]Consolidated!R$1)</f>
        <v>0</v>
      </c>
      <c r="S119" s="34" t="e">
        <f>VLOOKUP($B119&amp;$C119,'[1]FC2 Prod'!$A$6:$BP$36,[2]Consolidated!S$1)</f>
        <v>#REF!</v>
      </c>
      <c r="T119" s="34" t="e">
        <f>VLOOKUP($B119&amp;$C119,'[1]FC2 Prod'!$A$6:$BP$36,[2]Consolidated!T$1)</f>
        <v>#REF!</v>
      </c>
      <c r="U119" s="34" t="e">
        <f>VLOOKUP($B119&amp;$C119,'[1]FC2 Prod'!$A$6:$BP$36,[2]Consolidated!U$1)</f>
        <v>#REF!</v>
      </c>
      <c r="V119" s="34">
        <f>VLOOKUP($B119&amp;$C119,'[1]FC2 Prod'!$A$6:$BP$36,[2]Consolidated!V$1)</f>
        <v>0</v>
      </c>
      <c r="W119" s="29">
        <f>VLOOKUP($B119&amp;$C119,'[1]FC2 Prod'!$A$6:$BP$36,[2]Consolidated!W$1)</f>
        <v>0</v>
      </c>
      <c r="X119" s="35">
        <f>VLOOKUP($B119&amp;$C119,'[1]FC2 Prod'!$A$6:$BP$36,[2]Consolidated!X$1)</f>
        <v>0</v>
      </c>
      <c r="Y119" s="36">
        <f>VLOOKUP($B119&amp;$C119,'[1]FC2 Prod'!$A$6:$BP$36,[2]Consolidated!Y$1)</f>
        <v>0</v>
      </c>
      <c r="Z119" s="37" t="e">
        <f>VLOOKUP($B119&amp;$C119,'[1]FC2 Prod'!$A$6:$BP$36,[2]Consolidated!Z$1)</f>
        <v>#REF!</v>
      </c>
      <c r="AA119" s="31">
        <f>VLOOKUP($B119&amp;$C119,'[1]FC2 Prod'!$A$6:$BP$36,[2]Consolidated!AA$1)</f>
        <v>0</v>
      </c>
      <c r="AB119" s="31">
        <f>VLOOKUP($B119&amp;$C119,'[1]FC2 Prod'!$A$6:$BP$36,[2]Consolidated!AB$1)</f>
        <v>0</v>
      </c>
      <c r="AC119" s="31">
        <f>VLOOKUP($B119&amp;$C119,'[1]FC2 Prod'!$A$6:$BP$36,[2]Consolidated!AC$1)</f>
        <v>0</v>
      </c>
      <c r="AD119" s="38">
        <f>VLOOKUP($B119&amp;$C119,'[1]FC2 Prod'!$A$6:$BP$36,[2]Consolidated!AD$1)</f>
        <v>0</v>
      </c>
      <c r="AE119" s="38">
        <f>VLOOKUP($B119&amp;$C119,'[1]FC2 Prod'!$A$6:$BP$36,[2]Consolidated!AE$1)</f>
        <v>0</v>
      </c>
      <c r="AF119" s="39">
        <f>VLOOKUP($B119&amp;$C119,'[1]FC2 Prod'!$A$6:$BP$36,[2]Consolidated!AF$1)</f>
        <v>0</v>
      </c>
      <c r="AG119" s="39">
        <f>VLOOKUP($B119&amp;$C119,'[1]FC2 Prod'!$A$6:$BP$36,[2]Consolidated!AG$1)</f>
        <v>0</v>
      </c>
      <c r="AH119" s="34">
        <f>VLOOKUP($B119&amp;$C119,'[1]FC2 Prod'!$A$6:$BP$36,[2]Consolidated!AH$1)</f>
        <v>0</v>
      </c>
      <c r="AI119" s="33">
        <f>VLOOKUP($B119&amp;$C119,'[1]FC2 Prod'!$A$6:$BP$36,[2]Consolidated!AI$1)</f>
        <v>0</v>
      </c>
      <c r="AJ119" s="39">
        <f>VLOOKUP($B119&amp;$C119,'[1]FC2 Prod'!$A$6:$BP$36,[2]Consolidated!AJ$1)</f>
        <v>0</v>
      </c>
      <c r="AK119" s="39">
        <f>VLOOKUP($B119&amp;$C119,'[1]FC2 Prod'!$A$6:$BP$36,[2]Consolidated!AK$1)</f>
        <v>0</v>
      </c>
      <c r="AL119" s="40" t="e">
        <f>VLOOKUP($B119&amp;$C119,'[1]FC2 Prod'!$A$6:$BP$36,[2]Consolidated!AL$1)</f>
        <v>#REF!</v>
      </c>
      <c r="AM119" s="41">
        <f>VLOOKUP($B119&amp;$C119,'[1]FC2 Prod'!$A$6:$BP$36,[2]Consolidated!AM$1)</f>
        <v>0</v>
      </c>
      <c r="AN119" s="42" t="e">
        <f>VLOOKUP($B119&amp;$C119,'[1]FC2 Prod'!$A$6:$BP$36,[2]Consolidated!AN$1)</f>
        <v>#REF!</v>
      </c>
      <c r="AO119" s="43" t="e">
        <f>VLOOKUP($B119&amp;$C119,'[1]FC2 Prod'!$A$6:$BP$36,[2]Consolidated!AO$1)</f>
        <v>#REF!</v>
      </c>
      <c r="AP119" s="44">
        <f>VLOOKUP($B119&amp;$C119,'[1]FC2 Prod'!$A$6:$BP$36,[2]Consolidated!AP$1)</f>
        <v>0</v>
      </c>
      <c r="AQ119" s="44">
        <f>VLOOKUP($B119&amp;$C119,'[1]FC2 Prod'!$A$6:$BP$36,[2]Consolidated!AQ$1)</f>
        <v>0</v>
      </c>
      <c r="AR119" s="45">
        <f>VLOOKUP($B119&amp;$C119,'[1]FC2 Prod'!$A$6:$BP$36,[2]Consolidated!AR$1)</f>
        <v>0</v>
      </c>
      <c r="AS119" s="46">
        <f>VLOOKUP($B119&amp;$C119,'[1]FC2 Prod'!$A$6:$BP$36,[2]Consolidated!AS$1)</f>
        <v>0</v>
      </c>
      <c r="AT119" s="29">
        <f>VLOOKUP($B119&amp;$C119,'[1]FC2 Prod'!$A$6:$BP$36,[2]Consolidated!AT$1)</f>
        <v>0</v>
      </c>
      <c r="AU119" s="34">
        <f>VLOOKUP($B119&amp;$C119,'[1]FC2 Prod'!$A$6:$BP$36,[2]Consolidated!AU$1)</f>
        <v>0</v>
      </c>
      <c r="AV119" s="34">
        <f>VLOOKUP($B119&amp;$C119,'[1]FC2 Prod'!$A$6:$BP$36,[2]Consolidated!AV$1)</f>
        <v>0</v>
      </c>
      <c r="AW119" s="47">
        <f>VLOOKUP($B119&amp;$C119,'[1]FC2 Prod'!$A$6:$BP$36,[2]Consolidated!AW$1)</f>
        <v>0</v>
      </c>
      <c r="AX119" s="47">
        <f>VLOOKUP($B119&amp;$C119,'[1]FC2 Prod'!$A$6:$BP$36,[2]Consolidated!AX$1)</f>
        <v>0</v>
      </c>
      <c r="AY119" s="48">
        <f>VLOOKUP($B119&amp;$C119,'[1]FC2 Prod'!$A$6:$BP$36,[2]Consolidated!AY$1)</f>
        <v>0</v>
      </c>
      <c r="AZ119" s="47">
        <f>VLOOKUP($B119&amp;$C119,'[1]FC2 Prod'!$A$6:$BP$36,[2]Consolidated!AZ$1)</f>
        <v>0</v>
      </c>
      <c r="BA119" s="47">
        <f>VLOOKUP($B119&amp;$C119,'[1]FC2 Prod'!$A$6:$BP$36,[2]Consolidated!BA$1)</f>
        <v>0</v>
      </c>
      <c r="BB119" s="47">
        <f>VLOOKUP($B119&amp;$C119,'[1]FC2 Prod'!$A$6:$BP$36,[2]Consolidated!BB$1)</f>
        <v>0</v>
      </c>
      <c r="BC119" s="47">
        <f>VLOOKUP($B119&amp;$C119,'[1]FC2 Prod'!$A$6:$BP$36,[2]Consolidated!BC$1)</f>
        <v>0</v>
      </c>
      <c r="BD119" s="49">
        <f>VLOOKUP($B119&amp;$C119,'[1]FC2 Prod'!$A$6:$BP$36,[2]Consolidated!BD$1)</f>
        <v>0</v>
      </c>
      <c r="BE119" s="47">
        <f>VLOOKUP($B119&amp;$C119,'[1]FC2 Prod'!$A$6:$BP$36,[2]Consolidated!BE$1)</f>
        <v>0</v>
      </c>
      <c r="BF119" s="47">
        <f>VLOOKUP($B119&amp;$C119,'[1]FC2 Prod'!$A$6:$BP$36,[2]Consolidated!BF$1)</f>
        <v>0</v>
      </c>
      <c r="BG119" s="50">
        <f>VLOOKUP($B119&amp;$C119,'[1]FC2 Prod'!$A$6:$BP$36,[2]Consolidated!BG$1)</f>
        <v>0</v>
      </c>
      <c r="BH119" s="50">
        <f>VLOOKUP($B119&amp;$C119,'[1]FC2 Prod'!$A$6:$BP$36,[2]Consolidated!BH$1)</f>
        <v>0</v>
      </c>
      <c r="BI119" s="50">
        <f>VLOOKUP($B119&amp;$C119,'[1]FC2 Prod'!$A$6:$BP$36,[2]Consolidated!BI$1)</f>
        <v>0</v>
      </c>
      <c r="BJ119" s="37" t="e">
        <f>VLOOKUP($B119&amp;$C119,'[1]FC2 Prod'!$A$6:$BP$36,[2]Consolidated!BJ$1)</f>
        <v>#REF!</v>
      </c>
      <c r="BK119" s="37" t="e">
        <f>VLOOKUP($B119&amp;$C119,'[1]FC2 Prod'!$A$6:$BP$36,[2]Consolidated!BK$1)</f>
        <v>#REF!</v>
      </c>
      <c r="BL119" s="37" t="e">
        <f>VLOOKUP($B119&amp;$C119,'[1]FC2 Prod'!$A$6:$BP$36,[2]Consolidated!BL$1)</f>
        <v>#REF!</v>
      </c>
      <c r="BM119" s="37" t="e">
        <f>VLOOKUP($B119&amp;$C119,'[1]FC2 Prod'!$A$6:$BP$36,[2]Consolidated!BM$1)</f>
        <v>#REF!</v>
      </c>
      <c r="BN119" s="37" t="e">
        <f>VLOOKUP($B119&amp;$C119,'[1]FC2 Prod'!$A$6:$BP$36,[2]Consolidated!BN$1)</f>
        <v>#REF!</v>
      </c>
      <c r="BO119" s="37" t="e">
        <f>VLOOKUP($B119&amp;$C119,'[1]FC2 Prod'!$A$6:$BP$36,[2]Consolidated!BO$1)</f>
        <v>#REF!</v>
      </c>
      <c r="BP119" s="37" t="e">
        <f>VLOOKUP($B119&amp;$C119,'[1]FC2 Prod'!$A$6:$BP$36,[2]Consolidated!BP$1)</f>
        <v>#REF!</v>
      </c>
      <c r="BQ119" s="29" t="e">
        <f>VLOOKUP($B119&amp;$C119,'[1]FC2 Prod'!$A$6:$BP$36,[2]Consolidated!BQ$1)</f>
        <v>#REF!</v>
      </c>
      <c r="BR119" s="51">
        <f>VLOOKUP($B119&amp;$C119,'[1]FC2 Prod'!$A$6:$BQ$36,[2]Consolidated!BR$1)</f>
        <v>68163</v>
      </c>
      <c r="BS119" s="52">
        <f t="shared" si="146"/>
        <v>0</v>
      </c>
      <c r="BT119" s="32">
        <f>BR119-BS119</f>
        <v>68163</v>
      </c>
      <c r="BU119" s="37">
        <f>E119*BT119</f>
        <v>0</v>
      </c>
      <c r="BV119" s="53" t="s">
        <v>133</v>
      </c>
      <c r="BW119" s="54" cm="1">
        <f t="array" ref="BW119">IFERROR(VLOOKUP($A119,TRANSPOSE('[1]Fur 2 PLC'!$AR$1:$BV$38),8,0),0)</f>
        <v>0</v>
      </c>
      <c r="BX119" s="54" cm="1">
        <f t="array" ref="BX119">IFERROR(VLOOKUP($A119,TRANSPOSE('[1]Fur 2 PLC'!$AR$1:$BV$38),30,0),0)</f>
        <v>0</v>
      </c>
      <c r="BY119" s="54" cm="1">
        <f t="array" ref="BY119">IFERROR(VLOOKUP($A119,TRANSPOSE('[1]Fur 2 PLC'!$AR$1:$BV$38),14,0),0)</f>
        <v>0</v>
      </c>
      <c r="BZ119" s="54" cm="1">
        <f t="array" ref="BZ119">IFERROR(VLOOKUP($A119,TRANSPOSE('[1]Fur 2 PLC'!$AR$1:$BV$38),16,0),0)</f>
        <v>0</v>
      </c>
      <c r="CA119" s="54" cm="1">
        <f t="array" ref="CA119">IFERROR(VLOOKUP($A119,TRANSPOSE('[1]Fur 2 PLC'!$AR$1:$BV$38),9,0),0)</f>
        <v>0</v>
      </c>
      <c r="CB119" s="54" cm="1">
        <f t="array" ref="CB119">IFERROR(VLOOKUP($A119,TRANSPOSE('[1]Fur 2 PLC'!$AR$1:$BV$38),17,0),0)</f>
        <v>0</v>
      </c>
      <c r="CC119" s="54" cm="1">
        <f t="array" ref="CC119">IFERROR(VLOOKUP($A119,TRANSPOSE('[1]Fur 2 PLC'!$AR$1:$BV$38),20,0),0)</f>
        <v>0</v>
      </c>
      <c r="CD119" s="54" cm="1">
        <f t="array" ref="CD119">IFERROR(VLOOKUP($A119,TRANSPOSE('[1]Fur 2 PLC'!$AR$1:$BV$38),28,0),0)</f>
        <v>0</v>
      </c>
      <c r="CE119" s="54" cm="1">
        <f t="array" ref="CE119">IFERROR(VLOOKUP($A119,TRANSPOSE('[1]Fur 2 PLC'!$AR$1:$BV$38),13,0),0)</f>
        <v>0</v>
      </c>
      <c r="CF119" s="54" cm="1">
        <f t="array" ref="CF119">IFERROR(VLOOKUP($A119,TRANSPOSE('[1]Fur 2 PLC'!$AR$1:$BV$38),37,0),0)</f>
        <v>0</v>
      </c>
      <c r="CG119" s="54" cm="1">
        <f t="array" ref="CG119">IFERROR(VLOOKUP($A119,TRANSPOSE('[1]Fur 2 PLC'!$AR$1:$BV$38),6,0),0)</f>
        <v>0</v>
      </c>
      <c r="CH119" s="54" cm="1">
        <f t="array" ref="CH119">IFERROR(VLOOKUP($A119,TRANSPOSE('[1]Fur 2 PLC'!$AR$1:$BV$38),21,0),0)</f>
        <v>0</v>
      </c>
      <c r="CI119" s="54" cm="1">
        <f t="array" ref="CI119">IFERROR(VLOOKUP($A119,TRANSPOSE('[1]Fur 2 PLC'!$AR$1:$BV$38),12,0),0)</f>
        <v>0</v>
      </c>
      <c r="CJ119" s="54" cm="1">
        <f t="array" ref="CJ119">IFERROR(VLOOKUP($A119,TRANSPOSE('[1]Fur 2 PLC'!$AR$1:$BV$38),25,0),0)</f>
        <v>0</v>
      </c>
      <c r="CK119" s="54" cm="1">
        <f t="array" ref="CK119">IFERROR(VLOOKUP($A119,TRANSPOSE('[1]Fur 2 PLC'!$AR$1:$BV$38),26,0),0)</f>
        <v>0</v>
      </c>
      <c r="CL119" s="54" cm="1">
        <f t="array" ref="CL119">IFERROR(VLOOKUP($A119,TRANSPOSE('[1]Fur 2 PLC'!$AR$1:$BV$38),27,0),0)</f>
        <v>0</v>
      </c>
      <c r="CM119" s="54" cm="1">
        <f t="array" ref="CM119">IFERROR(VLOOKUP($A119,TRANSPOSE('[1]Fur 2 PLC'!$AR$1:$BV$38),22,0),0)</f>
        <v>0</v>
      </c>
      <c r="CN119" s="54"/>
      <c r="CO119" s="54" cm="1">
        <f t="array" ref="CO119">IFERROR(VLOOKUP($A119,TRANSPOSE('[1]Fur 2 PLC'!$AR$1:$BV$38),29,0),0)</f>
        <v>0</v>
      </c>
      <c r="CP119" s="54" cm="1">
        <f t="array" ref="CP119">IFERROR(VLOOKUP($A119,TRANSPOSE('[1]Fur 2 PLC'!$AR$1:$BV$38),10,0),0)</f>
        <v>0</v>
      </c>
      <c r="CQ119" s="54" cm="1">
        <f t="array" ref="CQ119">IFERROR(VLOOKUP($A119,TRANSPOSE('[1]Fur 2 PLC'!$AR$1:$BV$38),7,0),0)</f>
        <v>0</v>
      </c>
      <c r="CR119" s="54" cm="1">
        <f t="array" ref="CR119">IFERROR(VLOOKUP($A119,TRANSPOSE('[1]Fur 2 PLC'!$AR$1:$BV$38),35,0),0)</f>
        <v>0</v>
      </c>
      <c r="CS119" s="54" cm="1">
        <f t="array" ref="CS119">IFERROR(VLOOKUP($A119,TRANSPOSE('[1]Fur 2 PLC'!$AR$1:$BV$38),11,0),0)</f>
        <v>0</v>
      </c>
      <c r="CT119" s="54" cm="1">
        <f t="array" ref="CT119">IFERROR(VLOOKUP($A119,TRANSPOSE('[1]Fur 2 PLC'!$AR$1:$BV$38),19,0),0)</f>
        <v>0</v>
      </c>
      <c r="CU119" s="54" cm="1">
        <f t="array" ref="CU119">IFERROR(VLOOKUP($A119,TRANSPOSE('[1]Fur 2 PLC'!$AR$1:$BV$38),18,0),0)</f>
        <v>0</v>
      </c>
      <c r="CV119" s="54" cm="1">
        <f t="array" ref="CV119">IFERROR(VLOOKUP($A119,TRANSPOSE('[1]Fur 2 PLC'!$AR$1:$BV$38),15,0),0)</f>
        <v>0</v>
      </c>
      <c r="CW119" s="54" cm="1">
        <f t="array" ref="CW119">IFERROR(VLOOKUP($A119,TRANSPOSE('[1]Fur 2 PLC'!$CI$1:$DM$38),8,0),0)</f>
        <v>0</v>
      </c>
      <c r="CX119" s="54" cm="1">
        <f t="array" ref="CX119">IFERROR(VLOOKUP($A119,TRANSPOSE('[1]Fur 2 PLC'!$CI$1:$DM$38),30,0),0)</f>
        <v>0</v>
      </c>
      <c r="CY119" s="54" cm="1">
        <f t="array" ref="CY119">IFERROR(VLOOKUP($A119,TRANSPOSE('[1]Fur 2 PLC'!$CI$1:$DM$38),14,0),0)</f>
        <v>0</v>
      </c>
      <c r="CZ119" s="54" cm="1">
        <f t="array" ref="CZ119">IFERROR(VLOOKUP($A119,TRANSPOSE('[1]Fur 2 PLC'!$CI$1:$DM$38),16,0),0)</f>
        <v>0</v>
      </c>
      <c r="DA119" s="54" cm="1">
        <f t="array" ref="DA119">IFERROR(VLOOKUP($A119,TRANSPOSE('[1]Fur 2 PLC'!$CI$1:$DM$38),9,0),0)</f>
        <v>0</v>
      </c>
      <c r="DB119" s="55" cm="1">
        <f t="array" ref="DB119">IFERROR(VLOOKUP($A119,TRANSPOSE('[1]Fur 2 PLC'!$CI$1:$DM$38),17,0),0)</f>
        <v>0</v>
      </c>
      <c r="DC119" s="55" cm="1">
        <f t="array" ref="DC119">IFERROR(VLOOKUP($A119,TRANSPOSE('[1]Fur 2 PLC'!$CI$1:$DM$38),20,0),0)</f>
        <v>0</v>
      </c>
      <c r="DD119" s="54" cm="1">
        <f t="array" ref="DD119">IFERROR(VLOOKUP($A119,TRANSPOSE('[1]Fur 2 PLC'!$CI$1:$DM$38),28,0),0)</f>
        <v>0</v>
      </c>
      <c r="DE119" s="54" cm="1">
        <f t="array" ref="DE119">IFERROR(VLOOKUP($A119,TRANSPOSE('[1]Fur 2 PLC'!$CI$1:$DM$38),13,0),0)</f>
        <v>0</v>
      </c>
      <c r="DF119" s="54" cm="1">
        <f t="array" ref="DF119">IFERROR(VLOOKUP($A119,TRANSPOSE('[1]Fur 2 PLC'!$CI$1:$DM$38),37,0),0)</f>
        <v>0</v>
      </c>
      <c r="DG119" s="54" cm="1">
        <f t="array" ref="DG119">IFERROR(VLOOKUP($A119,TRANSPOSE('[1]Fur 2 PLC'!$CI$1:$DM$38),6,0),0)</f>
        <v>0</v>
      </c>
      <c r="DH119" s="54" cm="1">
        <f t="array" ref="DH119">IFERROR(VLOOKUP($A119,TRANSPOSE('[1]Fur 2 PLC'!$CI$1:$DM$38),21,0),0)</f>
        <v>0</v>
      </c>
      <c r="DI119" s="54" cm="1">
        <f t="array" ref="DI119">IFERROR(VLOOKUP($A119,TRANSPOSE('[1]Fur 2 PLC'!$CI$1:$DM$38),12,0),0)</f>
        <v>0</v>
      </c>
      <c r="DJ119" s="54" cm="1">
        <f t="array" ref="DJ119">IFERROR(VLOOKUP($A119,TRANSPOSE('[1]Fur 2 PLC'!$CI$1:$DM$38),25,0),0)</f>
        <v>0</v>
      </c>
      <c r="DK119" s="54" cm="1">
        <f t="array" ref="DK119">IFERROR(VLOOKUP($A119,TRANSPOSE('[1]Fur 2 PLC'!$CI$1:$DM$38),26,0),0)</f>
        <v>0</v>
      </c>
      <c r="DL119" s="54" cm="1">
        <f t="array" ref="DL119">IFERROR(VLOOKUP($A119,TRANSPOSE('[1]Fur 2 PLC'!$CI$1:$DM$38),27,0),0)</f>
        <v>0</v>
      </c>
      <c r="DM119" s="54" cm="1">
        <f t="array" ref="DM119">IFERROR(VLOOKUP($A119,TRANSPOSE('[1]Fur 2 PLC'!$CI$1:$DM$38),22,0),0)</f>
        <v>0</v>
      </c>
      <c r="DN119" s="54" cm="1">
        <f t="array" ref="DN119">IFERROR(VLOOKUP($A119,TRANSPOSE('[1]Fur 2 PLC'!$CI$1:$DM$38),19,0),0)</f>
        <v>0</v>
      </c>
      <c r="DO119" s="54" cm="1">
        <f t="array" ref="DO119">IFERROR(VLOOKUP($A119,TRANSPOSE('[1]Fur 2 PLC'!$CI$1:$DM$38),29,0),0)</f>
        <v>0</v>
      </c>
      <c r="DP119" s="54" cm="1">
        <f t="array" ref="DP119">IFERROR(VLOOKUP($A119,TRANSPOSE('[1]Fur 2 PLC'!$CI$1:$DM$38),10,0),0)</f>
        <v>0</v>
      </c>
      <c r="DQ119" s="54" cm="1">
        <f t="array" ref="DQ119">IFERROR(VLOOKUP($A119,TRANSPOSE('[1]Fur 2 PLC'!$CI$1:$DM$38),7,0),0)</f>
        <v>0</v>
      </c>
      <c r="DR119" s="54" cm="1">
        <f t="array" ref="DR119">IFERROR(VLOOKUP($A119,TRANSPOSE('[1]Fur 2 PLC'!$CI$1:$DM$38),35,0),0)</f>
        <v>0</v>
      </c>
      <c r="DS119" s="54" cm="1">
        <f t="array" ref="DS119">IFERROR(VLOOKUP($A119,TRANSPOSE('[1]Fur 2 PLC'!$CI$1:$DM$38),11,0),0)</f>
        <v>0</v>
      </c>
      <c r="DT119" s="54" cm="1">
        <f t="array" ref="DT119">IFERROR(VLOOKUP($A119,TRANSPOSE('[1]Fur 2 PLC'!$CI$1:$DM$38),19,0),0)</f>
        <v>0</v>
      </c>
      <c r="DU119" s="54" cm="1">
        <f t="array" ref="DU119">IFERROR(VLOOKUP($A119,TRANSPOSE('[1]Fur 2 PLC'!$CI$1:$DM$38),18,0),0)</f>
        <v>0</v>
      </c>
      <c r="DV119" s="54" cm="1">
        <f t="array" ref="DV119">IFERROR(VLOOKUP($A119,TRANSPOSE('[1]Fur 2 PLC'!$CI$1:$DM$38),15,0),0)</f>
        <v>0</v>
      </c>
      <c r="DW119" t="str">
        <f t="shared" ref="DW119:DW121" si="147">TEXT(C119,"Mmm-yy")</f>
        <v>Dec-25</v>
      </c>
    </row>
    <row r="120" spans="1:127" x14ac:dyDescent="0.3">
      <c r="A120" s="28" t="str">
        <f t="shared" si="140"/>
        <v>F346021</v>
      </c>
      <c r="B120" s="29" t="s">
        <v>28</v>
      </c>
      <c r="C120" s="30">
        <f>C119</f>
        <v>46021</v>
      </c>
      <c r="D120" s="29" t="str">
        <f>VLOOKUP($B120&amp;$C120,'[1]FC3 Prod'!$A$6:$BP$36,[2]Consolidated!D$1)</f>
        <v>Mr. Ajay Singh</v>
      </c>
      <c r="E120" s="29">
        <f>VLOOKUP($B120&amp;$C120,'[1]FC3 Prod'!$A$6:$BP$36,[2]Consolidated!E$1)</f>
        <v>0</v>
      </c>
      <c r="F120" s="31">
        <f>VLOOKUP($B120&amp;$C120,'[1]FC3 Prod'!$A$6:$BP$36,[2]Consolidated!F$1)</f>
        <v>0</v>
      </c>
      <c r="G120" s="32" t="e">
        <f>VLOOKUP($B120&amp;$C120,'[1]FC3 Prod'!$A$6:$BP$36,[2]Consolidated!G$1)</f>
        <v>#REF!</v>
      </c>
      <c r="H120" s="32">
        <f>VLOOKUP($B120&amp;$C120,'[1]FC3 Prod'!$A$6:$BP$36,[2]Consolidated!H$1)</f>
        <v>0</v>
      </c>
      <c r="I120" s="32">
        <f>VLOOKUP($B120&amp;$C120,'[1]FC3 Prod'!$A$6:$BP$36,[2]Consolidated!I$1)</f>
        <v>0</v>
      </c>
      <c r="J120" s="32">
        <f>VLOOKUP($B120&amp;$C120,'[1]FC3 Prod'!$A$6:$BP$36,[2]Consolidated!J$1)</f>
        <v>0</v>
      </c>
      <c r="K120" s="32">
        <f>VLOOKUP($B120&amp;$C120,'[1]FC3 Prod'!$A$6:$BP$36,[2]Consolidated!K$1)</f>
        <v>0</v>
      </c>
      <c r="L120" s="32">
        <f>VLOOKUP($B120&amp;$C120,'[1]FC3 Prod'!$A$6:$BP$36,[2]Consolidated!L$1)</f>
        <v>0</v>
      </c>
      <c r="M120" s="32">
        <f>VLOOKUP($B120&amp;$C120,'[1]FC3 Prod'!$A$6:$BP$36,[2]Consolidated!M$1)</f>
        <v>0</v>
      </c>
      <c r="N120" s="32">
        <f>VLOOKUP($B120&amp;$C120,'[1]FC3 Prod'!$A$6:$BP$36,[2]Consolidated!N$1)</f>
        <v>0</v>
      </c>
      <c r="O120" s="32">
        <f>VLOOKUP($B120&amp;$C120,'[1]FC3 Prod'!$A$6:$BP$36,[2]Consolidated!O$1)</f>
        <v>0</v>
      </c>
      <c r="P120" s="33">
        <f>VLOOKUP($B120&amp;$C120,'[1]FC3 Prod'!$A$6:$BP$36,[2]Consolidated!P$1)</f>
        <v>9</v>
      </c>
      <c r="Q120" s="29">
        <f>VLOOKUP($B120&amp;$C120,'[1]FC3 Prod'!$A$6:$BP$36,[2]Consolidated!Q$1)</f>
        <v>0</v>
      </c>
      <c r="R120" s="29">
        <f>VLOOKUP($B120&amp;$C120,'[1]FC3 Prod'!$A$6:$BP$36,[2]Consolidated!R$1)</f>
        <v>0</v>
      </c>
      <c r="S120" s="34" t="e">
        <f>VLOOKUP($B120&amp;$C120,'[1]FC3 Prod'!$A$6:$BP$36,[2]Consolidated!S$1)</f>
        <v>#REF!</v>
      </c>
      <c r="T120" s="34" t="e">
        <f>VLOOKUP($B120&amp;$C120,'[1]FC3 Prod'!$A$6:$BP$36,[2]Consolidated!T$1)</f>
        <v>#REF!</v>
      </c>
      <c r="U120" s="34" t="e">
        <f>VLOOKUP($B120&amp;$C120,'[1]FC3 Prod'!$A$6:$BP$36,[2]Consolidated!U$1)</f>
        <v>#REF!</v>
      </c>
      <c r="V120" s="34">
        <f>VLOOKUP($B120&amp;$C120,'[1]FC3 Prod'!$A$6:$BP$36,[2]Consolidated!V$1)</f>
        <v>0</v>
      </c>
      <c r="W120" s="35">
        <f>VLOOKUP($B120&amp;$C120,'[1]FC3 Prod'!$A$6:$BP$36,[2]Consolidated!W$1)</f>
        <v>0</v>
      </c>
      <c r="X120" s="35">
        <f>VLOOKUP($B120&amp;$C120,'[1]FC3 Prod'!$A$6:$BP$36,[2]Consolidated!X$1)</f>
        <v>0</v>
      </c>
      <c r="Y120" s="36">
        <f>VLOOKUP($B120&amp;$C120,'[1]FC3 Prod'!$A$6:$BP$36,[2]Consolidated!Y$1)</f>
        <v>0</v>
      </c>
      <c r="Z120" s="37" t="e">
        <f>VLOOKUP($B120&amp;$C120,'[1]FC3 Prod'!$A$6:$BP$36,[2]Consolidated!Z$1)</f>
        <v>#REF!</v>
      </c>
      <c r="AA120" s="31">
        <f>VLOOKUP($B120&amp;$C120,'[1]FC3 Prod'!$A$6:$BP$36,[2]Consolidated!AA$1)</f>
        <v>0</v>
      </c>
      <c r="AB120" s="31">
        <f>VLOOKUP($B120&amp;$C120,'[1]FC3 Prod'!$A$6:$BP$36,[2]Consolidated!AB$1)</f>
        <v>0</v>
      </c>
      <c r="AC120" s="31" t="e">
        <f>VLOOKUP($B120&amp;$C120,'[1]FC3 Prod'!$A$6:$BP$36,[2]Consolidated!AC$1)</f>
        <v>#REF!</v>
      </c>
      <c r="AD120" s="38">
        <f>VLOOKUP($B120&amp;$C120,'[1]FC3 Prod'!$A$6:$BP$36,[2]Consolidated!AD$1)</f>
        <v>0</v>
      </c>
      <c r="AE120" s="38">
        <f>VLOOKUP($B120&amp;$C120,'[1]FC3 Prod'!$A$6:$BP$36,[2]Consolidated!AE$1)</f>
        <v>0</v>
      </c>
      <c r="AF120" s="39">
        <f>VLOOKUP($B120&amp;$C120,'[1]FC3 Prod'!$A$6:$BP$36,[2]Consolidated!AF$1)</f>
        <v>0</v>
      </c>
      <c r="AG120" s="39">
        <f>VLOOKUP($B120&amp;$C120,'[1]FC3 Prod'!$A$6:$BP$36,[2]Consolidated!AG$1)</f>
        <v>0</v>
      </c>
      <c r="AH120" s="34">
        <f>VLOOKUP($B120&amp;$C120,'[1]FC3 Prod'!$A$6:$BP$36,[2]Consolidated!AH$1)</f>
        <v>0</v>
      </c>
      <c r="AI120" s="33">
        <f>VLOOKUP($B120&amp;$C120,'[1]FC3 Prod'!$A$6:$BP$36,[2]Consolidated!AI$1)</f>
        <v>0</v>
      </c>
      <c r="AJ120" s="39">
        <f>VLOOKUP($B120&amp;$C120,'[1]FC3 Prod'!$A$6:$BP$36,[2]Consolidated!AJ$1)</f>
        <v>0</v>
      </c>
      <c r="AK120" s="39">
        <f>VLOOKUP($B120&amp;$C120,'[1]FC3 Prod'!$A$6:$BP$36,[2]Consolidated!AK$1)</f>
        <v>0</v>
      </c>
      <c r="AL120" s="40" t="e">
        <f>VLOOKUP($B120&amp;$C120,'[1]FC3 Prod'!$A$6:$BP$36,[2]Consolidated!AL$1)</f>
        <v>#REF!</v>
      </c>
      <c r="AM120" s="41">
        <f>VLOOKUP($B120&amp;$C120,'[1]FC3 Prod'!$A$6:$BP$36,[2]Consolidated!AM$1)</f>
        <v>0</v>
      </c>
      <c r="AN120" s="42" t="e">
        <f>VLOOKUP($B120&amp;$C120,'[1]FC3 Prod'!$A$6:$BP$36,[2]Consolidated!AN$1)</f>
        <v>#REF!</v>
      </c>
      <c r="AO120" s="43" t="e">
        <f>VLOOKUP($B120&amp;$C120,'[1]FC3 Prod'!$A$6:$BP$36,[2]Consolidated!AO$1)</f>
        <v>#REF!</v>
      </c>
      <c r="AP120" s="44">
        <f>VLOOKUP($B120&amp;$C120,'[1]FC3 Prod'!$A$6:$BP$36,[2]Consolidated!AP$1)</f>
        <v>0</v>
      </c>
      <c r="AQ120" s="44">
        <f>VLOOKUP($B120&amp;$C120,'[1]FC3 Prod'!$A$6:$BP$36,[2]Consolidated!AQ$1)</f>
        <v>0</v>
      </c>
      <c r="AR120" s="45">
        <f>VLOOKUP($B120&amp;$C120,'[1]FC3 Prod'!$A$6:$BP$36,[2]Consolidated!AR$1)</f>
        <v>0</v>
      </c>
      <c r="AS120" s="46">
        <f>VLOOKUP($B120&amp;$C120,'[1]FC3 Prod'!$A$6:$BP$36,[2]Consolidated!AS$1)</f>
        <v>0</v>
      </c>
      <c r="AT120" s="29">
        <f>VLOOKUP($B120&amp;$C120,'[1]FC3 Prod'!$A$6:$BP$36,[2]Consolidated!AT$1)</f>
        <v>0</v>
      </c>
      <c r="AU120" s="34">
        <f>VLOOKUP($B120&amp;$C120,'[1]FC3 Prod'!$A$6:$BP$36,[2]Consolidated!AU$1)</f>
        <v>0</v>
      </c>
      <c r="AV120" s="34">
        <f>VLOOKUP($B120&amp;$C120,'[1]FC3 Prod'!$A$6:$BP$36,[2]Consolidated!AV$1)</f>
        <v>0</v>
      </c>
      <c r="AW120" s="47">
        <f>VLOOKUP($B120&amp;$C120,'[1]FC3 Prod'!$A$6:$BP$36,[2]Consolidated!AW$1)</f>
        <v>0</v>
      </c>
      <c r="AX120" s="47">
        <f>VLOOKUP($B120&amp;$C120,'[1]FC3 Prod'!$A$6:$BP$36,[2]Consolidated!AX$1)</f>
        <v>0</v>
      </c>
      <c r="AY120" s="48">
        <f>VLOOKUP($B120&amp;$C120,'[1]FC3 Prod'!$A$6:$BP$36,[2]Consolidated!AY$1)</f>
        <v>0</v>
      </c>
      <c r="AZ120" s="47">
        <f>VLOOKUP($B120&amp;$C120,'[1]FC3 Prod'!$A$6:$BP$36,[2]Consolidated!AZ$1)</f>
        <v>0</v>
      </c>
      <c r="BA120" s="47">
        <f>VLOOKUP($B120&amp;$C120,'[1]FC3 Prod'!$A$6:$BP$36,[2]Consolidated!BA$1)</f>
        <v>0</v>
      </c>
      <c r="BB120" s="47">
        <f>VLOOKUP($B120&amp;$C120,'[1]FC3 Prod'!$A$6:$BP$36,[2]Consolidated!BB$1)</f>
        <v>0</v>
      </c>
      <c r="BC120" s="47">
        <f>VLOOKUP($B120&amp;$C120,'[1]FC3 Prod'!$A$6:$BP$36,[2]Consolidated!BC$1)</f>
        <v>0</v>
      </c>
      <c r="BD120" s="49">
        <f>VLOOKUP($B120&amp;$C120,'[1]FC3 Prod'!$A$6:$BP$36,[2]Consolidated!BD$1)</f>
        <v>0</v>
      </c>
      <c r="BE120" s="47">
        <f>VLOOKUP($B120&amp;$C120,'[1]FC3 Prod'!$A$6:$BP$36,[2]Consolidated!BE$1)</f>
        <v>0</v>
      </c>
      <c r="BF120" s="47">
        <f>VLOOKUP($B120&amp;$C120,'[1]FC3 Prod'!$A$6:$BP$36,[2]Consolidated!BF$1)</f>
        <v>0</v>
      </c>
      <c r="BG120" s="50">
        <f>VLOOKUP($B120&amp;$C120,'[1]FC3 Prod'!$A$6:$BP$36,[2]Consolidated!BG$1)</f>
        <v>0</v>
      </c>
      <c r="BH120" s="50">
        <f>VLOOKUP($B120&amp;$C120,'[1]FC3 Prod'!$A$6:$BP$36,[2]Consolidated!BH$1)</f>
        <v>0</v>
      </c>
      <c r="BI120" s="50">
        <f>VLOOKUP($B120&amp;$C120,'[1]FC3 Prod'!$A$6:$BP$36,[2]Consolidated!BI$1)</f>
        <v>0</v>
      </c>
      <c r="BJ120" s="37" t="e">
        <f>VLOOKUP($B120&amp;$C120,'[1]FC3 Prod'!$A$6:$BP$36,[2]Consolidated!BJ$1)</f>
        <v>#REF!</v>
      </c>
      <c r="BK120" s="37" t="e">
        <f>VLOOKUP($B120&amp;$C120,'[1]FC3 Prod'!$A$6:$BP$36,[2]Consolidated!BK$1)</f>
        <v>#REF!</v>
      </c>
      <c r="BL120" s="37" t="e">
        <f>VLOOKUP($B120&amp;$C120,'[1]FC3 Prod'!$A$6:$BP$36,[2]Consolidated!BL$1)</f>
        <v>#REF!</v>
      </c>
      <c r="BM120" s="37" t="e">
        <f>VLOOKUP($B120&amp;$C120,'[1]FC3 Prod'!$A$6:$BP$36,[2]Consolidated!BM$1)</f>
        <v>#REF!</v>
      </c>
      <c r="BN120" s="37" t="e">
        <f>VLOOKUP($B120&amp;$C120,'[1]FC3 Prod'!$A$6:$BP$36,[2]Consolidated!BN$1)</f>
        <v>#REF!</v>
      </c>
      <c r="BO120" s="37" t="e">
        <f>VLOOKUP($B120&amp;$C120,'[1]FC3 Prod'!$A$6:$BP$36,[2]Consolidated!BO$1)</f>
        <v>#REF!</v>
      </c>
      <c r="BP120" s="37" t="e">
        <f>VLOOKUP($B120&amp;$C120,'[1]FC3 Prod'!$A$6:$BP$36,[2]Consolidated!BP$1)</f>
        <v>#REF!</v>
      </c>
      <c r="BQ120" s="51" t="e">
        <f>VLOOKUP($B120&amp;$C120,'[1]FC3 Prod'!$A$6:$BP$36,[2]Consolidated!BQ$1)</f>
        <v>#REF!</v>
      </c>
      <c r="BR120" s="51">
        <f>VLOOKUP($B120&amp;$C120,'[1]FC3 Prod'!$A$6:$BQ$36,[2]Consolidated!BR$1)</f>
        <v>60369</v>
      </c>
      <c r="BS120" s="52">
        <f t="shared" si="146"/>
        <v>0</v>
      </c>
      <c r="BT120" s="32">
        <f t="shared" ref="BT120:BT121" si="148">BR120-BS120</f>
        <v>60369</v>
      </c>
      <c r="BU120" s="37">
        <f t="shared" ref="BU120:BU121" si="149">E120*BT120</f>
        <v>0</v>
      </c>
      <c r="BV120" s="53" t="s">
        <v>133</v>
      </c>
      <c r="BW120" s="54" cm="1">
        <f t="array" ref="BW120">IFERROR(VLOOKUP($A120,TRANSPOSE('[1]Fur 3 PLC'!$AS$1:$BX$38),8,0),0)</f>
        <v>0</v>
      </c>
      <c r="BX120" s="54" cm="1">
        <f t="array" ref="BX120">IFERROR(VLOOKUP($A120,TRANSPOSE('[1]Fur 3 PLC'!$AS$1:$BX$38),30,0),0)</f>
        <v>0</v>
      </c>
      <c r="BY120" s="54" cm="1">
        <f t="array" ref="BY120">IFERROR(VLOOKUP($A120,TRANSPOSE('[1]Fur 3 PLC'!$AS$1:$BX$38),14,0),0)</f>
        <v>0</v>
      </c>
      <c r="BZ120" s="54" cm="1">
        <f t="array" ref="BZ120">IFERROR(VLOOKUP($A120,TRANSPOSE('[1]Fur 3 PLC'!$AS$1:$BX$38),16,0),0)</f>
        <v>0</v>
      </c>
      <c r="CA120" s="54" cm="1">
        <f t="array" ref="CA120">IFERROR(VLOOKUP($A120,TRANSPOSE('[1]Fur 3 PLC'!$AS$1:$BX$38),9,0),0)</f>
        <v>0</v>
      </c>
      <c r="CB120" s="54" cm="1">
        <f t="array" ref="CB120">IFERROR(VLOOKUP($A120,TRANSPOSE('[1]Fur 3 PLC'!$AS$1:$BX$38),17,0),0)</f>
        <v>0</v>
      </c>
      <c r="CC120" s="54" cm="1">
        <f t="array" ref="CC120">IFERROR(VLOOKUP($A120,TRANSPOSE('[1]Fur 3 PLC'!$AS$1:$BX$38),20,0),0)</f>
        <v>0</v>
      </c>
      <c r="CD120" s="54" cm="1">
        <f t="array" ref="CD120">IFERROR(VLOOKUP($A120,TRANSPOSE('[1]Fur 3 PLC'!$AS$1:$BX$38),28,0),0)</f>
        <v>0</v>
      </c>
      <c r="CE120" s="54" cm="1">
        <f t="array" ref="CE120">IFERROR(VLOOKUP($A120,TRANSPOSE('[1]Fur 3 PLC'!$AS$1:$BX$38),13,0),0)</f>
        <v>0</v>
      </c>
      <c r="CF120" s="54" cm="1">
        <f t="array" ref="CF120">IFERROR(VLOOKUP($A120,TRANSPOSE('[1]Fur 3 PLC'!$AS$1:$BX$38),37,0),0)</f>
        <v>0</v>
      </c>
      <c r="CG120" s="54" cm="1">
        <f t="array" ref="CG120">IFERROR(VLOOKUP($A120,TRANSPOSE('[1]Fur 3 PLC'!$AS$1:$BX$38),6,0),0)</f>
        <v>0</v>
      </c>
      <c r="CH120" s="54" cm="1">
        <f t="array" ref="CH120">IFERROR(VLOOKUP($A120,TRANSPOSE('[1]Fur 3 PLC'!$AS$1:$BX$38),21,0),0)</f>
        <v>0</v>
      </c>
      <c r="CI120" s="54" cm="1">
        <f t="array" ref="CI120">IFERROR(VLOOKUP($A120,TRANSPOSE('[1]Fur 3 PLC'!$AS$1:$BX$38),12,0),0)</f>
        <v>0</v>
      </c>
      <c r="CJ120" s="54" cm="1">
        <f t="array" ref="CJ120">IFERROR(VLOOKUP($A120,TRANSPOSE('[1]Fur 3 PLC'!$AS$1:$BX$38),25,0),0)</f>
        <v>0</v>
      </c>
      <c r="CK120" s="54" cm="1">
        <f t="array" ref="CK120">IFERROR(VLOOKUP($A120,TRANSPOSE('[1]Fur 3 PLC'!$AS$1:$BX$38),26,0),0)</f>
        <v>0</v>
      </c>
      <c r="CL120" s="54" cm="1">
        <f t="array" ref="CL120">IFERROR(VLOOKUP($A120,TRANSPOSE('[1]Fur 3 PLC'!$AS$1:$BX$38),27,0),0)</f>
        <v>0</v>
      </c>
      <c r="CM120" s="54" cm="1">
        <f t="array" ref="CM120">IFERROR(VLOOKUP($A120,TRANSPOSE('[1]Fur 3 PLC'!$AS$1:$BX$38),22,0),0)</f>
        <v>0</v>
      </c>
      <c r="CN120" s="54"/>
      <c r="CO120" s="54" cm="1">
        <f t="array" ref="CO120">IFERROR(VLOOKUP($A120,TRANSPOSE('[1]Fur 3 PLC'!$AS$1:$BX$38),29,0),0)</f>
        <v>0</v>
      </c>
      <c r="CP120" s="54" cm="1">
        <f t="array" ref="CP120">IFERROR(VLOOKUP($A120,TRANSPOSE('[1]Fur 3 PLC'!$AS$1:$BX$38),10,0),0)</f>
        <v>0</v>
      </c>
      <c r="CQ120" s="54" cm="1">
        <f t="array" ref="CQ120">IFERROR(VLOOKUP($A120,TRANSPOSE('[1]Fur 3 PLC'!$AS$1:$BX$38),7,0),0)</f>
        <v>0</v>
      </c>
      <c r="CR120" s="54" cm="1">
        <f t="array" ref="CR120">IFERROR(VLOOKUP($A120,TRANSPOSE('[1]Fur 3 PLC'!$AS$1:$BX$38),35,0),0)</f>
        <v>0</v>
      </c>
      <c r="CS120" s="54" cm="1">
        <f t="array" ref="CS120">IFERROR(VLOOKUP($A120,TRANSPOSE('[1]Fur 3 PLC'!$AS$1:$BX$38),11,0),0)</f>
        <v>0</v>
      </c>
      <c r="CT120" s="54" cm="1">
        <f t="array" ref="CT120">IFERROR(VLOOKUP($A120,TRANSPOSE('[1]Fur 3 PLC'!$AS$1:$BX$38),19,0),0)</f>
        <v>0</v>
      </c>
      <c r="CU120" s="54" cm="1">
        <f t="array" ref="CU120">IFERROR(VLOOKUP($A120,TRANSPOSE('[1]Fur 3 PLC'!$AS$1:$BX$38),18,0),0)</f>
        <v>0</v>
      </c>
      <c r="CV120" s="54" cm="1">
        <f t="array" ref="CV120">IFERROR(VLOOKUP($A120,TRANSPOSE('[1]Fur 3 PLC'!$AR$1:$BV$38),15,0),0)</f>
        <v>0</v>
      </c>
      <c r="CW120" s="54" cm="1">
        <f t="array" ref="CW120">IFERROR(VLOOKUP($A120,TRANSPOSE('[1]Fur 3 PLC'!$CK$1:$DO$38),8,0),0)</f>
        <v>0</v>
      </c>
      <c r="CX120" s="54" cm="1">
        <f t="array" ref="CX120">IFERROR(VLOOKUP($A120,TRANSPOSE('[1]Fur 3 PLC'!$CK$1:$DO$38),30,0),0)</f>
        <v>0</v>
      </c>
      <c r="CY120" s="54" cm="1">
        <f t="array" ref="CY120">IFERROR(VLOOKUP($A120,TRANSPOSE('[1]Fur 3 PLC'!$CK$1:$DO$38),14,0),0)</f>
        <v>0</v>
      </c>
      <c r="CZ120" s="54" cm="1">
        <f t="array" ref="CZ120">IFERROR(VLOOKUP($A120,TRANSPOSE('[1]Fur 3 PLC'!$CK$1:$DO$38),16,0),0)</f>
        <v>0</v>
      </c>
      <c r="DA120" s="54" cm="1">
        <f t="array" ref="DA120">IFERROR(VLOOKUP($A120,TRANSPOSE('[1]Fur 3 PLC'!$CK$1:$DO$38),9,0),0)</f>
        <v>0</v>
      </c>
      <c r="DB120" s="55" cm="1">
        <f t="array" ref="DB120">IFERROR(VLOOKUP($A120,TRANSPOSE('[1]Fur 3 PLC'!$CK$1:$DO$38),17,0),0)</f>
        <v>0</v>
      </c>
      <c r="DC120" s="55" cm="1">
        <f t="array" ref="DC120">IFERROR(VLOOKUP($A120,TRANSPOSE('[1]Fur 3 PLC'!$CK$1:$DO$38),20,0),0)</f>
        <v>0</v>
      </c>
      <c r="DD120" s="54" cm="1">
        <f t="array" ref="DD120">IFERROR(VLOOKUP($A120,TRANSPOSE('[1]Fur 3 PLC'!$CK$1:$DO$38),28,0),0)</f>
        <v>0</v>
      </c>
      <c r="DE120" s="54" cm="1">
        <f t="array" ref="DE120">IFERROR(VLOOKUP($A120,TRANSPOSE('[1]Fur 3 PLC'!$CK$1:$DO$38),13,0),0)</f>
        <v>0</v>
      </c>
      <c r="DF120" s="54" cm="1">
        <f t="array" ref="DF120">IFERROR(VLOOKUP($A120,TRANSPOSE('[1]Fur 3 PLC'!$CK$1:$DO$38),37,0),0)</f>
        <v>0</v>
      </c>
      <c r="DG120" s="54" cm="1">
        <f t="array" ref="DG120">IFERROR(VLOOKUP($A120,TRANSPOSE('[1]Fur 3 PLC'!$CK$1:$DO$38),6,0),0)</f>
        <v>0</v>
      </c>
      <c r="DH120" s="54" cm="1">
        <f t="array" ref="DH120">IFERROR(VLOOKUP($A120,TRANSPOSE('[1]Fur 3 PLC'!$CK$1:$DO$38),21,0),0)</f>
        <v>0</v>
      </c>
      <c r="DI120" s="54" cm="1">
        <f t="array" ref="DI120">IFERROR(VLOOKUP($A120,TRANSPOSE('[1]Fur 3 PLC'!$CK$1:$DO$38),12,0),0)</f>
        <v>0</v>
      </c>
      <c r="DJ120" s="54" cm="1">
        <f t="array" ref="DJ120">IFERROR(VLOOKUP($A120,TRANSPOSE('[1]Fur 3 PLC'!$CK$1:$DO$38),25,0),0)</f>
        <v>0</v>
      </c>
      <c r="DK120" s="54" cm="1">
        <f t="array" ref="DK120">IFERROR(VLOOKUP($A120,TRANSPOSE('[1]Fur 3 PLC'!$CK$1:$DO$38),26,0),0)</f>
        <v>0</v>
      </c>
      <c r="DL120" s="54" cm="1">
        <f t="array" ref="DL120">IFERROR(VLOOKUP($A120,TRANSPOSE('[1]Fur 3 PLC'!$CK$1:$DO$38),27,0),0)</f>
        <v>0</v>
      </c>
      <c r="DM120" s="54" cm="1">
        <f t="array" ref="DM120">IFERROR(VLOOKUP($A120,TRANSPOSE('[1]Fur 3 PLC'!$CK$1:$DO$38),22,0),0)</f>
        <v>0</v>
      </c>
      <c r="DN120" s="54" cm="1">
        <f t="array" ref="DN120">IFERROR(VLOOKUP($A120,TRANSPOSE('[1]Fur 3 PLC'!$CK$1:$DO$38),19,0),0)</f>
        <v>0</v>
      </c>
      <c r="DO120" s="54" cm="1">
        <f t="array" ref="DO120">IFERROR(VLOOKUP($A120,TRANSPOSE('[1]Fur 3 PLC'!$CK$1:$DO$38),29,0),0)</f>
        <v>0</v>
      </c>
      <c r="DP120" s="54" cm="1">
        <f t="array" ref="DP120">IFERROR(VLOOKUP($A120,TRANSPOSE('[1]Fur 3 PLC'!$CK$1:$DO$38),10,0),0)</f>
        <v>0</v>
      </c>
      <c r="DQ120" s="54" cm="1">
        <f t="array" ref="DQ120">IFERROR(VLOOKUP($A120,TRANSPOSE('[1]Fur 3 PLC'!$CK$1:$DO$38),7,0),0)</f>
        <v>0</v>
      </c>
      <c r="DR120" s="54" cm="1">
        <f t="array" ref="DR120">IFERROR(VLOOKUP($A120,TRANSPOSE('[1]Fur 3 PLC'!$CK$1:$DO$38),35,0),0)</f>
        <v>0</v>
      </c>
      <c r="DS120" s="54" cm="1">
        <f t="array" ref="DS120">IFERROR(VLOOKUP($A120,TRANSPOSE('[1]Fur 3 PLC'!$CK$1:$DO$38),11,0),0)</f>
        <v>0</v>
      </c>
      <c r="DT120" s="54" cm="1">
        <f t="array" ref="DT120">IFERROR(VLOOKUP($A120,TRANSPOSE('[1]Fur 3 PLC'!$CK$1:$DO$38),19,0),0)</f>
        <v>0</v>
      </c>
      <c r="DU120" s="54" cm="1">
        <f t="array" ref="DU120">IFERROR(VLOOKUP($A120,TRANSPOSE('[1]Fur 3 PLC'!$CK$1:$DO$38),18,0),0)</f>
        <v>0</v>
      </c>
      <c r="DV120" s="54" cm="1">
        <f t="array" ref="DV120">IFERROR(VLOOKUP($A120,TRANSPOSE('[1]Fur 3 PLC'!$CK$1:$DO$38),15,0),0)</f>
        <v>0</v>
      </c>
      <c r="DW120" t="str">
        <f t="shared" si="147"/>
        <v>Dec-25</v>
      </c>
    </row>
    <row r="121" spans="1:127" x14ac:dyDescent="0.3">
      <c r="A121" s="28" t="str">
        <f t="shared" si="140"/>
        <v>F446021</v>
      </c>
      <c r="B121" s="29" t="s">
        <v>29</v>
      </c>
      <c r="C121" s="30">
        <f>C120</f>
        <v>46021</v>
      </c>
      <c r="D121" s="29" t="str">
        <f>VLOOKUP($B121&amp;$C121,'[1]FC4 Prod'!$A$6:$BP$36,[2]Consolidated!D$1)</f>
        <v>Mr.Ganesh Ghosh Ji</v>
      </c>
      <c r="E121" s="29">
        <f>VLOOKUP($B121&amp;$C121,'[1]FC4 Prod'!$A$6:$BP$36,[2]Consolidated!E$1)</f>
        <v>0</v>
      </c>
      <c r="F121" s="31">
        <f>VLOOKUP($B121&amp;$C121,'[1]FC4 Prod'!$A$6:$BP$36,[2]Consolidated!F$1)</f>
        <v>0</v>
      </c>
      <c r="G121" s="32" t="e">
        <f>VLOOKUP($B121&amp;$C121,'[1]FC4 Prod'!$A$6:$BP$36,[2]Consolidated!G$1)</f>
        <v>#REF!</v>
      </c>
      <c r="H121" s="32">
        <f>VLOOKUP($B121&amp;$C121,'[1]FC4 Prod'!$A$6:$BP$36,[2]Consolidated!H$1)</f>
        <v>0</v>
      </c>
      <c r="I121" s="32">
        <f>VLOOKUP($B121&amp;$C121,'[1]FC4 Prod'!$A$6:$BP$36,[2]Consolidated!I$1)</f>
        <v>0</v>
      </c>
      <c r="J121" s="32">
        <f>VLOOKUP($B121&amp;$C121,'[1]FC4 Prod'!$A$6:$BP$36,[2]Consolidated!J$1)</f>
        <v>0</v>
      </c>
      <c r="K121" s="32">
        <f>VLOOKUP($B121&amp;$C121,'[1]FC4 Prod'!$A$6:$BP$36,[2]Consolidated!K$1)</f>
        <v>0</v>
      </c>
      <c r="L121" s="32">
        <f>VLOOKUP($B121&amp;$C121,'[1]FC4 Prod'!$A$6:$BP$36,[2]Consolidated!L$1)</f>
        <v>0</v>
      </c>
      <c r="M121" s="32">
        <f>VLOOKUP($B121&amp;$C121,'[1]FC4 Prod'!$A$6:$BP$36,[2]Consolidated!M$1)</f>
        <v>0</v>
      </c>
      <c r="N121" s="32">
        <f>VLOOKUP($B121&amp;$C121,'[1]FC4 Prod'!$A$6:$BP$36,[2]Consolidated!N$1)</f>
        <v>0</v>
      </c>
      <c r="O121" s="32">
        <f>VLOOKUP($B121&amp;$C121,'[1]FC4 Prod'!$A$6:$BP$36,[2]Consolidated!O$1)</f>
        <v>0</v>
      </c>
      <c r="P121" s="33">
        <f>VLOOKUP($B121&amp;$C121,'[1]FC4 Prod'!$A$6:$BP$36,[2]Consolidated!P$1)</f>
        <v>13</v>
      </c>
      <c r="Q121" s="29">
        <f>VLOOKUP($B121&amp;$C121,'[1]FC4 Prod'!$A$6:$BP$36,[2]Consolidated!Q$1)</f>
        <v>0</v>
      </c>
      <c r="R121" s="29">
        <f>VLOOKUP($B121&amp;$C121,'[1]FC4 Prod'!$A$6:$BP$36,[2]Consolidated!R$1)</f>
        <v>0</v>
      </c>
      <c r="S121" s="34" t="e">
        <f>VLOOKUP($B121&amp;$C121,'[1]FC4 Prod'!$A$6:$BP$36,[2]Consolidated!S$1)</f>
        <v>#REF!</v>
      </c>
      <c r="T121" s="34" t="e">
        <f>VLOOKUP($B121&amp;$C121,'[1]FC4 Prod'!$A$6:$BP$36,[2]Consolidated!T$1)</f>
        <v>#REF!</v>
      </c>
      <c r="U121" s="34" t="e">
        <f>VLOOKUP($B121&amp;$C121,'[1]FC4 Prod'!$A$6:$BP$36,[2]Consolidated!U$1)</f>
        <v>#REF!</v>
      </c>
      <c r="V121" s="34">
        <f>VLOOKUP($B121&amp;$C121,'[1]FC4 Prod'!$A$6:$BP$36,[2]Consolidated!V$1)</f>
        <v>0</v>
      </c>
      <c r="W121" s="35">
        <f>VLOOKUP($B121&amp;$C121,'[1]FC4 Prod'!$A$6:$BP$36,[2]Consolidated!W$1)</f>
        <v>0</v>
      </c>
      <c r="X121" s="35">
        <f>VLOOKUP($B121&amp;$C121,'[1]FC4 Prod'!$A$6:$BP$36,[2]Consolidated!X$1)</f>
        <v>0</v>
      </c>
      <c r="Y121" s="36">
        <f>VLOOKUP($B121&amp;$C121,'[1]FC4 Prod'!$A$6:$BP$36,[2]Consolidated!Y$1)</f>
        <v>0</v>
      </c>
      <c r="Z121" s="37" t="e">
        <f>VLOOKUP($B121&amp;$C121,'[1]FC4 Prod'!$A$6:$BP$36,[2]Consolidated!Z$1)</f>
        <v>#REF!</v>
      </c>
      <c r="AA121" s="31">
        <f>VLOOKUP($B121&amp;$C121,'[1]FC4 Prod'!$A$6:$BP$36,[2]Consolidated!AA$1)</f>
        <v>0</v>
      </c>
      <c r="AB121" s="31">
        <f>VLOOKUP($B121&amp;$C121,'[1]FC4 Prod'!$A$6:$BP$36,[2]Consolidated!AB$1)</f>
        <v>0</v>
      </c>
      <c r="AC121" s="31">
        <f>VLOOKUP($B121&amp;$C121,'[1]FC4 Prod'!$A$6:$BP$36,[2]Consolidated!AC$1)</f>
        <v>0</v>
      </c>
      <c r="AD121" s="38">
        <f>VLOOKUP($B121&amp;$C121,'[1]FC4 Prod'!$A$6:$BP$36,[2]Consolidated!AD$1)</f>
        <v>0</v>
      </c>
      <c r="AE121" s="38">
        <f>VLOOKUP($B121&amp;$C121,'[1]FC4 Prod'!$A$6:$BP$36,[2]Consolidated!AE$1)</f>
        <v>0</v>
      </c>
      <c r="AF121" s="39">
        <f>VLOOKUP($B121&amp;$C121,'[1]FC4 Prod'!$A$6:$BP$36,[2]Consolidated!AF$1)</f>
        <v>0</v>
      </c>
      <c r="AG121" s="39">
        <f>VLOOKUP($B121&amp;$C121,'[1]FC4 Prod'!$A$6:$BP$36,[2]Consolidated!AG$1)</f>
        <v>0</v>
      </c>
      <c r="AH121" s="34">
        <f>VLOOKUP($B121&amp;$C121,'[1]FC4 Prod'!$A$6:$BP$36,[2]Consolidated!AH$1)</f>
        <v>0</v>
      </c>
      <c r="AI121" s="33">
        <f>VLOOKUP($B121&amp;$C121,'[1]FC4 Prod'!$A$6:$BP$36,[2]Consolidated!AI$1)</f>
        <v>0</v>
      </c>
      <c r="AJ121" s="39">
        <f>VLOOKUP($B121&amp;$C121,'[1]FC4 Prod'!$A$6:$BP$36,[2]Consolidated!AJ$1)</f>
        <v>0</v>
      </c>
      <c r="AK121" s="39">
        <f>VLOOKUP($B121&amp;$C121,'[1]FC4 Prod'!$A$6:$BP$36,[2]Consolidated!AK$1)</f>
        <v>0</v>
      </c>
      <c r="AL121" s="40" t="e">
        <f>VLOOKUP($B121&amp;$C121,'[1]FC4 Prod'!$A$6:$BP$36,[2]Consolidated!AL$1)</f>
        <v>#REF!</v>
      </c>
      <c r="AM121" s="41">
        <f>VLOOKUP($B121&amp;$C121,'[1]FC4 Prod'!$A$6:$BP$36,[2]Consolidated!AM$1)</f>
        <v>0</v>
      </c>
      <c r="AN121" s="42" t="e">
        <f>VLOOKUP($B121&amp;$C121,'[1]FC4 Prod'!$A$6:$BP$36,[2]Consolidated!AN$1)</f>
        <v>#REF!</v>
      </c>
      <c r="AO121" s="43" t="e">
        <f>VLOOKUP($B121&amp;$C121,'[1]FC4 Prod'!$A$6:$BP$36,[2]Consolidated!AO$1)</f>
        <v>#REF!</v>
      </c>
      <c r="AP121" s="44">
        <f>VLOOKUP($B121&amp;$C121,'[1]FC4 Prod'!$A$6:$BP$36,[2]Consolidated!AP$1)</f>
        <v>0</v>
      </c>
      <c r="AQ121" s="44">
        <f>VLOOKUP($B121&amp;$C121,'[1]FC4 Prod'!$A$6:$BP$36,[2]Consolidated!AQ$1)</f>
        <v>0</v>
      </c>
      <c r="AR121" s="45">
        <f>VLOOKUP($B121&amp;$C121,'[1]FC4 Prod'!$A$6:$BP$36,[2]Consolidated!AR$1)</f>
        <v>0</v>
      </c>
      <c r="AS121" s="46">
        <f>VLOOKUP($B121&amp;$C121,'[1]FC4 Prod'!$A$6:$BP$36,[2]Consolidated!AS$1)</f>
        <v>0</v>
      </c>
      <c r="AT121" s="29">
        <f>VLOOKUP($B121&amp;$C121,'[1]FC4 Prod'!$A$6:$BP$36,[2]Consolidated!AT$1)</f>
        <v>0</v>
      </c>
      <c r="AU121" s="34">
        <f>VLOOKUP($B121&amp;$C121,'[1]FC4 Prod'!$A$6:$BP$36,[2]Consolidated!AU$1)</f>
        <v>0</v>
      </c>
      <c r="AV121" s="34">
        <f>VLOOKUP($B121&amp;$C121,'[1]FC4 Prod'!$A$6:$BP$36,[2]Consolidated!AV$1)</f>
        <v>0</v>
      </c>
      <c r="AW121" s="47">
        <f>VLOOKUP($B121&amp;$C121,'[1]FC4 Prod'!$A$6:$BP$36,[2]Consolidated!AW$1)</f>
        <v>0</v>
      </c>
      <c r="AX121" s="47">
        <f>VLOOKUP($B121&amp;$C121,'[1]FC4 Prod'!$A$6:$BP$36,[2]Consolidated!AX$1)</f>
        <v>0</v>
      </c>
      <c r="AY121" s="48">
        <f>VLOOKUP($B121&amp;$C121,'[1]FC4 Prod'!$A$6:$BP$36,[2]Consolidated!AY$1)</f>
        <v>0</v>
      </c>
      <c r="AZ121" s="47">
        <f>VLOOKUP($B121&amp;$C121,'[1]FC4 Prod'!$A$6:$BP$36,[2]Consolidated!AZ$1)</f>
        <v>0</v>
      </c>
      <c r="BA121" s="47">
        <f>VLOOKUP($B121&amp;$C121,'[1]FC4 Prod'!$A$6:$BP$36,[2]Consolidated!BA$1)</f>
        <v>0</v>
      </c>
      <c r="BB121" s="47">
        <f>VLOOKUP($B121&amp;$C121,'[1]FC4 Prod'!$A$6:$BP$36,[2]Consolidated!BB$1)</f>
        <v>0</v>
      </c>
      <c r="BC121" s="47">
        <f>VLOOKUP($B121&amp;$C121,'[1]FC4 Prod'!$A$6:$BP$36,[2]Consolidated!BC$1)</f>
        <v>0</v>
      </c>
      <c r="BD121" s="49">
        <f>VLOOKUP($B121&amp;$C121,'[1]FC4 Prod'!$A$6:$BP$36,[2]Consolidated!BD$1)</f>
        <v>0</v>
      </c>
      <c r="BE121" s="47">
        <f>VLOOKUP($B121&amp;$C121,'[1]FC4 Prod'!$A$6:$BP$36,[2]Consolidated!BE$1)</f>
        <v>0</v>
      </c>
      <c r="BF121" s="47">
        <f>VLOOKUP($B121&amp;$C121,'[1]FC4 Prod'!$A$6:$BP$36,[2]Consolidated!BF$1)</f>
        <v>0</v>
      </c>
      <c r="BG121" s="50">
        <f>VLOOKUP($B121&amp;$C121,'[1]FC4 Prod'!$A$6:$BP$36,[2]Consolidated!BG$1)</f>
        <v>0</v>
      </c>
      <c r="BH121" s="50">
        <f>VLOOKUP($B121&amp;$C121,'[1]FC4 Prod'!$A$6:$BP$36,[2]Consolidated!BH$1)</f>
        <v>0</v>
      </c>
      <c r="BI121" s="50">
        <f>VLOOKUP($B121&amp;$C121,'[1]FC4 Prod'!$A$6:$BP$36,[2]Consolidated!BI$1)</f>
        <v>0</v>
      </c>
      <c r="BJ121" s="37" t="e">
        <f>VLOOKUP($B121&amp;$C121,'[1]FC4 Prod'!$A$6:$BP$36,[2]Consolidated!BJ$1)</f>
        <v>#REF!</v>
      </c>
      <c r="BK121" s="37" t="e">
        <f>VLOOKUP($B121&amp;$C121,'[1]FC4 Prod'!$A$6:$BP$36,[2]Consolidated!BK$1)</f>
        <v>#REF!</v>
      </c>
      <c r="BL121" s="37" t="e">
        <f>VLOOKUP($B121&amp;$C121,'[1]FC4 Prod'!$A$6:$BP$36,[2]Consolidated!BL$1)</f>
        <v>#REF!</v>
      </c>
      <c r="BM121" s="37" t="e">
        <f>VLOOKUP($B121&amp;$C121,'[1]FC4 Prod'!$A$6:$BP$36,[2]Consolidated!BM$1)</f>
        <v>#REF!</v>
      </c>
      <c r="BN121" s="37" t="e">
        <f>VLOOKUP($B121&amp;$C121,'[1]FC4 Prod'!$A$6:$BP$36,[2]Consolidated!BN$1)</f>
        <v>#REF!</v>
      </c>
      <c r="BO121" s="37" t="e">
        <f>VLOOKUP($B121&amp;$C121,'[1]FC4 Prod'!$A$6:$BP$36,[2]Consolidated!BO$1)</f>
        <v>#REF!</v>
      </c>
      <c r="BP121" s="37" t="e">
        <f>VLOOKUP($B121&amp;$C121,'[1]FC4 Prod'!$A$6:$BP$36,[2]Consolidated!BP$1)</f>
        <v>#REF!</v>
      </c>
      <c r="BQ121" s="51" t="e">
        <f>VLOOKUP($B121&amp;$C121,'[1]FC4 Prod'!$A$6:$BP$36,[2]Consolidated!BQ$1)</f>
        <v>#REF!</v>
      </c>
      <c r="BR121" s="51">
        <f>VLOOKUP($B121&amp;$C121,'[1]FC4 Prod'!$A$6:$BQ$36,[2]Consolidated!BR$1)</f>
        <v>41644</v>
      </c>
      <c r="BS121" s="52">
        <f t="shared" ref="BS121" si="150">BE121+BF121*110%+BG121+BA121</f>
        <v>0</v>
      </c>
      <c r="BT121" s="32">
        <f t="shared" si="148"/>
        <v>41644</v>
      </c>
      <c r="BU121" s="37">
        <f t="shared" si="149"/>
        <v>0</v>
      </c>
      <c r="BV121" s="53" t="s">
        <v>133</v>
      </c>
      <c r="BW121" s="54" cm="1">
        <f t="array" ref="BW121">IFERROR(VLOOKUP($A121,TRANSPOSE('[1]Fur 4 PLC'!$AR$1:$BV$39),8,0),0)</f>
        <v>0</v>
      </c>
      <c r="BX121" s="54" cm="1">
        <f t="array" ref="BX121">IFERROR(VLOOKUP($A121,TRANSPOSE('[1]Fur 4 PLC'!$AR$1:$BV$39),30,0),0)</f>
        <v>0</v>
      </c>
      <c r="BY121" s="54" cm="1">
        <f t="array" ref="BY121">IFERROR(VLOOKUP($A121,TRANSPOSE('[1]Fur 4 PLC'!$AR$1:$BV$39),14,0),0)</f>
        <v>0</v>
      </c>
      <c r="BZ121" s="54" cm="1">
        <f t="array" ref="BZ121">IFERROR(VLOOKUP($A121,TRANSPOSE('[1]Fur 4 PLC'!$AR$1:$BV$39),16,0),0)</f>
        <v>0</v>
      </c>
      <c r="CA121" s="54" cm="1">
        <f t="array" ref="CA121">IFERROR(VLOOKUP($A121,TRANSPOSE('[1]Fur 4 PLC'!$AR$1:$BV$39),9,0),0)</f>
        <v>0</v>
      </c>
      <c r="CB121" s="54" cm="1">
        <f t="array" ref="CB121">IFERROR(VLOOKUP($A121,TRANSPOSE('[1]Fur 4 PLC'!$AR$1:$BV$39),17,0),0)</f>
        <v>0</v>
      </c>
      <c r="CC121" s="54" cm="1">
        <f t="array" ref="CC121">IFERROR(VLOOKUP($A121,TRANSPOSE('[1]Fur 4 PLC'!$AR$1:$BV$39),20,0),0)</f>
        <v>0</v>
      </c>
      <c r="CD121" s="54" cm="1">
        <f t="array" ref="CD121">IFERROR(VLOOKUP($A121,TRANSPOSE('[1]Fur 4 PLC'!$AR$1:$BV$39),28,0),0)</f>
        <v>0</v>
      </c>
      <c r="CE121" s="54" cm="1">
        <f t="array" ref="CE121">IFERROR(VLOOKUP($A121,TRANSPOSE('[1]Fur 4 PLC'!$AR$1:$BV$39),13,0),0)</f>
        <v>0</v>
      </c>
      <c r="CF121" s="54" cm="1">
        <f t="array" ref="CF121">IFERROR(VLOOKUP($A121,TRANSPOSE('[1]Fur 4 PLC'!$AR$1:$BV$39),37,0),0)</f>
        <v>0</v>
      </c>
      <c r="CG121" s="54" cm="1">
        <f t="array" ref="CG121">IFERROR(VLOOKUP($A121,TRANSPOSE('[1]Fur 4 PLC'!$AR$1:$BV$39),6,0),0)</f>
        <v>0</v>
      </c>
      <c r="CH121" s="54" cm="1">
        <f t="array" ref="CH121">IFERROR(VLOOKUP($A121,TRANSPOSE('[1]Fur 4 PLC'!$AR$1:$BV$39),21,0),0)</f>
        <v>0</v>
      </c>
      <c r="CI121" s="54" cm="1">
        <f t="array" ref="CI121">IFERROR(VLOOKUP($A121,TRANSPOSE('[1]Fur 4 PLC'!$AR$1:$BV$39),12,0),0)</f>
        <v>0</v>
      </c>
      <c r="CJ121" s="54" cm="1">
        <f t="array" ref="CJ121">IFERROR(VLOOKUP($A121,TRANSPOSE('[1]Fur 4 PLC'!$AR$1:$BV$39),25,0),0)</f>
        <v>0</v>
      </c>
      <c r="CK121" s="54" cm="1">
        <f t="array" ref="CK121">IFERROR(VLOOKUP($A121,TRANSPOSE('[1]Fur 4 PLC'!$AR$1:$BV$39),26,0),0)</f>
        <v>0</v>
      </c>
      <c r="CL121" s="54" cm="1">
        <f t="array" ref="CL121">IFERROR(VLOOKUP($A121,TRANSPOSE('[1]Fur 4 PLC'!$AR$1:$BV$39),27,0),0)</f>
        <v>0</v>
      </c>
      <c r="CM121" s="54" cm="1">
        <f t="array" ref="CM121">IFERROR(VLOOKUP($A121,TRANSPOSE('[1]Fur 4 PLC'!$AR$1:$BV$39),22,0),0)</f>
        <v>0</v>
      </c>
      <c r="CN121" s="54"/>
      <c r="CO121" s="54" cm="1">
        <f t="array" ref="CO121">IFERROR(VLOOKUP($A121,TRANSPOSE('[1]Fur 4 PLC'!$AR$1:$BV$39),29,0),0)</f>
        <v>0</v>
      </c>
      <c r="CP121" s="54" cm="1">
        <f t="array" ref="CP121">IFERROR(VLOOKUP($A121,TRANSPOSE('[1]Fur 4 PLC'!$AR$1:$BV$39),10,0),0)</f>
        <v>0</v>
      </c>
      <c r="CQ121" s="54" cm="1">
        <f t="array" ref="CQ121">IFERROR(VLOOKUP($A121,TRANSPOSE('[1]Fur 4 PLC'!$AR$1:$BV$39),7,0),0)</f>
        <v>0</v>
      </c>
      <c r="CR121" s="54" cm="1">
        <f t="array" ref="CR121">IFERROR(VLOOKUP($A121,TRANSPOSE('[1]Fur 4 PLC'!$AR$1:$BV$39),36,0),0)</f>
        <v>0</v>
      </c>
      <c r="CS121" s="54" cm="1">
        <f t="array" ref="CS121">IFERROR(VLOOKUP($A121,TRANSPOSE('[1]Fur 4 PLC'!$AR$1:$BV$39),11,0),0)</f>
        <v>0</v>
      </c>
      <c r="CT121" s="54" cm="1">
        <f t="array" ref="CT121">IFERROR(VLOOKUP($A121,TRANSPOSE('[1]Fur 4 PLC'!$AR$1:$BV$39),19,0),0)</f>
        <v>0</v>
      </c>
      <c r="CU121" s="54" cm="1">
        <f t="array" ref="CU121">IFERROR(VLOOKUP($A121,TRANSPOSE('[1]Fur 4 PLC'!$AR$1:$BV$39),18,0),0)</f>
        <v>0</v>
      </c>
      <c r="CV121" s="54" cm="1">
        <f t="array" ref="CV121">IFERROR(VLOOKUP($A121,TRANSPOSE('[1]Fur 4 PLC'!$AR$1:$BV$38),15,0),0)</f>
        <v>0</v>
      </c>
      <c r="CW121" s="54" cm="1">
        <f t="array" ref="CW121">IFERROR(VLOOKUP($A121,TRANSPOSE('[1]Fur 4 PLC'!$CK$1:$DO$39),8,0),0)</f>
        <v>0</v>
      </c>
      <c r="CX121" s="54" cm="1">
        <f t="array" ref="CX121">IFERROR(VLOOKUP($A121,TRANSPOSE('[1]Fur 4 PLC'!$CK$1:$DO$39),30,0),0)</f>
        <v>0</v>
      </c>
      <c r="CY121" s="54" cm="1">
        <f t="array" ref="CY121">IFERROR(VLOOKUP($A121,TRANSPOSE('[1]Fur 4 PLC'!$CK$1:$DO$39),14,0),0)</f>
        <v>0</v>
      </c>
      <c r="CZ121" s="54" cm="1">
        <f t="array" ref="CZ121">IFERROR(VLOOKUP($A121,TRANSPOSE('[1]Fur 4 PLC'!$CK$1:$DO$39),16,0),0)</f>
        <v>0</v>
      </c>
      <c r="DA121" s="54" cm="1">
        <f t="array" ref="DA121">IFERROR(VLOOKUP($A121,TRANSPOSE('[1]Fur 4 PLC'!$CK$1:$DO$39),9,0),0)</f>
        <v>0</v>
      </c>
      <c r="DB121" s="55" cm="1">
        <f t="array" ref="DB121">IFERROR(VLOOKUP($A121,TRANSPOSE('[1]Fur 4 PLC'!$CK$1:$DO$39),17,0),0)</f>
        <v>0</v>
      </c>
      <c r="DC121" s="55" cm="1">
        <f t="array" ref="DC121">IFERROR(VLOOKUP($A121,TRANSPOSE('[1]Fur 4 PLC'!$CK$1:$DO$39),20,0),0)</f>
        <v>0</v>
      </c>
      <c r="DD121" s="54" cm="1">
        <f t="array" ref="DD121">IFERROR(VLOOKUP($A121,TRANSPOSE('[1]Fur 4 PLC'!$CK$1:$DO$39),28,0),0)</f>
        <v>0</v>
      </c>
      <c r="DE121" s="54" cm="1">
        <f t="array" ref="DE121">IFERROR(VLOOKUP($A121,TRANSPOSE('[1]Fur 4 PLC'!$CK$1:$DO$39),13,0),0)</f>
        <v>0</v>
      </c>
      <c r="DF121" s="54" cm="1">
        <f t="array" ref="DF121">IFERROR(VLOOKUP($A121,TRANSPOSE('[1]Fur 4 PLC'!$CK$1:$DO$39),37,0),0)</f>
        <v>0</v>
      </c>
      <c r="DG121" s="54" cm="1">
        <f t="array" ref="DG121">IFERROR(VLOOKUP($A121,TRANSPOSE('[1]Fur 4 PLC'!$CK$1:$DO$39),6,0),0)</f>
        <v>0</v>
      </c>
      <c r="DH121" s="54" cm="1">
        <f t="array" ref="DH121">IFERROR(VLOOKUP($A121,TRANSPOSE('[1]Fur 4 PLC'!$CK$1:$DO$39),21,0),0)</f>
        <v>0</v>
      </c>
      <c r="DI121" s="54" cm="1">
        <f t="array" ref="DI121">IFERROR(VLOOKUP($A121,TRANSPOSE('[1]Fur 4 PLC'!$CK$1:$DO$39),12,0),0)</f>
        <v>0</v>
      </c>
      <c r="DJ121" s="54" cm="1">
        <f t="array" ref="DJ121">IFERROR(VLOOKUP($A121,TRANSPOSE('[1]Fur 4 PLC'!$CK$1:$DO$39),25,0),0)</f>
        <v>0</v>
      </c>
      <c r="DK121" s="54" cm="1">
        <f t="array" ref="DK121">IFERROR(VLOOKUP($A121,TRANSPOSE('[1]Fur 4 PLC'!$CK$1:$DO$39),26,0),0)</f>
        <v>0</v>
      </c>
      <c r="DL121" s="54" cm="1">
        <f t="array" ref="DL121">IFERROR(VLOOKUP($A121,TRANSPOSE('[1]Fur 4 PLC'!$CK$1:$DO$39),27,0),0)</f>
        <v>0</v>
      </c>
      <c r="DM121" s="54" cm="1">
        <f t="array" ref="DM121">IFERROR(VLOOKUP($A121,TRANSPOSE('[1]Fur 4 PLC'!$CK$1:$DO$39),22,0),0)</f>
        <v>0</v>
      </c>
      <c r="DN121" s="54" cm="1">
        <f t="array" ref="DN121">IFERROR(VLOOKUP($A121,TRANSPOSE('[1]Fur 4 PLC'!$CK$1:$DO$39),19,0),0)</f>
        <v>0</v>
      </c>
      <c r="DO121" s="54" cm="1">
        <f t="array" ref="DO121">IFERROR(VLOOKUP($A121,TRANSPOSE('[1]Fur 4 PLC'!$CK$1:$DO$39),29,0),0)</f>
        <v>0</v>
      </c>
      <c r="DP121" s="54" cm="1">
        <f t="array" ref="DP121">IFERROR(VLOOKUP($A121,TRANSPOSE('[1]Fur 4 PLC'!$CK$1:$DO$39),10,0),0)</f>
        <v>0</v>
      </c>
      <c r="DQ121" s="54" cm="1">
        <f t="array" ref="DQ121">IFERROR(VLOOKUP($A121,TRANSPOSE('[1]Fur 4 PLC'!$CK$1:$DO$39),7,0),0)</f>
        <v>0</v>
      </c>
      <c r="DR121" s="54" cm="1">
        <f t="array" ref="DR121">IFERROR(VLOOKUP($A121,TRANSPOSE('[1]Fur 4 PLC'!$CK$1:$DO$39),36,0),0)</f>
        <v>0</v>
      </c>
      <c r="DS121" s="54" cm="1">
        <f t="array" ref="DS121">IFERROR(VLOOKUP($A121,TRANSPOSE('[1]Fur 4 PLC'!$CK$1:$DO$39),11,0),0)</f>
        <v>0</v>
      </c>
      <c r="DT121" s="54" cm="1">
        <f t="array" ref="DT121">IFERROR(VLOOKUP($A121,TRANSPOSE('[1]Fur 4 PLC'!$CK$1:$DO$39),19,0),0)</f>
        <v>0</v>
      </c>
      <c r="DU121" s="54" cm="1">
        <f t="array" ref="DU121">IFERROR(VLOOKUP($A121,TRANSPOSE('[1]Fur 4 PLC'!$CK$1:$DO$39),18,0),0)</f>
        <v>0</v>
      </c>
      <c r="DV121" s="54" cm="1">
        <f t="array" ref="DV121">IFERROR(VLOOKUP($A121,TRANSPOSE('[1]Fur 4 PLC'!$CK$1:$DO$39),15,0),0)</f>
        <v>0</v>
      </c>
      <c r="DW121" t="str">
        <f t="shared" si="147"/>
        <v>Dec-25</v>
      </c>
    </row>
    <row r="122" spans="1:127" x14ac:dyDescent="0.3">
      <c r="A122" s="28" t="str">
        <f t="shared" si="140"/>
        <v>F146022</v>
      </c>
      <c r="B122" s="29" t="s">
        <v>26</v>
      </c>
      <c r="C122" s="30">
        <f>C118+1</f>
        <v>46022</v>
      </c>
      <c r="D122" s="29" t="str">
        <f>VLOOKUP($B122&amp;$C122,'[1]FC1 Prod'!$A$6:$BP$36,[2]Consolidated!D$1)</f>
        <v>Raju Singh</v>
      </c>
      <c r="E122" s="29">
        <f>VLOOKUP($B122&amp;$C122,'[1]FC1 Prod'!$A$6:$BP$36,[2]Consolidated!E$1)</f>
        <v>0</v>
      </c>
      <c r="F122" s="31">
        <f>VLOOKUP($B122&amp;$C122,'[1]FC1 Prod'!$A$6:$BP$36,[2]Consolidated!F$1)</f>
        <v>0</v>
      </c>
      <c r="G122" s="32" t="e">
        <f>VLOOKUP($B122&amp;$C122,'[1]FC1 Prod'!$A$6:$BP$36,[2]Consolidated!G$1)</f>
        <v>#REF!</v>
      </c>
      <c r="H122" s="32">
        <f>VLOOKUP($B122&amp;$C122,'[1]FC1 Prod'!$A$6:$BP$36,[2]Consolidated!H$1)</f>
        <v>0</v>
      </c>
      <c r="I122" s="32">
        <f>VLOOKUP($B122&amp;$C122,'[1]FC1 Prod'!$A$6:$BP$36,[2]Consolidated!I$1)</f>
        <v>0</v>
      </c>
      <c r="J122" s="32">
        <f>VLOOKUP($B122&amp;$C122,'[1]FC1 Prod'!$A$6:$BP$36,[2]Consolidated!J$1)</f>
        <v>0</v>
      </c>
      <c r="K122" s="32">
        <f>VLOOKUP($B122&amp;$C122,'[1]FC1 Prod'!$A$6:$BP$36,[2]Consolidated!K$1)</f>
        <v>0</v>
      </c>
      <c r="L122" s="32">
        <f>VLOOKUP($B122&amp;$C122,'[1]FC1 Prod'!$A$6:$BP$36,[2]Consolidated!L$1)</f>
        <v>0</v>
      </c>
      <c r="M122" s="32">
        <f>VLOOKUP($B122&amp;$C122,'[1]FC1 Prod'!$A$6:$BP$36,[2]Consolidated!M$1)</f>
        <v>0</v>
      </c>
      <c r="N122" s="32">
        <f>VLOOKUP($B122&amp;$C122,'[1]FC1 Prod'!$A$6:$BP$36,[2]Consolidated!N$1)</f>
        <v>0</v>
      </c>
      <c r="O122" s="32">
        <f>VLOOKUP($B122&amp;$C122,'[1]FC1 Prod'!$A$6:$BP$36,[2]Consolidated!O$1)</f>
        <v>0</v>
      </c>
      <c r="P122" s="33">
        <f>VLOOKUP($B122&amp;$C122,'[1]FC1 Prod'!$A$6:$BP$36,[2]Consolidated!P$1)</f>
        <v>9</v>
      </c>
      <c r="Q122" s="29">
        <f>VLOOKUP($B122&amp;$C122,'[1]FC1 Prod'!$A$6:$BP$36,[2]Consolidated!Q$1)</f>
        <v>0</v>
      </c>
      <c r="R122" s="29">
        <f>VLOOKUP($B122&amp;$C122,'[1]FC1 Prod'!$A$6:$BP$36,[2]Consolidated!R$1)</f>
        <v>0</v>
      </c>
      <c r="S122" s="34" t="e">
        <f>VLOOKUP($B122&amp;$C122,'[1]FC1 Prod'!$A$6:$BP$36,[2]Consolidated!S$1)</f>
        <v>#REF!</v>
      </c>
      <c r="T122" s="34" t="e">
        <f>VLOOKUP($B122&amp;$C122,'[1]FC1 Prod'!$A$6:$BP$36,[2]Consolidated!T$1)</f>
        <v>#REF!</v>
      </c>
      <c r="U122" s="34" t="e">
        <f>VLOOKUP($B122&amp;$C122,'[1]FC1 Prod'!$A$6:$BP$36,[2]Consolidated!U$1)</f>
        <v>#REF!</v>
      </c>
      <c r="V122" s="34">
        <f>VLOOKUP($B122&amp;$C122,'[1]FC1 Prod'!$A$6:$BP$36,[2]Consolidated!V$1)</f>
        <v>0</v>
      </c>
      <c r="W122" s="35">
        <f>VLOOKUP($B122&amp;$C122,'[1]FC1 Prod'!$A$6:$BP$36,[2]Consolidated!W$1)</f>
        <v>0</v>
      </c>
      <c r="X122" s="35">
        <f>VLOOKUP($B122&amp;$C122,'[1]FC1 Prod'!$A$6:$BP$36,[2]Consolidated!X$1)</f>
        <v>0</v>
      </c>
      <c r="Y122" s="36">
        <f>VLOOKUP($B122&amp;$C122,'[1]FC1 Prod'!$A$6:$BP$36,[2]Consolidated!Y$1)</f>
        <v>0</v>
      </c>
      <c r="Z122" s="37" t="e">
        <f>VLOOKUP($B122&amp;$C122,'[1]FC1 Prod'!$A$6:$BP$36,[2]Consolidated!Z$1)</f>
        <v>#REF!</v>
      </c>
      <c r="AA122" s="31">
        <f>VLOOKUP($B122&amp;$C122,'[1]FC1 Prod'!$A$6:$BP$36,[2]Consolidated!AA$1)</f>
        <v>0</v>
      </c>
      <c r="AB122" s="31">
        <f>VLOOKUP($B122&amp;$C122,'[1]FC1 Prod'!$A$6:$BP$36,[2]Consolidated!AB$1)</f>
        <v>0</v>
      </c>
      <c r="AC122" s="31">
        <f>VLOOKUP($B122&amp;$C122,'[1]FC1 Prod'!$A$6:$BP$36,[2]Consolidated!AC$1)</f>
        <v>0</v>
      </c>
      <c r="AD122" s="38">
        <f>VLOOKUP($B122&amp;$C122,'[1]FC1 Prod'!$A$6:$BP$36,[2]Consolidated!AD$1)</f>
        <v>0</v>
      </c>
      <c r="AE122" s="38">
        <f>VLOOKUP($B122&amp;$C122,'[1]FC1 Prod'!$A$6:$BP$36,[2]Consolidated!AE$1)</f>
        <v>0</v>
      </c>
      <c r="AF122" s="39">
        <f>VLOOKUP($B122&amp;$C122,'[1]FC1 Prod'!$A$6:$BP$36,[2]Consolidated!AF$1)</f>
        <v>0</v>
      </c>
      <c r="AG122" s="39">
        <f>VLOOKUP($B122&amp;$C122,'[1]FC1 Prod'!$A$6:$BP$36,[2]Consolidated!AG$1)</f>
        <v>0</v>
      </c>
      <c r="AH122" s="34">
        <f>VLOOKUP($B122&amp;$C122,'[1]FC1 Prod'!$A$6:$BP$36,[2]Consolidated!AH$1)</f>
        <v>0</v>
      </c>
      <c r="AI122" s="33">
        <f>VLOOKUP($B122&amp;$C122,'[1]FC1 Prod'!$A$6:$BP$36,[2]Consolidated!AI$1)</f>
        <v>0</v>
      </c>
      <c r="AJ122" s="39">
        <f>VLOOKUP($B122&amp;$C122,'[1]FC1 Prod'!$A$6:$BP$36,[2]Consolidated!AJ$1)</f>
        <v>0</v>
      </c>
      <c r="AK122" s="39">
        <f>VLOOKUP($B122&amp;$C122,'[1]FC1 Prod'!$A$6:$BP$36,[2]Consolidated!AK$1)</f>
        <v>0</v>
      </c>
      <c r="AL122" s="40" t="e">
        <f>VLOOKUP($B122&amp;$C122,'[1]FC1 Prod'!$A$6:$BP$36,[2]Consolidated!AL$1)</f>
        <v>#REF!</v>
      </c>
      <c r="AM122" s="41">
        <f>VLOOKUP($B122&amp;$C122,'[1]FC1 Prod'!$A$6:$BP$36,[2]Consolidated!AM$1)</f>
        <v>0</v>
      </c>
      <c r="AN122" s="42" t="e">
        <f>VLOOKUP($B122&amp;$C122,'[1]FC1 Prod'!$A$6:$BP$36,[2]Consolidated!AN$1)</f>
        <v>#REF!</v>
      </c>
      <c r="AO122" s="43" t="e">
        <f>VLOOKUP($B122&amp;$C122,'[1]FC1 Prod'!$A$6:$BP$36,[2]Consolidated!AO$1)</f>
        <v>#REF!</v>
      </c>
      <c r="AP122" s="44">
        <f>VLOOKUP($B122&amp;$C122,'[1]FC1 Prod'!$A$6:$BP$36,[2]Consolidated!AP$1)</f>
        <v>0</v>
      </c>
      <c r="AQ122" s="44">
        <f>VLOOKUP($B122&amp;$C122,'[1]FC1 Prod'!$A$6:$BP$36,[2]Consolidated!AQ$1)</f>
        <v>0</v>
      </c>
      <c r="AR122" s="45">
        <f>VLOOKUP($B122&amp;$C122,'[1]FC1 Prod'!$A$6:$BP$36,[2]Consolidated!AR$1)</f>
        <v>0</v>
      </c>
      <c r="AS122" s="46">
        <f>VLOOKUP($B122&amp;$C122,'[1]FC1 Prod'!$A$6:$BP$36,[2]Consolidated!AS$1)</f>
        <v>0</v>
      </c>
      <c r="AT122" s="29">
        <f>VLOOKUP($B122&amp;$C122,'[1]FC1 Prod'!$A$6:$BP$36,[2]Consolidated!AT$1)</f>
        <v>0</v>
      </c>
      <c r="AU122" s="34">
        <f>VLOOKUP($B122&amp;$C122,'[1]FC1 Prod'!$A$6:$BP$36,[2]Consolidated!AU$1)</f>
        <v>0</v>
      </c>
      <c r="AV122" s="34">
        <f>VLOOKUP($B122&amp;$C122,'[1]FC1 Prod'!$A$6:$BP$36,[2]Consolidated!AV$1)</f>
        <v>0</v>
      </c>
      <c r="AW122" s="47">
        <f>VLOOKUP($B122&amp;$C122,'[1]FC1 Prod'!$A$6:$BP$36,[2]Consolidated!AW$1)</f>
        <v>0</v>
      </c>
      <c r="AX122" s="47">
        <f>VLOOKUP($B122&amp;$C122,'[1]FC1 Prod'!$A$6:$BP$36,[2]Consolidated!AX$1)</f>
        <v>0</v>
      </c>
      <c r="AY122" s="48">
        <f>VLOOKUP($B122&amp;$C122,'[1]FC1 Prod'!$A$6:$BP$36,[2]Consolidated!AY$1)</f>
        <v>0</v>
      </c>
      <c r="AZ122" s="47">
        <f>VLOOKUP($B122&amp;$C122,'[1]FC1 Prod'!$A$6:$BP$36,[2]Consolidated!AZ$1)</f>
        <v>0</v>
      </c>
      <c r="BA122" s="47">
        <f>VLOOKUP($B122&amp;$C122,'[1]FC1 Prod'!$A$6:$BP$36,[2]Consolidated!BA$1)</f>
        <v>0</v>
      </c>
      <c r="BB122" s="47">
        <f>VLOOKUP($B122&amp;$C122,'[1]FC1 Prod'!$A$6:$BP$36,[2]Consolidated!BB$1)</f>
        <v>0</v>
      </c>
      <c r="BC122" s="47">
        <f>VLOOKUP($B122&amp;$C122,'[1]FC1 Prod'!$A$6:$BP$36,[2]Consolidated!BC$1)</f>
        <v>0</v>
      </c>
      <c r="BD122" s="49">
        <f>VLOOKUP($B122&amp;$C122,'[1]FC1 Prod'!$A$6:$BP$36,[2]Consolidated!BD$1)</f>
        <v>0</v>
      </c>
      <c r="BE122" s="47">
        <f>VLOOKUP($B122&amp;$C122,'[1]FC1 Prod'!$A$6:$BP$36,[2]Consolidated!BE$1)</f>
        <v>0</v>
      </c>
      <c r="BF122" s="47">
        <f>VLOOKUP($B122&amp;$C122,'[1]FC1 Prod'!$A$6:$BP$36,[2]Consolidated!BF$1)</f>
        <v>0</v>
      </c>
      <c r="BG122" s="50">
        <f>VLOOKUP($B122&amp;$C122,'[1]FC1 Prod'!$A$6:$BP$36,[2]Consolidated!BG$1)</f>
        <v>0</v>
      </c>
      <c r="BH122" s="50">
        <f>VLOOKUP($B122&amp;$C122,'[1]FC1 Prod'!$A$6:$BP$36,[2]Consolidated!BH$1)</f>
        <v>0</v>
      </c>
      <c r="BI122" s="50">
        <f>VLOOKUP($B122&amp;$C122,'[1]FC1 Prod'!$A$6:$BP$36,[2]Consolidated!BI$1)</f>
        <v>0</v>
      </c>
      <c r="BJ122" s="37" t="e">
        <f>VLOOKUP($B122&amp;$C122,'[1]FC1 Prod'!$A$6:$BP$36,[2]Consolidated!BJ$1)</f>
        <v>#REF!</v>
      </c>
      <c r="BK122" s="37" t="e">
        <f>VLOOKUP($B122&amp;$C122,'[1]FC1 Prod'!$A$6:$BP$36,[2]Consolidated!BK$1)</f>
        <v>#REF!</v>
      </c>
      <c r="BL122" s="37" t="e">
        <f>VLOOKUP($B122&amp;$C122,'[1]FC1 Prod'!$A$6:$BP$36,[2]Consolidated!BL$1)</f>
        <v>#REF!</v>
      </c>
      <c r="BM122" s="37" t="e">
        <f>VLOOKUP($B122&amp;$C122,'[1]FC1 Prod'!$A$6:$BP$36,[2]Consolidated!BM$1)</f>
        <v>#REF!</v>
      </c>
      <c r="BN122" s="37" t="e">
        <f>VLOOKUP($B122&amp;$C122,'[1]FC1 Prod'!$A$6:$BP$36,[2]Consolidated!BN$1)</f>
        <v>#REF!</v>
      </c>
      <c r="BO122" s="37" t="e">
        <f>VLOOKUP($B122&amp;$C122,'[1]FC1 Prod'!$A$6:$BP$36,[2]Consolidated!BO$1)</f>
        <v>#REF!</v>
      </c>
      <c r="BP122" s="37" t="e">
        <f>VLOOKUP($B122&amp;$C122,'[1]FC1 Prod'!$A$6:$BP$36,[2]Consolidated!BP$1)</f>
        <v>#REF!</v>
      </c>
      <c r="BQ122" s="51" t="e">
        <f>VLOOKUP($B122&amp;$C122,'[1]FC1 Prod'!$A$6:$BP$36,[2]Consolidated!BQ$1)</f>
        <v>#REF!</v>
      </c>
      <c r="BR122" s="51">
        <f>VLOOKUP($B122&amp;$C122,'[1]FC1 Prod'!$A$6:$BQ$36,[2]Consolidated!BR$1)</f>
        <v>69902</v>
      </c>
      <c r="BS122" s="52">
        <f t="shared" ref="BS122:BS124" si="151">BE122+BF122+BG122+BA122</f>
        <v>0</v>
      </c>
      <c r="BT122" s="32">
        <f>BR122-BS122</f>
        <v>69902</v>
      </c>
      <c r="BU122" s="37">
        <f>E122*BT122</f>
        <v>0</v>
      </c>
      <c r="BV122" s="53" t="s">
        <v>133</v>
      </c>
      <c r="BW122" s="54" cm="1">
        <f t="array" ref="BW122">IFERROR(VLOOKUP($A122,TRANSPOSE('[1]Fur 1 PLC'!$AR$1:$BV$38),8,0),0)</f>
        <v>0</v>
      </c>
      <c r="BX122" s="54" cm="1">
        <f t="array" ref="BX122">IFERROR(VLOOKUP($A122,TRANSPOSE('[1]Fur 1 PLC'!$AR$1:$BV$38),30,0),0)</f>
        <v>0</v>
      </c>
      <c r="BY122" s="54" cm="1">
        <f t="array" ref="BY122">IFERROR(VLOOKUP($A122,TRANSPOSE('[1]Fur 1 PLC'!$AR$1:$BV$38),14,0),0)</f>
        <v>0</v>
      </c>
      <c r="BZ122" s="54" cm="1">
        <f t="array" ref="BZ122">IFERROR(VLOOKUP($A122,TRANSPOSE('[1]Fur 1 PLC'!$AR$1:$BV$38),16,0),0)</f>
        <v>0</v>
      </c>
      <c r="CA122" s="54" cm="1">
        <f t="array" ref="CA122">IFERROR(VLOOKUP($A122,TRANSPOSE('[1]Fur 1 PLC'!$AR$1:$BV$38),9,0),0)</f>
        <v>0</v>
      </c>
      <c r="CB122" s="54" cm="1">
        <f t="array" ref="CB122">IFERROR(VLOOKUP($A122,TRANSPOSE('[1]Fur 1 PLC'!$AR$1:$BV$38),17,0),0)</f>
        <v>0</v>
      </c>
      <c r="CC122" s="54" cm="1">
        <f t="array" ref="CC122">IFERROR(VLOOKUP($A122,TRANSPOSE('[1]Fur 1 PLC'!$AR$1:$BV$38),20,0),0)</f>
        <v>0</v>
      </c>
      <c r="CD122" s="54" cm="1">
        <f t="array" ref="CD122">IFERROR(VLOOKUP($A122,TRANSPOSE('[1]Fur 1 PLC'!$AR$1:$BV$38),28,0),0)</f>
        <v>0</v>
      </c>
      <c r="CE122" s="54" cm="1">
        <f t="array" ref="CE122">IFERROR(VLOOKUP($A122,TRANSPOSE('[1]Fur 1 PLC'!$AR$1:$BV$38),13,0),0)</f>
        <v>0</v>
      </c>
      <c r="CF122" s="54" cm="1">
        <f t="array" ref="CF122">IFERROR(VLOOKUP($A122,TRANSPOSE('[1]Fur 1 PLC'!$AR$1:$BV$38),37,0),0)</f>
        <v>0</v>
      </c>
      <c r="CG122" s="54" cm="1">
        <f t="array" ref="CG122">IFERROR(VLOOKUP($A122,TRANSPOSE('[1]Fur 1 PLC'!$AR$1:$BV$38),6,0),0)</f>
        <v>0</v>
      </c>
      <c r="CH122" s="54" cm="1">
        <f t="array" ref="CH122">IFERROR(VLOOKUP($A122,TRANSPOSE('[1]Fur 1 PLC'!$AR$1:$BV$38),21,0),0)</f>
        <v>0</v>
      </c>
      <c r="CI122" s="54" cm="1">
        <f t="array" ref="CI122">IFERROR(VLOOKUP($A122,TRANSPOSE('[1]Fur 1 PLC'!$AR$1:$BV$38),12,0),0)</f>
        <v>0</v>
      </c>
      <c r="CJ122" s="54" cm="1">
        <f t="array" ref="CJ122">IFERROR(VLOOKUP($A122,TRANSPOSE('[1]Fur 1 PLC'!$AR$1:$BV$38),25,0),0)</f>
        <v>0</v>
      </c>
      <c r="CK122" s="54" cm="1">
        <f t="array" ref="CK122">IFERROR(VLOOKUP($A122,TRANSPOSE('[1]Fur 1 PLC'!$AR$1:$BV$38),26,0),0)</f>
        <v>0</v>
      </c>
      <c r="CL122" s="54" cm="1">
        <f t="array" ref="CL122">IFERROR(VLOOKUP($A122,TRANSPOSE('[1]Fur 1 PLC'!$AR$1:$BV$38),27,0),0)</f>
        <v>0</v>
      </c>
      <c r="CM122" s="54" cm="1">
        <f t="array" ref="CM122">IFERROR(VLOOKUP($A122,TRANSPOSE('[1]Fur 1 PLC'!$AR$1:$BV$38),22,0),0)</f>
        <v>0</v>
      </c>
      <c r="CN122" s="54"/>
      <c r="CO122" s="54" cm="1">
        <f t="array" ref="CO122">IFERROR(VLOOKUP($A122,TRANSPOSE('[1]Fur 1 PLC'!$AR$1:$BV$38),29,0),0)</f>
        <v>0</v>
      </c>
      <c r="CP122" s="54" cm="1">
        <f t="array" ref="CP122">IFERROR(VLOOKUP($A122,TRANSPOSE('[1]Fur 1 PLC'!$AR$1:$BV$38),10,0),0)</f>
        <v>0</v>
      </c>
      <c r="CQ122" s="54" cm="1">
        <f t="array" ref="CQ122">IFERROR(VLOOKUP($A122,TRANSPOSE('[1]Fur 1 PLC'!$AR$1:$BV$38),7,0),0)</f>
        <v>0</v>
      </c>
      <c r="CR122" s="54" cm="1">
        <f t="array" ref="CR122">IFERROR(VLOOKUP($A122,TRANSPOSE('[1]Fur 1 PLC'!$AR$1:$BV$38),35,0),0)</f>
        <v>0</v>
      </c>
      <c r="CS122" s="54" cm="1">
        <f t="array" ref="CS122">IFERROR(VLOOKUP($A122,TRANSPOSE('[1]Fur 1 PLC'!$AR$1:$BV$38),11,0),0)</f>
        <v>0</v>
      </c>
      <c r="CT122" s="54" cm="1">
        <f t="array" ref="CT122">IFERROR(VLOOKUP($A122,TRANSPOSE('[1]Fur 1 PLC'!$AR$1:$BV$38),19,0),0)</f>
        <v>0</v>
      </c>
      <c r="CU122" s="54" cm="1">
        <f t="array" ref="CU122">IFERROR(VLOOKUP($A122,TRANSPOSE('[1]Fur 1 PLC'!$AR$1:$BV$38),18,0),0)</f>
        <v>0</v>
      </c>
      <c r="CV122" s="54" cm="1">
        <f t="array" ref="CV122">IFERROR(VLOOKUP($A122,TRANSPOSE('[1]Fur 1 PLC'!$AR$1:$BV$38),15,0),0)</f>
        <v>0</v>
      </c>
      <c r="CW122" s="54" cm="1">
        <f t="array" ref="CW122">IFERROR(VLOOKUP($A122,TRANSPOSE('[1]Fur 1 PLC'!$CL$1:$DP$38),8,0),0)</f>
        <v>0</v>
      </c>
      <c r="CX122" s="54" cm="1">
        <f t="array" ref="CX122">IFERROR(VLOOKUP($A122,TRANSPOSE('[1]Fur 1 PLC'!$CL$1:$DP$38),30,0),0)</f>
        <v>0</v>
      </c>
      <c r="CY122" s="54" cm="1">
        <f t="array" ref="CY122">IFERROR(VLOOKUP($A122,TRANSPOSE('[1]Fur 1 PLC'!$CL$1:$DP$38),14,0),0)</f>
        <v>0</v>
      </c>
      <c r="CZ122" s="54" cm="1">
        <f t="array" ref="CZ122">IFERROR(VLOOKUP($A122,TRANSPOSE('[1]Fur 1 PLC'!$CL$1:$DP$38),16,0),0)</f>
        <v>0</v>
      </c>
      <c r="DA122" s="54" cm="1">
        <f t="array" ref="DA122">IFERROR(VLOOKUP($A122,TRANSPOSE('[1]Fur 1 PLC'!$CL$1:$DP$38),9,0),0)</f>
        <v>0</v>
      </c>
      <c r="DB122" s="55" cm="1">
        <f t="array" ref="DB122">IFERROR(VLOOKUP($A122,TRANSPOSE('[1]Fur 1 PLC'!$CL$1:$DP$38),17,0),0)</f>
        <v>0</v>
      </c>
      <c r="DC122" s="55" cm="1">
        <f t="array" ref="DC122">IFERROR(VLOOKUP($A122,TRANSPOSE('[1]Fur 1 PLC'!$CL$1:$DP$38),20,0),0)</f>
        <v>0</v>
      </c>
      <c r="DD122" s="54" cm="1">
        <f t="array" ref="DD122">IFERROR(VLOOKUP($A122,TRANSPOSE('[1]Fur 1 PLC'!$CL$1:$DP$38),28,0),0)</f>
        <v>0</v>
      </c>
      <c r="DE122" s="54" cm="1">
        <f t="array" ref="DE122">IFERROR(VLOOKUP($A122,TRANSPOSE('[1]Fur 1 PLC'!$CL$1:$DP$38),13,0),0)</f>
        <v>0</v>
      </c>
      <c r="DF122" s="54" cm="1">
        <f t="array" ref="DF122">IFERROR(VLOOKUP($A122,TRANSPOSE('[1]Fur 1 PLC'!$CL$1:$DP$38),37,0),0)</f>
        <v>0</v>
      </c>
      <c r="DG122" s="54" cm="1">
        <f t="array" ref="DG122">IFERROR(VLOOKUP($A122,TRANSPOSE('[1]Fur 1 PLC'!$CL$1:$DP$38),6,0),0)</f>
        <v>0</v>
      </c>
      <c r="DH122" s="54" cm="1">
        <f t="array" ref="DH122">IFERROR(VLOOKUP($A122,TRANSPOSE('[1]Fur 1 PLC'!$CL$1:$DP$38),21,0),0)</f>
        <v>0</v>
      </c>
      <c r="DI122" s="54" cm="1">
        <f t="array" ref="DI122">IFERROR(VLOOKUP($A122,TRANSPOSE('[1]Fur 1 PLC'!$CL$1:$DP$38),12,0),0)</f>
        <v>0</v>
      </c>
      <c r="DJ122" s="54" cm="1">
        <f t="array" ref="DJ122">IFERROR(VLOOKUP($A122,TRANSPOSE('[1]Fur 1 PLC'!$CL$1:$DP$38),25,0),0)</f>
        <v>0</v>
      </c>
      <c r="DK122" s="54" cm="1">
        <f t="array" ref="DK122">IFERROR(VLOOKUP($A122,TRANSPOSE('[1]Fur 1 PLC'!$CL$1:$DP$38),26,0),0)</f>
        <v>0</v>
      </c>
      <c r="DL122" s="54" cm="1">
        <f t="array" ref="DL122">IFERROR(VLOOKUP($A122,TRANSPOSE('[1]Fur 1 PLC'!$CL$1:$DP$38),27,0),0)</f>
        <v>0</v>
      </c>
      <c r="DM122" s="54" cm="1">
        <f t="array" ref="DM122">IFERROR(VLOOKUP($A122,TRANSPOSE('[1]Fur 1 PLC'!$CL$1:$DP$38),22,0),0)</f>
        <v>0</v>
      </c>
      <c r="DN122" s="54" cm="1">
        <f t="array" ref="DN122">IFERROR(VLOOKUP($A122,TRANSPOSE('[1]Fur 1 PLC'!$CL$1:$DP$38),19,0),0)</f>
        <v>0</v>
      </c>
      <c r="DO122" s="54" cm="1">
        <f t="array" ref="DO122">IFERROR(VLOOKUP($A122,TRANSPOSE('[1]Fur 1 PLC'!$CL$1:$DP$38),29,0),0)</f>
        <v>0</v>
      </c>
      <c r="DP122" s="54" cm="1">
        <f t="array" ref="DP122">IFERROR(VLOOKUP($A122,TRANSPOSE('[1]Fur 1 PLC'!$CL$1:$DP$38),10,0),0)</f>
        <v>0</v>
      </c>
      <c r="DQ122" s="54" cm="1">
        <f t="array" ref="DQ122">IFERROR(VLOOKUP($A122,TRANSPOSE('[1]Fur 1 PLC'!$CL$1:$DP$38),7,0),0)</f>
        <v>0</v>
      </c>
      <c r="DR122" s="54" cm="1">
        <f t="array" ref="DR122">IFERROR(VLOOKUP($A122,TRANSPOSE('[1]Fur 1 PLC'!$CL$1:$DP$38),35,0),0)</f>
        <v>0</v>
      </c>
      <c r="DS122" s="54" cm="1">
        <f t="array" ref="DS122">IFERROR(VLOOKUP($A122,TRANSPOSE('[1]Fur 1 PLC'!$CL$1:$DP$38),11,0),0)</f>
        <v>0</v>
      </c>
      <c r="DT122" s="54" cm="1">
        <f t="array" ref="DT122">IFERROR(VLOOKUP($A122,TRANSPOSE('[1]Fur 1 PLC'!$CL$1:$DP$38),19,0),0)</f>
        <v>0</v>
      </c>
      <c r="DU122" s="54" cm="1">
        <f t="array" ref="DU122">IFERROR(VLOOKUP($A122,TRANSPOSE('[1]Fur 1 PLC'!$CL$1:$DP$38),18,0),0)</f>
        <v>0</v>
      </c>
      <c r="DV122" s="54" cm="1">
        <f t="array" ref="DV122">IFERROR(VLOOKUP($A122,TRANSPOSE('[1]Fur 1 PLC'!$CL$1:$DP$38),15,0),0)</f>
        <v>0</v>
      </c>
      <c r="DW122" t="str">
        <f>TEXT(C122,"Mmm-yy")</f>
        <v>Dec-25</v>
      </c>
    </row>
    <row r="123" spans="1:127" x14ac:dyDescent="0.3">
      <c r="A123" s="28" t="str">
        <f t="shared" si="140"/>
        <v>F246022</v>
      </c>
      <c r="B123" s="29" t="s">
        <v>27</v>
      </c>
      <c r="C123" s="30">
        <f>C122</f>
        <v>46022</v>
      </c>
      <c r="D123" s="29" t="str">
        <f>VLOOKUP($B123&amp;$C123,'[1]FC2 Prod'!$A$6:$BP$36,[2]Consolidated!D$1)</f>
        <v>Mr. Girish Malik</v>
      </c>
      <c r="E123" s="29">
        <f>VLOOKUP($B123&amp;$C123,'[1]FC2 Prod'!$A$6:$BP$36,[2]Consolidated!E$1)</f>
        <v>0</v>
      </c>
      <c r="F123" s="29">
        <f>VLOOKUP($B123&amp;$C123,'[1]FC2 Prod'!$A$6:$BP$36,[2]Consolidated!F$1)</f>
        <v>0</v>
      </c>
      <c r="G123" s="29" t="e">
        <f>VLOOKUP($B123&amp;$C123,'[1]FC2 Prod'!$A$6:$BP$36,[2]Consolidated!G$1)</f>
        <v>#REF!</v>
      </c>
      <c r="H123" s="32">
        <f>VLOOKUP($B123&amp;$C123,'[1]FC2 Prod'!$A$6:$BP$36,[2]Consolidated!H$1)</f>
        <v>0</v>
      </c>
      <c r="I123" s="32">
        <f>VLOOKUP($B123&amp;$C123,'[1]FC2 Prod'!$A$6:$BP$36,[2]Consolidated!I$1)</f>
        <v>0</v>
      </c>
      <c r="J123" s="32">
        <f>VLOOKUP($B123&amp;$C123,'[1]FC2 Prod'!$A$6:$BP$36,[2]Consolidated!J$1)</f>
        <v>0</v>
      </c>
      <c r="K123" s="32">
        <f>VLOOKUP($B123&amp;$C123,'[1]FC2 Prod'!$A$6:$BP$36,[2]Consolidated!K$1)</f>
        <v>0</v>
      </c>
      <c r="L123" s="32">
        <f>VLOOKUP($B123&amp;$C123,'[1]FC2 Prod'!$A$6:$BP$36,[2]Consolidated!L$1)</f>
        <v>0</v>
      </c>
      <c r="M123" s="32">
        <f>VLOOKUP($B123&amp;$C123,'[1]FC2 Prod'!$A$6:$BP$36,[2]Consolidated!M$1)</f>
        <v>0</v>
      </c>
      <c r="N123" s="32">
        <f>VLOOKUP($B123&amp;$C123,'[1]FC2 Prod'!$A$6:$BP$36,[2]Consolidated!N$1)</f>
        <v>0</v>
      </c>
      <c r="O123" s="32">
        <f>VLOOKUP($B123&amp;$C123,'[1]FC2 Prod'!$A$6:$BP$36,[2]Consolidated!O$1)</f>
        <v>0</v>
      </c>
      <c r="P123" s="34">
        <f>VLOOKUP($B123&amp;$C123,'[1]FC2 Prod'!$A$6:$BP$36,[2]Consolidated!P$1)</f>
        <v>8</v>
      </c>
      <c r="Q123" s="29">
        <f>VLOOKUP($B123&amp;$C123,'[1]FC2 Prod'!$A$6:$BP$36,[2]Consolidated!Q$1)</f>
        <v>0</v>
      </c>
      <c r="R123" s="29">
        <f>VLOOKUP($B123&amp;$C123,'[1]FC2 Prod'!$A$6:$BP$36,[2]Consolidated!R$1)</f>
        <v>0</v>
      </c>
      <c r="S123" s="34" t="e">
        <f>VLOOKUP($B123&amp;$C123,'[1]FC2 Prod'!$A$6:$BP$36,[2]Consolidated!S$1)</f>
        <v>#REF!</v>
      </c>
      <c r="T123" s="34" t="e">
        <f>VLOOKUP($B123&amp;$C123,'[1]FC2 Prod'!$A$6:$BP$36,[2]Consolidated!T$1)</f>
        <v>#REF!</v>
      </c>
      <c r="U123" s="34" t="e">
        <f>VLOOKUP($B123&amp;$C123,'[1]FC2 Prod'!$A$6:$BP$36,[2]Consolidated!U$1)</f>
        <v>#REF!</v>
      </c>
      <c r="V123" s="34">
        <f>VLOOKUP($B123&amp;$C123,'[1]FC2 Prod'!$A$6:$BP$36,[2]Consolidated!V$1)</f>
        <v>0</v>
      </c>
      <c r="W123" s="29">
        <f>VLOOKUP($B123&amp;$C123,'[1]FC2 Prod'!$A$6:$BP$36,[2]Consolidated!W$1)</f>
        <v>0</v>
      </c>
      <c r="X123" s="35">
        <f>VLOOKUP($B123&amp;$C123,'[1]FC2 Prod'!$A$6:$BP$36,[2]Consolidated!X$1)</f>
        <v>0</v>
      </c>
      <c r="Y123" s="36">
        <f>VLOOKUP($B123&amp;$C123,'[1]FC2 Prod'!$A$6:$BP$36,[2]Consolidated!Y$1)</f>
        <v>0</v>
      </c>
      <c r="Z123" s="37" t="e">
        <f>VLOOKUP($B123&amp;$C123,'[1]FC2 Prod'!$A$6:$BP$36,[2]Consolidated!Z$1)</f>
        <v>#REF!</v>
      </c>
      <c r="AA123" s="31">
        <f>VLOOKUP($B123&amp;$C123,'[1]FC2 Prod'!$A$6:$BP$36,[2]Consolidated!AA$1)</f>
        <v>0</v>
      </c>
      <c r="AB123" s="31">
        <f>VLOOKUP($B123&amp;$C123,'[1]FC2 Prod'!$A$6:$BP$36,[2]Consolidated!AB$1)</f>
        <v>0</v>
      </c>
      <c r="AC123" s="31">
        <f>VLOOKUP($B123&amp;$C123,'[1]FC2 Prod'!$A$6:$BP$36,[2]Consolidated!AC$1)</f>
        <v>0</v>
      </c>
      <c r="AD123" s="38">
        <f>VLOOKUP($B123&amp;$C123,'[1]FC2 Prod'!$A$6:$BP$36,[2]Consolidated!AD$1)</f>
        <v>0</v>
      </c>
      <c r="AE123" s="38">
        <f>VLOOKUP($B123&amp;$C123,'[1]FC2 Prod'!$A$6:$BP$36,[2]Consolidated!AE$1)</f>
        <v>0</v>
      </c>
      <c r="AF123" s="39">
        <f>VLOOKUP($B123&amp;$C123,'[1]FC2 Prod'!$A$6:$BP$36,[2]Consolidated!AF$1)</f>
        <v>0</v>
      </c>
      <c r="AG123" s="39">
        <f>VLOOKUP($B123&amp;$C123,'[1]FC2 Prod'!$A$6:$BP$36,[2]Consolidated!AG$1)</f>
        <v>0</v>
      </c>
      <c r="AH123" s="34">
        <f>VLOOKUP($B123&amp;$C123,'[1]FC2 Prod'!$A$6:$BP$36,[2]Consolidated!AH$1)</f>
        <v>0</v>
      </c>
      <c r="AI123" s="33">
        <f>VLOOKUP($B123&amp;$C123,'[1]FC2 Prod'!$A$6:$BP$36,[2]Consolidated!AI$1)</f>
        <v>0</v>
      </c>
      <c r="AJ123" s="39">
        <f>VLOOKUP($B123&amp;$C123,'[1]FC2 Prod'!$A$6:$BP$36,[2]Consolidated!AJ$1)</f>
        <v>0</v>
      </c>
      <c r="AK123" s="39">
        <f>VLOOKUP($B123&amp;$C123,'[1]FC2 Prod'!$A$6:$BP$36,[2]Consolidated!AK$1)</f>
        <v>0</v>
      </c>
      <c r="AL123" s="40" t="e">
        <f>VLOOKUP($B123&amp;$C123,'[1]FC2 Prod'!$A$6:$BP$36,[2]Consolidated!AL$1)</f>
        <v>#REF!</v>
      </c>
      <c r="AM123" s="41">
        <f>VLOOKUP($B123&amp;$C123,'[1]FC2 Prod'!$A$6:$BP$36,[2]Consolidated!AM$1)</f>
        <v>0</v>
      </c>
      <c r="AN123" s="42" t="e">
        <f>VLOOKUP($B123&amp;$C123,'[1]FC2 Prod'!$A$6:$BP$36,[2]Consolidated!AN$1)</f>
        <v>#REF!</v>
      </c>
      <c r="AO123" s="43" t="e">
        <f>VLOOKUP($B123&amp;$C123,'[1]FC2 Prod'!$A$6:$BP$36,[2]Consolidated!AO$1)</f>
        <v>#REF!</v>
      </c>
      <c r="AP123" s="44">
        <f>VLOOKUP($B123&amp;$C123,'[1]FC2 Prod'!$A$6:$BP$36,[2]Consolidated!AP$1)</f>
        <v>0</v>
      </c>
      <c r="AQ123" s="44">
        <f>VLOOKUP($B123&amp;$C123,'[1]FC2 Prod'!$A$6:$BP$36,[2]Consolidated!AQ$1)</f>
        <v>0</v>
      </c>
      <c r="AR123" s="45">
        <f>VLOOKUP($B123&amp;$C123,'[1]FC2 Prod'!$A$6:$BP$36,[2]Consolidated!AR$1)</f>
        <v>0</v>
      </c>
      <c r="AS123" s="46">
        <f>VLOOKUP($B123&amp;$C123,'[1]FC2 Prod'!$A$6:$BP$36,[2]Consolidated!AS$1)</f>
        <v>0</v>
      </c>
      <c r="AT123" s="29">
        <f>VLOOKUP($B123&amp;$C123,'[1]FC2 Prod'!$A$6:$BP$36,[2]Consolidated!AT$1)</f>
        <v>0</v>
      </c>
      <c r="AU123" s="34">
        <f>VLOOKUP($B123&amp;$C123,'[1]FC2 Prod'!$A$6:$BP$36,[2]Consolidated!AU$1)</f>
        <v>0</v>
      </c>
      <c r="AV123" s="34">
        <f>VLOOKUP($B123&amp;$C123,'[1]FC2 Prod'!$A$6:$BP$36,[2]Consolidated!AV$1)</f>
        <v>0</v>
      </c>
      <c r="AW123" s="47">
        <f>VLOOKUP($B123&amp;$C123,'[1]FC2 Prod'!$A$6:$BP$36,[2]Consolidated!AW$1)</f>
        <v>0</v>
      </c>
      <c r="AX123" s="47">
        <f>VLOOKUP($B123&amp;$C123,'[1]FC2 Prod'!$A$6:$BP$36,[2]Consolidated!AX$1)</f>
        <v>0</v>
      </c>
      <c r="AY123" s="48">
        <f>VLOOKUP($B123&amp;$C123,'[1]FC2 Prod'!$A$6:$BP$36,[2]Consolidated!AY$1)</f>
        <v>0</v>
      </c>
      <c r="AZ123" s="47">
        <f>VLOOKUP($B123&amp;$C123,'[1]FC2 Prod'!$A$6:$BP$36,[2]Consolidated!AZ$1)</f>
        <v>0</v>
      </c>
      <c r="BA123" s="47">
        <f>VLOOKUP($B123&amp;$C123,'[1]FC2 Prod'!$A$6:$BP$36,[2]Consolidated!BA$1)</f>
        <v>0</v>
      </c>
      <c r="BB123" s="47">
        <f>VLOOKUP($B123&amp;$C123,'[1]FC2 Prod'!$A$6:$BP$36,[2]Consolidated!BB$1)</f>
        <v>0</v>
      </c>
      <c r="BC123" s="47">
        <f>VLOOKUP($B123&amp;$C123,'[1]FC2 Prod'!$A$6:$BP$36,[2]Consolidated!BC$1)</f>
        <v>0</v>
      </c>
      <c r="BD123" s="49">
        <f>VLOOKUP($B123&amp;$C123,'[1]FC2 Prod'!$A$6:$BP$36,[2]Consolidated!BD$1)</f>
        <v>0</v>
      </c>
      <c r="BE123" s="47">
        <f>VLOOKUP($B123&amp;$C123,'[1]FC2 Prod'!$A$6:$BP$36,[2]Consolidated!BE$1)</f>
        <v>0</v>
      </c>
      <c r="BF123" s="47">
        <f>VLOOKUP($B123&amp;$C123,'[1]FC2 Prod'!$A$6:$BP$36,[2]Consolidated!BF$1)</f>
        <v>0</v>
      </c>
      <c r="BG123" s="50">
        <f>VLOOKUP($B123&amp;$C123,'[1]FC2 Prod'!$A$6:$BP$36,[2]Consolidated!BG$1)</f>
        <v>0</v>
      </c>
      <c r="BH123" s="50">
        <f>VLOOKUP($B123&amp;$C123,'[1]FC2 Prod'!$A$6:$BP$36,[2]Consolidated!BH$1)</f>
        <v>0</v>
      </c>
      <c r="BI123" s="50">
        <f>VLOOKUP($B123&amp;$C123,'[1]FC2 Prod'!$A$6:$BP$36,[2]Consolidated!BI$1)</f>
        <v>0</v>
      </c>
      <c r="BJ123" s="37" t="e">
        <f>VLOOKUP($B123&amp;$C123,'[1]FC2 Prod'!$A$6:$BP$36,[2]Consolidated!BJ$1)</f>
        <v>#REF!</v>
      </c>
      <c r="BK123" s="37" t="e">
        <f>VLOOKUP($B123&amp;$C123,'[1]FC2 Prod'!$A$6:$BP$36,[2]Consolidated!BK$1)</f>
        <v>#REF!</v>
      </c>
      <c r="BL123" s="37" t="e">
        <f>VLOOKUP($B123&amp;$C123,'[1]FC2 Prod'!$A$6:$BP$36,[2]Consolidated!BL$1)</f>
        <v>#REF!</v>
      </c>
      <c r="BM123" s="37" t="e">
        <f>VLOOKUP($B123&amp;$C123,'[1]FC2 Prod'!$A$6:$BP$36,[2]Consolidated!BM$1)</f>
        <v>#REF!</v>
      </c>
      <c r="BN123" s="37" t="e">
        <f>VLOOKUP($B123&amp;$C123,'[1]FC2 Prod'!$A$6:$BP$36,[2]Consolidated!BN$1)</f>
        <v>#REF!</v>
      </c>
      <c r="BO123" s="37" t="e">
        <f>VLOOKUP($B123&amp;$C123,'[1]FC2 Prod'!$A$6:$BP$36,[2]Consolidated!BO$1)</f>
        <v>#REF!</v>
      </c>
      <c r="BP123" s="37" t="e">
        <f>VLOOKUP($B123&amp;$C123,'[1]FC2 Prod'!$A$6:$BP$36,[2]Consolidated!BP$1)</f>
        <v>#REF!</v>
      </c>
      <c r="BQ123" s="29" t="e">
        <f>VLOOKUP($B123&amp;$C123,'[1]FC2 Prod'!$A$6:$BP$36,[2]Consolidated!BQ$1)</f>
        <v>#REF!</v>
      </c>
      <c r="BR123" s="51">
        <f>VLOOKUP($B123&amp;$C123,'[1]FC2 Prod'!$A$6:$BQ$36,[2]Consolidated!BR$1)</f>
        <v>68163</v>
      </c>
      <c r="BS123" s="52">
        <f t="shared" si="151"/>
        <v>0</v>
      </c>
      <c r="BT123" s="32">
        <f>BR123-BS123</f>
        <v>68163</v>
      </c>
      <c r="BU123" s="37">
        <f>E123*BT123</f>
        <v>0</v>
      </c>
      <c r="BV123" s="53" t="s">
        <v>133</v>
      </c>
      <c r="BW123" s="54" cm="1">
        <f t="array" ref="BW123">IFERROR(VLOOKUP($A123,TRANSPOSE('[1]Fur 2 PLC'!$AR$1:$BV$38),8,0),0)</f>
        <v>0</v>
      </c>
      <c r="BX123" s="54" cm="1">
        <f t="array" ref="BX123">IFERROR(VLOOKUP($A123,TRANSPOSE('[1]Fur 2 PLC'!$AR$1:$BV$38),30,0),0)</f>
        <v>0</v>
      </c>
      <c r="BY123" s="54" cm="1">
        <f t="array" ref="BY123">IFERROR(VLOOKUP($A123,TRANSPOSE('[1]Fur 2 PLC'!$AR$1:$BV$38),14,0),0)</f>
        <v>0</v>
      </c>
      <c r="BZ123" s="54" cm="1">
        <f t="array" ref="BZ123">IFERROR(VLOOKUP($A123,TRANSPOSE('[1]Fur 2 PLC'!$AR$1:$BV$38),16,0),0)</f>
        <v>0</v>
      </c>
      <c r="CA123" s="54" cm="1">
        <f t="array" ref="CA123">IFERROR(VLOOKUP($A123,TRANSPOSE('[1]Fur 2 PLC'!$AR$1:$BV$38),9,0),0)</f>
        <v>0</v>
      </c>
      <c r="CB123" s="54" cm="1">
        <f t="array" ref="CB123">IFERROR(VLOOKUP($A123,TRANSPOSE('[1]Fur 2 PLC'!$AR$1:$BV$38),17,0),0)</f>
        <v>0</v>
      </c>
      <c r="CC123" s="54" cm="1">
        <f t="array" ref="CC123">IFERROR(VLOOKUP($A123,TRANSPOSE('[1]Fur 2 PLC'!$AR$1:$BV$38),20,0),0)</f>
        <v>0</v>
      </c>
      <c r="CD123" s="54" cm="1">
        <f t="array" ref="CD123">IFERROR(VLOOKUP($A123,TRANSPOSE('[1]Fur 2 PLC'!$AR$1:$BV$38),28,0),0)</f>
        <v>0</v>
      </c>
      <c r="CE123" s="54" cm="1">
        <f t="array" ref="CE123">IFERROR(VLOOKUP($A123,TRANSPOSE('[1]Fur 2 PLC'!$AR$1:$BV$38),13,0),0)</f>
        <v>0</v>
      </c>
      <c r="CF123" s="54" cm="1">
        <f t="array" ref="CF123">IFERROR(VLOOKUP($A123,TRANSPOSE('[1]Fur 2 PLC'!$AR$1:$BV$38),37,0),0)</f>
        <v>0</v>
      </c>
      <c r="CG123" s="54" cm="1">
        <f t="array" ref="CG123">IFERROR(VLOOKUP($A123,TRANSPOSE('[1]Fur 2 PLC'!$AR$1:$BV$38),6,0),0)</f>
        <v>0</v>
      </c>
      <c r="CH123" s="54" cm="1">
        <f t="array" ref="CH123">IFERROR(VLOOKUP($A123,TRANSPOSE('[1]Fur 2 PLC'!$AR$1:$BV$38),21,0),0)</f>
        <v>0</v>
      </c>
      <c r="CI123" s="54" cm="1">
        <f t="array" ref="CI123">IFERROR(VLOOKUP($A123,TRANSPOSE('[1]Fur 2 PLC'!$AR$1:$BV$38),12,0),0)</f>
        <v>0</v>
      </c>
      <c r="CJ123" s="54" cm="1">
        <f t="array" ref="CJ123">IFERROR(VLOOKUP($A123,TRANSPOSE('[1]Fur 2 PLC'!$AR$1:$BV$38),25,0),0)</f>
        <v>0</v>
      </c>
      <c r="CK123" s="54" cm="1">
        <f t="array" ref="CK123">IFERROR(VLOOKUP($A123,TRANSPOSE('[1]Fur 2 PLC'!$AR$1:$BV$38),26,0),0)</f>
        <v>0</v>
      </c>
      <c r="CL123" s="54" cm="1">
        <f t="array" ref="CL123">IFERROR(VLOOKUP($A123,TRANSPOSE('[1]Fur 2 PLC'!$AR$1:$BV$38),27,0),0)</f>
        <v>0</v>
      </c>
      <c r="CM123" s="54" cm="1">
        <f t="array" ref="CM123">IFERROR(VLOOKUP($A123,TRANSPOSE('[1]Fur 2 PLC'!$AR$1:$BV$38),22,0),0)</f>
        <v>0</v>
      </c>
      <c r="CN123" s="54"/>
      <c r="CO123" s="54" cm="1">
        <f t="array" ref="CO123">IFERROR(VLOOKUP($A123,TRANSPOSE('[1]Fur 2 PLC'!$AR$1:$BV$38),29,0),0)</f>
        <v>0</v>
      </c>
      <c r="CP123" s="54" cm="1">
        <f t="array" ref="CP123">IFERROR(VLOOKUP($A123,TRANSPOSE('[1]Fur 2 PLC'!$AR$1:$BV$38),10,0),0)</f>
        <v>0</v>
      </c>
      <c r="CQ123" s="54" cm="1">
        <f t="array" ref="CQ123">IFERROR(VLOOKUP($A123,TRANSPOSE('[1]Fur 2 PLC'!$AR$1:$BV$38),7,0),0)</f>
        <v>0</v>
      </c>
      <c r="CR123" s="54" cm="1">
        <f t="array" ref="CR123">IFERROR(VLOOKUP($A123,TRANSPOSE('[1]Fur 2 PLC'!$AR$1:$BV$38),35,0),0)</f>
        <v>0</v>
      </c>
      <c r="CS123" s="54" cm="1">
        <f t="array" ref="CS123">IFERROR(VLOOKUP($A123,TRANSPOSE('[1]Fur 2 PLC'!$AR$1:$BV$38),11,0),0)</f>
        <v>0</v>
      </c>
      <c r="CT123" s="54" cm="1">
        <f t="array" ref="CT123">IFERROR(VLOOKUP($A123,TRANSPOSE('[1]Fur 2 PLC'!$AR$1:$BV$38),19,0),0)</f>
        <v>0</v>
      </c>
      <c r="CU123" s="54" cm="1">
        <f t="array" ref="CU123">IFERROR(VLOOKUP($A123,TRANSPOSE('[1]Fur 2 PLC'!$AR$1:$BV$38),18,0),0)</f>
        <v>0</v>
      </c>
      <c r="CV123" s="54" cm="1">
        <f t="array" ref="CV123">IFERROR(VLOOKUP($A123,TRANSPOSE('[1]Fur 2 PLC'!$AR$1:$BV$38),15,0),0)</f>
        <v>0</v>
      </c>
      <c r="CW123" s="54" cm="1">
        <f t="array" ref="CW123">IFERROR(VLOOKUP($A123,TRANSPOSE('[1]Fur 2 PLC'!$CI$1:$DM$38),8,0),0)</f>
        <v>0</v>
      </c>
      <c r="CX123" s="54" cm="1">
        <f t="array" ref="CX123">IFERROR(VLOOKUP($A123,TRANSPOSE('[1]Fur 2 PLC'!$CI$1:$DM$38),30,0),0)</f>
        <v>0</v>
      </c>
      <c r="CY123" s="54" cm="1">
        <f t="array" ref="CY123">IFERROR(VLOOKUP($A123,TRANSPOSE('[1]Fur 2 PLC'!$CI$1:$DM$38),14,0),0)</f>
        <v>0</v>
      </c>
      <c r="CZ123" s="54" cm="1">
        <f t="array" ref="CZ123">IFERROR(VLOOKUP($A123,TRANSPOSE('[1]Fur 2 PLC'!$CI$1:$DM$38),16,0),0)</f>
        <v>0</v>
      </c>
      <c r="DA123" s="54" cm="1">
        <f t="array" ref="DA123">IFERROR(VLOOKUP($A123,TRANSPOSE('[1]Fur 2 PLC'!$CI$1:$DM$38),9,0),0)</f>
        <v>0</v>
      </c>
      <c r="DB123" s="55" cm="1">
        <f t="array" ref="DB123">IFERROR(VLOOKUP($A123,TRANSPOSE('[1]Fur 2 PLC'!$CI$1:$DM$38),17,0),0)</f>
        <v>0</v>
      </c>
      <c r="DC123" s="55" cm="1">
        <f t="array" ref="DC123">IFERROR(VLOOKUP($A123,TRANSPOSE('[1]Fur 2 PLC'!$CI$1:$DM$38),20,0),0)</f>
        <v>0</v>
      </c>
      <c r="DD123" s="54" cm="1">
        <f t="array" ref="DD123">IFERROR(VLOOKUP($A123,TRANSPOSE('[1]Fur 2 PLC'!$CI$1:$DM$38),28,0),0)</f>
        <v>0</v>
      </c>
      <c r="DE123" s="54" cm="1">
        <f t="array" ref="DE123">IFERROR(VLOOKUP($A123,TRANSPOSE('[1]Fur 2 PLC'!$CI$1:$DM$38),13,0),0)</f>
        <v>0</v>
      </c>
      <c r="DF123" s="54" cm="1">
        <f t="array" ref="DF123">IFERROR(VLOOKUP($A123,TRANSPOSE('[1]Fur 2 PLC'!$CI$1:$DM$38),37,0),0)</f>
        <v>0</v>
      </c>
      <c r="DG123" s="54" cm="1">
        <f t="array" ref="DG123">IFERROR(VLOOKUP($A123,TRANSPOSE('[1]Fur 2 PLC'!$CI$1:$DM$38),6,0),0)</f>
        <v>0</v>
      </c>
      <c r="DH123" s="54" cm="1">
        <f t="array" ref="DH123">IFERROR(VLOOKUP($A123,TRANSPOSE('[1]Fur 2 PLC'!$CI$1:$DM$38),21,0),0)</f>
        <v>0</v>
      </c>
      <c r="DI123" s="54" cm="1">
        <f t="array" ref="DI123">IFERROR(VLOOKUP($A123,TRANSPOSE('[1]Fur 2 PLC'!$CI$1:$DM$38),12,0),0)</f>
        <v>0</v>
      </c>
      <c r="DJ123" s="54" cm="1">
        <f t="array" ref="DJ123">IFERROR(VLOOKUP($A123,TRANSPOSE('[1]Fur 2 PLC'!$CI$1:$DM$38),25,0),0)</f>
        <v>0</v>
      </c>
      <c r="DK123" s="54" cm="1">
        <f t="array" ref="DK123">IFERROR(VLOOKUP($A123,TRANSPOSE('[1]Fur 2 PLC'!$CI$1:$DM$38),26,0),0)</f>
        <v>0</v>
      </c>
      <c r="DL123" s="54" cm="1">
        <f t="array" ref="DL123">IFERROR(VLOOKUP($A123,TRANSPOSE('[1]Fur 2 PLC'!$CI$1:$DM$38),27,0),0)</f>
        <v>0</v>
      </c>
      <c r="DM123" s="54" cm="1">
        <f t="array" ref="DM123">IFERROR(VLOOKUP($A123,TRANSPOSE('[1]Fur 2 PLC'!$CI$1:$DM$38),22,0),0)</f>
        <v>0</v>
      </c>
      <c r="DN123" s="54" cm="1">
        <f t="array" ref="DN123">IFERROR(VLOOKUP($A123,TRANSPOSE('[1]Fur 2 PLC'!$CI$1:$DM$38),19,0),0)</f>
        <v>0</v>
      </c>
      <c r="DO123" s="54" cm="1">
        <f t="array" ref="DO123">IFERROR(VLOOKUP($A123,TRANSPOSE('[1]Fur 2 PLC'!$CI$1:$DM$38),29,0),0)</f>
        <v>0</v>
      </c>
      <c r="DP123" s="54" cm="1">
        <f t="array" ref="DP123">IFERROR(VLOOKUP($A123,TRANSPOSE('[1]Fur 2 PLC'!$CI$1:$DM$38),10,0),0)</f>
        <v>0</v>
      </c>
      <c r="DQ123" s="54" cm="1">
        <f t="array" ref="DQ123">IFERROR(VLOOKUP($A123,TRANSPOSE('[1]Fur 2 PLC'!$CI$1:$DM$38),7,0),0)</f>
        <v>0</v>
      </c>
      <c r="DR123" s="54" cm="1">
        <f t="array" ref="DR123">IFERROR(VLOOKUP($A123,TRANSPOSE('[1]Fur 2 PLC'!$CI$1:$DM$38),35,0),0)</f>
        <v>0</v>
      </c>
      <c r="DS123" s="54" cm="1">
        <f t="array" ref="DS123">IFERROR(VLOOKUP($A123,TRANSPOSE('[1]Fur 2 PLC'!$CI$1:$DM$38),11,0),0)</f>
        <v>0</v>
      </c>
      <c r="DT123" s="54" cm="1">
        <f t="array" ref="DT123">IFERROR(VLOOKUP($A123,TRANSPOSE('[1]Fur 2 PLC'!$CI$1:$DM$38),19,0),0)</f>
        <v>0</v>
      </c>
      <c r="DU123" s="54" cm="1">
        <f t="array" ref="DU123">IFERROR(VLOOKUP($A123,TRANSPOSE('[1]Fur 2 PLC'!$CI$1:$DM$38),18,0),0)</f>
        <v>0</v>
      </c>
      <c r="DV123" s="54" cm="1">
        <f t="array" ref="DV123">IFERROR(VLOOKUP($A123,TRANSPOSE('[1]Fur 2 PLC'!$CI$1:$DM$38),15,0),0)</f>
        <v>0</v>
      </c>
      <c r="DW123" t="str">
        <f t="shared" ref="DW123:DW125" si="152">TEXT(C123,"Mmm-yy")</f>
        <v>Dec-25</v>
      </c>
    </row>
    <row r="124" spans="1:127" x14ac:dyDescent="0.3">
      <c r="A124" s="28" t="str">
        <f t="shared" si="140"/>
        <v>F346022</v>
      </c>
      <c r="B124" s="29" t="s">
        <v>28</v>
      </c>
      <c r="C124" s="30">
        <f>C123</f>
        <v>46022</v>
      </c>
      <c r="D124" s="29" t="str">
        <f>VLOOKUP($B124&amp;$C124,'[1]FC3 Prod'!$A$6:$BP$36,[2]Consolidated!D$1)</f>
        <v>Mr. Ajay Singh</v>
      </c>
      <c r="E124" s="29">
        <f>VLOOKUP($B124&amp;$C124,'[1]FC3 Prod'!$A$6:$BP$36,[2]Consolidated!E$1)</f>
        <v>0</v>
      </c>
      <c r="F124" s="31">
        <f>VLOOKUP($B124&amp;$C124,'[1]FC3 Prod'!$A$6:$BP$36,[2]Consolidated!F$1)</f>
        <v>0</v>
      </c>
      <c r="G124" s="32" t="e">
        <f>VLOOKUP($B124&amp;$C124,'[1]FC3 Prod'!$A$6:$BP$36,[2]Consolidated!G$1)</f>
        <v>#REF!</v>
      </c>
      <c r="H124" s="32">
        <f>VLOOKUP($B124&amp;$C124,'[1]FC3 Prod'!$A$6:$BP$36,[2]Consolidated!H$1)</f>
        <v>0</v>
      </c>
      <c r="I124" s="32">
        <f>VLOOKUP($B124&amp;$C124,'[1]FC3 Prod'!$A$6:$BP$36,[2]Consolidated!I$1)</f>
        <v>0</v>
      </c>
      <c r="J124" s="32">
        <f>VLOOKUP($B124&amp;$C124,'[1]FC3 Prod'!$A$6:$BP$36,[2]Consolidated!J$1)</f>
        <v>0</v>
      </c>
      <c r="K124" s="32">
        <f>VLOOKUP($B124&amp;$C124,'[1]FC3 Prod'!$A$6:$BP$36,[2]Consolidated!K$1)</f>
        <v>0</v>
      </c>
      <c r="L124" s="32">
        <f>VLOOKUP($B124&amp;$C124,'[1]FC3 Prod'!$A$6:$BP$36,[2]Consolidated!L$1)</f>
        <v>0</v>
      </c>
      <c r="M124" s="32">
        <f>VLOOKUP($B124&amp;$C124,'[1]FC3 Prod'!$A$6:$BP$36,[2]Consolidated!M$1)</f>
        <v>0</v>
      </c>
      <c r="N124" s="32">
        <f>VLOOKUP($B124&amp;$C124,'[1]FC3 Prod'!$A$6:$BP$36,[2]Consolidated!N$1)</f>
        <v>0</v>
      </c>
      <c r="O124" s="32">
        <f>VLOOKUP($B124&amp;$C124,'[1]FC3 Prod'!$A$6:$BP$36,[2]Consolidated!O$1)</f>
        <v>0</v>
      </c>
      <c r="P124" s="33">
        <f>VLOOKUP($B124&amp;$C124,'[1]FC3 Prod'!$A$6:$BP$36,[2]Consolidated!P$1)</f>
        <v>0</v>
      </c>
      <c r="Q124" s="29">
        <f>VLOOKUP($B124&amp;$C124,'[1]FC3 Prod'!$A$6:$BP$36,[2]Consolidated!Q$1)</f>
        <v>0</v>
      </c>
      <c r="R124" s="29">
        <f>VLOOKUP($B124&amp;$C124,'[1]FC3 Prod'!$A$6:$BP$36,[2]Consolidated!R$1)</f>
        <v>0</v>
      </c>
      <c r="S124" s="34" t="e">
        <f>VLOOKUP($B124&amp;$C124,'[1]FC3 Prod'!$A$6:$BP$36,[2]Consolidated!S$1)</f>
        <v>#REF!</v>
      </c>
      <c r="T124" s="34" t="e">
        <f>VLOOKUP($B124&amp;$C124,'[1]FC3 Prod'!$A$6:$BP$36,[2]Consolidated!T$1)</f>
        <v>#REF!</v>
      </c>
      <c r="U124" s="34" t="e">
        <f>VLOOKUP($B124&amp;$C124,'[1]FC3 Prod'!$A$6:$BP$36,[2]Consolidated!U$1)</f>
        <v>#REF!</v>
      </c>
      <c r="V124" s="34">
        <f>VLOOKUP($B124&amp;$C124,'[1]FC3 Prod'!$A$6:$BP$36,[2]Consolidated!V$1)</f>
        <v>0</v>
      </c>
      <c r="W124" s="35">
        <f>VLOOKUP($B124&amp;$C124,'[1]FC3 Prod'!$A$6:$BP$36,[2]Consolidated!W$1)</f>
        <v>0</v>
      </c>
      <c r="X124" s="35">
        <f>VLOOKUP($B124&amp;$C124,'[1]FC3 Prod'!$A$6:$BP$36,[2]Consolidated!X$1)</f>
        <v>0</v>
      </c>
      <c r="Y124" s="36">
        <f>VLOOKUP($B124&amp;$C124,'[1]FC3 Prod'!$A$6:$BP$36,[2]Consolidated!Y$1)</f>
        <v>0</v>
      </c>
      <c r="Z124" s="37" t="e">
        <f>VLOOKUP($B124&amp;$C124,'[1]FC3 Prod'!$A$6:$BP$36,[2]Consolidated!Z$1)</f>
        <v>#REF!</v>
      </c>
      <c r="AA124" s="31">
        <f>VLOOKUP($B124&amp;$C124,'[1]FC3 Prod'!$A$6:$BP$36,[2]Consolidated!AA$1)</f>
        <v>0</v>
      </c>
      <c r="AB124" s="31">
        <f>VLOOKUP($B124&amp;$C124,'[1]FC3 Prod'!$A$6:$BP$36,[2]Consolidated!AB$1)</f>
        <v>0</v>
      </c>
      <c r="AC124" s="31" t="e">
        <f>VLOOKUP($B124&amp;$C124,'[1]FC3 Prod'!$A$6:$BP$36,[2]Consolidated!AC$1)</f>
        <v>#REF!</v>
      </c>
      <c r="AD124" s="38">
        <f>VLOOKUP($B124&amp;$C124,'[1]FC3 Prod'!$A$6:$BP$36,[2]Consolidated!AD$1)</f>
        <v>0</v>
      </c>
      <c r="AE124" s="38">
        <f>VLOOKUP($B124&amp;$C124,'[1]FC3 Prod'!$A$6:$BP$36,[2]Consolidated!AE$1)</f>
        <v>0</v>
      </c>
      <c r="AF124" s="39">
        <f>VLOOKUP($B124&amp;$C124,'[1]FC3 Prod'!$A$6:$BP$36,[2]Consolidated!AF$1)</f>
        <v>0</v>
      </c>
      <c r="AG124" s="39">
        <f>VLOOKUP($B124&amp;$C124,'[1]FC3 Prod'!$A$6:$BP$36,[2]Consolidated!AG$1)</f>
        <v>0</v>
      </c>
      <c r="AH124" s="34">
        <f>VLOOKUP($B124&amp;$C124,'[1]FC3 Prod'!$A$6:$BP$36,[2]Consolidated!AH$1)</f>
        <v>0</v>
      </c>
      <c r="AI124" s="33">
        <f>VLOOKUP($B124&amp;$C124,'[1]FC3 Prod'!$A$6:$BP$36,[2]Consolidated!AI$1)</f>
        <v>0</v>
      </c>
      <c r="AJ124" s="39">
        <f>VLOOKUP($B124&amp;$C124,'[1]FC3 Prod'!$A$6:$BP$36,[2]Consolidated!AJ$1)</f>
        <v>0</v>
      </c>
      <c r="AK124" s="39">
        <f>VLOOKUP($B124&amp;$C124,'[1]FC3 Prod'!$A$6:$BP$36,[2]Consolidated!AK$1)</f>
        <v>0</v>
      </c>
      <c r="AL124" s="40" t="e">
        <f>VLOOKUP($B124&amp;$C124,'[1]FC3 Prod'!$A$6:$BP$36,[2]Consolidated!AL$1)</f>
        <v>#REF!</v>
      </c>
      <c r="AM124" s="41">
        <f>VLOOKUP($B124&amp;$C124,'[1]FC3 Prod'!$A$6:$BP$36,[2]Consolidated!AM$1)</f>
        <v>0</v>
      </c>
      <c r="AN124" s="42" t="e">
        <f>VLOOKUP($B124&amp;$C124,'[1]FC3 Prod'!$A$6:$BP$36,[2]Consolidated!AN$1)</f>
        <v>#REF!</v>
      </c>
      <c r="AO124" s="43" t="e">
        <f>VLOOKUP($B124&amp;$C124,'[1]FC3 Prod'!$A$6:$BP$36,[2]Consolidated!AO$1)</f>
        <v>#REF!</v>
      </c>
      <c r="AP124" s="44">
        <f>VLOOKUP($B124&amp;$C124,'[1]FC3 Prod'!$A$6:$BP$36,[2]Consolidated!AP$1)</f>
        <v>0</v>
      </c>
      <c r="AQ124" s="44">
        <f>VLOOKUP($B124&amp;$C124,'[1]FC3 Prod'!$A$6:$BP$36,[2]Consolidated!AQ$1)</f>
        <v>0</v>
      </c>
      <c r="AR124" s="45">
        <f>VLOOKUP($B124&amp;$C124,'[1]FC3 Prod'!$A$6:$BP$36,[2]Consolidated!AR$1)</f>
        <v>0</v>
      </c>
      <c r="AS124" s="46">
        <f>VLOOKUP($B124&amp;$C124,'[1]FC3 Prod'!$A$6:$BP$36,[2]Consolidated!AS$1)</f>
        <v>0</v>
      </c>
      <c r="AT124" s="29">
        <f>VLOOKUP($B124&amp;$C124,'[1]FC3 Prod'!$A$6:$BP$36,[2]Consolidated!AT$1)</f>
        <v>0</v>
      </c>
      <c r="AU124" s="34">
        <f>VLOOKUP($B124&amp;$C124,'[1]FC3 Prod'!$A$6:$BP$36,[2]Consolidated!AU$1)</f>
        <v>0</v>
      </c>
      <c r="AV124" s="34">
        <f>VLOOKUP($B124&amp;$C124,'[1]FC3 Prod'!$A$6:$BP$36,[2]Consolidated!AV$1)</f>
        <v>0</v>
      </c>
      <c r="AW124" s="47">
        <f>VLOOKUP($B124&amp;$C124,'[1]FC3 Prod'!$A$6:$BP$36,[2]Consolidated!AW$1)</f>
        <v>0</v>
      </c>
      <c r="AX124" s="47">
        <f>VLOOKUP($B124&amp;$C124,'[1]FC3 Prod'!$A$6:$BP$36,[2]Consolidated!AX$1)</f>
        <v>0</v>
      </c>
      <c r="AY124" s="48">
        <f>VLOOKUP($B124&amp;$C124,'[1]FC3 Prod'!$A$6:$BP$36,[2]Consolidated!AY$1)</f>
        <v>0</v>
      </c>
      <c r="AZ124" s="47">
        <f>VLOOKUP($B124&amp;$C124,'[1]FC3 Prod'!$A$6:$BP$36,[2]Consolidated!AZ$1)</f>
        <v>0</v>
      </c>
      <c r="BA124" s="47">
        <f>VLOOKUP($B124&amp;$C124,'[1]FC3 Prod'!$A$6:$BP$36,[2]Consolidated!BA$1)</f>
        <v>0</v>
      </c>
      <c r="BB124" s="47">
        <f>VLOOKUP($B124&amp;$C124,'[1]FC3 Prod'!$A$6:$BP$36,[2]Consolidated!BB$1)</f>
        <v>0</v>
      </c>
      <c r="BC124" s="47">
        <f>VLOOKUP($B124&amp;$C124,'[1]FC3 Prod'!$A$6:$BP$36,[2]Consolidated!BC$1)</f>
        <v>0</v>
      </c>
      <c r="BD124" s="49">
        <f>VLOOKUP($B124&amp;$C124,'[1]FC3 Prod'!$A$6:$BP$36,[2]Consolidated!BD$1)</f>
        <v>0</v>
      </c>
      <c r="BE124" s="47">
        <f>VLOOKUP($B124&amp;$C124,'[1]FC3 Prod'!$A$6:$BP$36,[2]Consolidated!BE$1)</f>
        <v>0</v>
      </c>
      <c r="BF124" s="47">
        <f>VLOOKUP($B124&amp;$C124,'[1]FC3 Prod'!$A$6:$BP$36,[2]Consolidated!BF$1)</f>
        <v>0</v>
      </c>
      <c r="BG124" s="50">
        <f>VLOOKUP($B124&amp;$C124,'[1]FC3 Prod'!$A$6:$BP$36,[2]Consolidated!BG$1)</f>
        <v>0</v>
      </c>
      <c r="BH124" s="50">
        <f>VLOOKUP($B124&amp;$C124,'[1]FC3 Prod'!$A$6:$BP$36,[2]Consolidated!BH$1)</f>
        <v>0</v>
      </c>
      <c r="BI124" s="50">
        <f>VLOOKUP($B124&amp;$C124,'[1]FC3 Prod'!$A$6:$BP$36,[2]Consolidated!BI$1)</f>
        <v>0</v>
      </c>
      <c r="BJ124" s="37" t="e">
        <f>VLOOKUP($B124&amp;$C124,'[1]FC3 Prod'!$A$6:$BP$36,[2]Consolidated!BJ$1)</f>
        <v>#REF!</v>
      </c>
      <c r="BK124" s="37" t="e">
        <f>VLOOKUP($B124&amp;$C124,'[1]FC3 Prod'!$A$6:$BP$36,[2]Consolidated!BK$1)</f>
        <v>#REF!</v>
      </c>
      <c r="BL124" s="37" t="e">
        <f>VLOOKUP($B124&amp;$C124,'[1]FC3 Prod'!$A$6:$BP$36,[2]Consolidated!BL$1)</f>
        <v>#REF!</v>
      </c>
      <c r="BM124" s="37" t="e">
        <f>VLOOKUP($B124&amp;$C124,'[1]FC3 Prod'!$A$6:$BP$36,[2]Consolidated!BM$1)</f>
        <v>#REF!</v>
      </c>
      <c r="BN124" s="37" t="e">
        <f>VLOOKUP($B124&amp;$C124,'[1]FC3 Prod'!$A$6:$BP$36,[2]Consolidated!BN$1)</f>
        <v>#REF!</v>
      </c>
      <c r="BO124" s="37" t="e">
        <f>VLOOKUP($B124&amp;$C124,'[1]FC3 Prod'!$A$6:$BP$36,[2]Consolidated!BO$1)</f>
        <v>#REF!</v>
      </c>
      <c r="BP124" s="37" t="e">
        <f>VLOOKUP($B124&amp;$C124,'[1]FC3 Prod'!$A$6:$BP$36,[2]Consolidated!BP$1)</f>
        <v>#REF!</v>
      </c>
      <c r="BQ124" s="51" t="e">
        <f>VLOOKUP($B124&amp;$C124,'[1]FC3 Prod'!$A$6:$BP$36,[2]Consolidated!BQ$1)</f>
        <v>#REF!</v>
      </c>
      <c r="BR124" s="51">
        <f>VLOOKUP($B124&amp;$C124,'[1]FC3 Prod'!$A$6:$BQ$36,[2]Consolidated!BR$1)</f>
        <v>60369</v>
      </c>
      <c r="BS124" s="52">
        <f t="shared" si="151"/>
        <v>0</v>
      </c>
      <c r="BT124" s="32">
        <f t="shared" ref="BT124:BT125" si="153">BR124-BS124</f>
        <v>60369</v>
      </c>
      <c r="BU124" s="37">
        <f t="shared" ref="BU124:BU125" si="154">E124*BT124</f>
        <v>0</v>
      </c>
      <c r="BV124" s="53" t="s">
        <v>133</v>
      </c>
      <c r="BW124" s="54" cm="1">
        <f t="array" ref="BW124">IFERROR(VLOOKUP($A124,TRANSPOSE('[1]Fur 3 PLC'!$AS$1:$BX$38),8,0),0)</f>
        <v>0</v>
      </c>
      <c r="BX124" s="54" cm="1">
        <f t="array" ref="BX124">IFERROR(VLOOKUP($A124,TRANSPOSE('[1]Fur 3 PLC'!$AS$1:$BX$38),30,0),0)</f>
        <v>0</v>
      </c>
      <c r="BY124" s="54" cm="1">
        <f t="array" ref="BY124">IFERROR(VLOOKUP($A124,TRANSPOSE('[1]Fur 3 PLC'!$AS$1:$BX$38),14,0),0)</f>
        <v>0</v>
      </c>
      <c r="BZ124" s="54" cm="1">
        <f t="array" ref="BZ124">IFERROR(VLOOKUP($A124,TRANSPOSE('[1]Fur 3 PLC'!$AS$1:$BX$38),16,0),0)</f>
        <v>0</v>
      </c>
      <c r="CA124" s="54" cm="1">
        <f t="array" ref="CA124">IFERROR(VLOOKUP($A124,TRANSPOSE('[1]Fur 3 PLC'!$AS$1:$BX$38),9,0),0)</f>
        <v>0</v>
      </c>
      <c r="CB124" s="54" cm="1">
        <f t="array" ref="CB124">IFERROR(VLOOKUP($A124,TRANSPOSE('[1]Fur 3 PLC'!$AS$1:$BX$38),17,0),0)</f>
        <v>0</v>
      </c>
      <c r="CC124" s="54" cm="1">
        <f t="array" ref="CC124">IFERROR(VLOOKUP($A124,TRANSPOSE('[1]Fur 3 PLC'!$AS$1:$BX$38),20,0),0)</f>
        <v>0</v>
      </c>
      <c r="CD124" s="54" cm="1">
        <f t="array" ref="CD124">IFERROR(VLOOKUP($A124,TRANSPOSE('[1]Fur 3 PLC'!$AS$1:$BX$38),28,0),0)</f>
        <v>0</v>
      </c>
      <c r="CE124" s="54" cm="1">
        <f t="array" ref="CE124">IFERROR(VLOOKUP($A124,TRANSPOSE('[1]Fur 3 PLC'!$AS$1:$BX$38),13,0),0)</f>
        <v>0</v>
      </c>
      <c r="CF124" s="54" cm="1">
        <f t="array" ref="CF124">IFERROR(VLOOKUP($A124,TRANSPOSE('[1]Fur 3 PLC'!$AS$1:$BX$38),37,0),0)</f>
        <v>0</v>
      </c>
      <c r="CG124" s="54" cm="1">
        <f t="array" ref="CG124">IFERROR(VLOOKUP($A124,TRANSPOSE('[1]Fur 3 PLC'!$AS$1:$BX$38),6,0),0)</f>
        <v>0</v>
      </c>
      <c r="CH124" s="54" cm="1">
        <f t="array" ref="CH124">IFERROR(VLOOKUP($A124,TRANSPOSE('[1]Fur 3 PLC'!$AS$1:$BX$38),21,0),0)</f>
        <v>0</v>
      </c>
      <c r="CI124" s="54" cm="1">
        <f t="array" ref="CI124">IFERROR(VLOOKUP($A124,TRANSPOSE('[1]Fur 3 PLC'!$AS$1:$BX$38),12,0),0)</f>
        <v>0</v>
      </c>
      <c r="CJ124" s="54" cm="1">
        <f t="array" ref="CJ124">IFERROR(VLOOKUP($A124,TRANSPOSE('[1]Fur 3 PLC'!$AS$1:$BX$38),25,0),0)</f>
        <v>0</v>
      </c>
      <c r="CK124" s="54" cm="1">
        <f t="array" ref="CK124">IFERROR(VLOOKUP($A124,TRANSPOSE('[1]Fur 3 PLC'!$AS$1:$BX$38),26,0),0)</f>
        <v>0</v>
      </c>
      <c r="CL124" s="54" cm="1">
        <f t="array" ref="CL124">IFERROR(VLOOKUP($A124,TRANSPOSE('[1]Fur 3 PLC'!$AS$1:$BX$38),27,0),0)</f>
        <v>0</v>
      </c>
      <c r="CM124" s="54" cm="1">
        <f t="array" ref="CM124">IFERROR(VLOOKUP($A124,TRANSPOSE('[1]Fur 3 PLC'!$AS$1:$BX$38),22,0),0)</f>
        <v>0</v>
      </c>
      <c r="CN124" s="54"/>
      <c r="CO124" s="54" cm="1">
        <f t="array" ref="CO124">IFERROR(VLOOKUP($A124,TRANSPOSE('[1]Fur 3 PLC'!$AS$1:$BX$38),29,0),0)</f>
        <v>0</v>
      </c>
      <c r="CP124" s="54" cm="1">
        <f t="array" ref="CP124">IFERROR(VLOOKUP($A124,TRANSPOSE('[1]Fur 3 PLC'!$AS$1:$BX$38),10,0),0)</f>
        <v>0</v>
      </c>
      <c r="CQ124" s="54" cm="1">
        <f t="array" ref="CQ124">IFERROR(VLOOKUP($A124,TRANSPOSE('[1]Fur 3 PLC'!$AS$1:$BX$38),7,0),0)</f>
        <v>0</v>
      </c>
      <c r="CR124" s="54" cm="1">
        <f t="array" ref="CR124">IFERROR(VLOOKUP($A124,TRANSPOSE('[1]Fur 3 PLC'!$AS$1:$BX$38),35,0),0)</f>
        <v>0</v>
      </c>
      <c r="CS124" s="54" cm="1">
        <f t="array" ref="CS124">IFERROR(VLOOKUP($A124,TRANSPOSE('[1]Fur 3 PLC'!$AS$1:$BX$38),11,0),0)</f>
        <v>0</v>
      </c>
      <c r="CT124" s="54" cm="1">
        <f t="array" ref="CT124">IFERROR(VLOOKUP($A124,TRANSPOSE('[1]Fur 3 PLC'!$AS$1:$BX$38),19,0),0)</f>
        <v>0</v>
      </c>
      <c r="CU124" s="54" cm="1">
        <f t="array" ref="CU124">IFERROR(VLOOKUP($A124,TRANSPOSE('[1]Fur 3 PLC'!$AS$1:$BX$38),18,0),0)</f>
        <v>0</v>
      </c>
      <c r="CV124" s="54" cm="1">
        <f t="array" ref="CV124">IFERROR(VLOOKUP($A124,TRANSPOSE('[1]Fur 3 PLC'!$AR$1:$BV$38),15,0),0)</f>
        <v>0</v>
      </c>
      <c r="CW124" s="54" cm="1">
        <f t="array" ref="CW124">IFERROR(VLOOKUP($A124,TRANSPOSE('[1]Fur 3 PLC'!$CK$1:$DO$38),8,0),0)</f>
        <v>0</v>
      </c>
      <c r="CX124" s="54" cm="1">
        <f t="array" ref="CX124">IFERROR(VLOOKUP($A124,TRANSPOSE('[1]Fur 3 PLC'!$CK$1:$DO$38),30,0),0)</f>
        <v>0</v>
      </c>
      <c r="CY124" s="54" cm="1">
        <f t="array" ref="CY124">IFERROR(VLOOKUP($A124,TRANSPOSE('[1]Fur 3 PLC'!$CK$1:$DO$38),14,0),0)</f>
        <v>0</v>
      </c>
      <c r="CZ124" s="54" cm="1">
        <f t="array" ref="CZ124">IFERROR(VLOOKUP($A124,TRANSPOSE('[1]Fur 3 PLC'!$CK$1:$DO$38),16,0),0)</f>
        <v>0</v>
      </c>
      <c r="DA124" s="54" cm="1">
        <f t="array" ref="DA124">IFERROR(VLOOKUP($A124,TRANSPOSE('[1]Fur 3 PLC'!$CK$1:$DO$38),9,0),0)</f>
        <v>0</v>
      </c>
      <c r="DB124" s="55" cm="1">
        <f t="array" ref="DB124">IFERROR(VLOOKUP($A124,TRANSPOSE('[1]Fur 3 PLC'!$CK$1:$DO$38),17,0),0)</f>
        <v>0</v>
      </c>
      <c r="DC124" s="55" cm="1">
        <f t="array" ref="DC124">IFERROR(VLOOKUP($A124,TRANSPOSE('[1]Fur 3 PLC'!$CK$1:$DO$38),20,0),0)</f>
        <v>0</v>
      </c>
      <c r="DD124" s="54" cm="1">
        <f t="array" ref="DD124">IFERROR(VLOOKUP($A124,TRANSPOSE('[1]Fur 3 PLC'!$CK$1:$DO$38),28,0),0)</f>
        <v>0</v>
      </c>
      <c r="DE124" s="54" cm="1">
        <f t="array" ref="DE124">IFERROR(VLOOKUP($A124,TRANSPOSE('[1]Fur 3 PLC'!$CK$1:$DO$38),13,0),0)</f>
        <v>0</v>
      </c>
      <c r="DF124" s="54" cm="1">
        <f t="array" ref="DF124">IFERROR(VLOOKUP($A124,TRANSPOSE('[1]Fur 3 PLC'!$CK$1:$DO$38),37,0),0)</f>
        <v>0</v>
      </c>
      <c r="DG124" s="54" cm="1">
        <f t="array" ref="DG124">IFERROR(VLOOKUP($A124,TRANSPOSE('[1]Fur 3 PLC'!$CK$1:$DO$38),6,0),0)</f>
        <v>0</v>
      </c>
      <c r="DH124" s="54" cm="1">
        <f t="array" ref="DH124">IFERROR(VLOOKUP($A124,TRANSPOSE('[1]Fur 3 PLC'!$CK$1:$DO$38),21,0),0)</f>
        <v>0</v>
      </c>
      <c r="DI124" s="54" cm="1">
        <f t="array" ref="DI124">IFERROR(VLOOKUP($A124,TRANSPOSE('[1]Fur 3 PLC'!$CK$1:$DO$38),12,0),0)</f>
        <v>0</v>
      </c>
      <c r="DJ124" s="54" cm="1">
        <f t="array" ref="DJ124">IFERROR(VLOOKUP($A124,TRANSPOSE('[1]Fur 3 PLC'!$CK$1:$DO$38),25,0),0)</f>
        <v>0</v>
      </c>
      <c r="DK124" s="54" cm="1">
        <f t="array" ref="DK124">IFERROR(VLOOKUP($A124,TRANSPOSE('[1]Fur 3 PLC'!$CK$1:$DO$38),26,0),0)</f>
        <v>0</v>
      </c>
      <c r="DL124" s="54" cm="1">
        <f t="array" ref="DL124">IFERROR(VLOOKUP($A124,TRANSPOSE('[1]Fur 3 PLC'!$CK$1:$DO$38),27,0),0)</f>
        <v>0</v>
      </c>
      <c r="DM124" s="54" cm="1">
        <f t="array" ref="DM124">IFERROR(VLOOKUP($A124,TRANSPOSE('[1]Fur 3 PLC'!$CK$1:$DO$38),22,0),0)</f>
        <v>0</v>
      </c>
      <c r="DN124" s="54" cm="1">
        <f t="array" ref="DN124">IFERROR(VLOOKUP($A124,TRANSPOSE('[1]Fur 3 PLC'!$CK$1:$DO$38),19,0),0)</f>
        <v>0</v>
      </c>
      <c r="DO124" s="54" cm="1">
        <f t="array" ref="DO124">IFERROR(VLOOKUP($A124,TRANSPOSE('[1]Fur 3 PLC'!$CK$1:$DO$38),29,0),0)</f>
        <v>0</v>
      </c>
      <c r="DP124" s="54" cm="1">
        <f t="array" ref="DP124">IFERROR(VLOOKUP($A124,TRANSPOSE('[1]Fur 3 PLC'!$CK$1:$DO$38),10,0),0)</f>
        <v>0</v>
      </c>
      <c r="DQ124" s="54" cm="1">
        <f t="array" ref="DQ124">IFERROR(VLOOKUP($A124,TRANSPOSE('[1]Fur 3 PLC'!$CK$1:$DO$38),7,0),0)</f>
        <v>0</v>
      </c>
      <c r="DR124" s="54" cm="1">
        <f t="array" ref="DR124">IFERROR(VLOOKUP($A124,TRANSPOSE('[1]Fur 3 PLC'!$CK$1:$DO$38),35,0),0)</f>
        <v>0</v>
      </c>
      <c r="DS124" s="54" cm="1">
        <f t="array" ref="DS124">IFERROR(VLOOKUP($A124,TRANSPOSE('[1]Fur 3 PLC'!$CK$1:$DO$38),11,0),0)</f>
        <v>0</v>
      </c>
      <c r="DT124" s="54" cm="1">
        <f t="array" ref="DT124">IFERROR(VLOOKUP($A124,TRANSPOSE('[1]Fur 3 PLC'!$CK$1:$DO$38),19,0),0)</f>
        <v>0</v>
      </c>
      <c r="DU124" s="54" cm="1">
        <f t="array" ref="DU124">IFERROR(VLOOKUP($A124,TRANSPOSE('[1]Fur 3 PLC'!$CK$1:$DO$38),18,0),0)</f>
        <v>0</v>
      </c>
      <c r="DV124" s="54" cm="1">
        <f t="array" ref="DV124">IFERROR(VLOOKUP($A124,TRANSPOSE('[1]Fur 3 PLC'!$CK$1:$DO$38),15,0),0)</f>
        <v>0</v>
      </c>
      <c r="DW124" t="str">
        <f t="shared" si="152"/>
        <v>Dec-25</v>
      </c>
    </row>
    <row r="125" spans="1:127" x14ac:dyDescent="0.3">
      <c r="A125" s="28" t="str">
        <f t="shared" si="140"/>
        <v>F446022</v>
      </c>
      <c r="B125" s="29" t="s">
        <v>29</v>
      </c>
      <c r="C125" s="30">
        <f>C124</f>
        <v>46022</v>
      </c>
      <c r="D125" s="29" t="str">
        <f>VLOOKUP($B125&amp;$C125,'[1]FC4 Prod'!$A$6:$BP$36,[2]Consolidated!D$1)</f>
        <v>Mr.Ganesh Ghosh Ji</v>
      </c>
      <c r="E125" s="29">
        <f>VLOOKUP($B125&amp;$C125,'[1]FC4 Prod'!$A$6:$BP$36,[2]Consolidated!E$1)</f>
        <v>0</v>
      </c>
      <c r="F125" s="31">
        <f>VLOOKUP($B125&amp;$C125,'[1]FC4 Prod'!$A$6:$BP$36,[2]Consolidated!F$1)</f>
        <v>0</v>
      </c>
      <c r="G125" s="32" t="e">
        <f>VLOOKUP($B125&amp;$C125,'[1]FC4 Prod'!$A$6:$BP$36,[2]Consolidated!G$1)</f>
        <v>#REF!</v>
      </c>
      <c r="H125" s="32">
        <f>VLOOKUP($B125&amp;$C125,'[1]FC4 Prod'!$A$6:$BP$36,[2]Consolidated!H$1)</f>
        <v>0</v>
      </c>
      <c r="I125" s="32">
        <f>VLOOKUP($B125&amp;$C125,'[1]FC4 Prod'!$A$6:$BP$36,[2]Consolidated!I$1)</f>
        <v>0</v>
      </c>
      <c r="J125" s="32">
        <f>VLOOKUP($B125&amp;$C125,'[1]FC4 Prod'!$A$6:$BP$36,[2]Consolidated!J$1)</f>
        <v>0</v>
      </c>
      <c r="K125" s="32">
        <f>VLOOKUP($B125&amp;$C125,'[1]FC4 Prod'!$A$6:$BP$36,[2]Consolidated!K$1)</f>
        <v>0</v>
      </c>
      <c r="L125" s="32">
        <f>VLOOKUP($B125&amp;$C125,'[1]FC4 Prod'!$A$6:$BP$36,[2]Consolidated!L$1)</f>
        <v>0</v>
      </c>
      <c r="M125" s="32">
        <f>VLOOKUP($B125&amp;$C125,'[1]FC4 Prod'!$A$6:$BP$36,[2]Consolidated!M$1)</f>
        <v>0</v>
      </c>
      <c r="N125" s="32">
        <f>VLOOKUP($B125&amp;$C125,'[1]FC4 Prod'!$A$6:$BP$36,[2]Consolidated!N$1)</f>
        <v>0</v>
      </c>
      <c r="O125" s="32">
        <f>VLOOKUP($B125&amp;$C125,'[1]FC4 Prod'!$A$6:$BP$36,[2]Consolidated!O$1)</f>
        <v>0</v>
      </c>
      <c r="P125" s="33">
        <f>VLOOKUP($B125&amp;$C125,'[1]FC4 Prod'!$A$6:$BP$36,[2]Consolidated!P$1)</f>
        <v>12</v>
      </c>
      <c r="Q125" s="29">
        <f>VLOOKUP($B125&amp;$C125,'[1]FC4 Prod'!$A$6:$BP$36,[2]Consolidated!Q$1)</f>
        <v>0</v>
      </c>
      <c r="R125" s="29">
        <f>VLOOKUP($B125&amp;$C125,'[1]FC4 Prod'!$A$6:$BP$36,[2]Consolidated!R$1)</f>
        <v>0</v>
      </c>
      <c r="S125" s="34" t="e">
        <f>VLOOKUP($B125&amp;$C125,'[1]FC4 Prod'!$A$6:$BP$36,[2]Consolidated!S$1)</f>
        <v>#REF!</v>
      </c>
      <c r="T125" s="34" t="e">
        <f>VLOOKUP($B125&amp;$C125,'[1]FC4 Prod'!$A$6:$BP$36,[2]Consolidated!T$1)</f>
        <v>#REF!</v>
      </c>
      <c r="U125" s="34" t="e">
        <f>VLOOKUP($B125&amp;$C125,'[1]FC4 Prod'!$A$6:$BP$36,[2]Consolidated!U$1)</f>
        <v>#REF!</v>
      </c>
      <c r="V125" s="34">
        <f>VLOOKUP($B125&amp;$C125,'[1]FC4 Prod'!$A$6:$BP$36,[2]Consolidated!V$1)</f>
        <v>0</v>
      </c>
      <c r="W125" s="35">
        <f>VLOOKUP($B125&amp;$C125,'[1]FC4 Prod'!$A$6:$BP$36,[2]Consolidated!W$1)</f>
        <v>0</v>
      </c>
      <c r="X125" s="35">
        <f>VLOOKUP($B125&amp;$C125,'[1]FC4 Prod'!$A$6:$BP$36,[2]Consolidated!X$1)</f>
        <v>0</v>
      </c>
      <c r="Y125" s="36">
        <f>VLOOKUP($B125&amp;$C125,'[1]FC4 Prod'!$A$6:$BP$36,[2]Consolidated!Y$1)</f>
        <v>0</v>
      </c>
      <c r="Z125" s="37" t="e">
        <f>VLOOKUP($B125&amp;$C125,'[1]FC4 Prod'!$A$6:$BP$36,[2]Consolidated!Z$1)</f>
        <v>#REF!</v>
      </c>
      <c r="AA125" s="31">
        <f>VLOOKUP($B125&amp;$C125,'[1]FC4 Prod'!$A$6:$BP$36,[2]Consolidated!AA$1)</f>
        <v>0</v>
      </c>
      <c r="AB125" s="31">
        <f>VLOOKUP($B125&amp;$C125,'[1]FC4 Prod'!$A$6:$BP$36,[2]Consolidated!AB$1)</f>
        <v>0</v>
      </c>
      <c r="AC125" s="31">
        <f>VLOOKUP($B125&amp;$C125,'[1]FC4 Prod'!$A$6:$BP$36,[2]Consolidated!AC$1)</f>
        <v>0</v>
      </c>
      <c r="AD125" s="38">
        <f>VLOOKUP($B125&amp;$C125,'[1]FC4 Prod'!$A$6:$BP$36,[2]Consolidated!AD$1)</f>
        <v>0</v>
      </c>
      <c r="AE125" s="38">
        <f>VLOOKUP($B125&amp;$C125,'[1]FC4 Prod'!$A$6:$BP$36,[2]Consolidated!AE$1)</f>
        <v>0</v>
      </c>
      <c r="AF125" s="39">
        <f>VLOOKUP($B125&amp;$C125,'[1]FC4 Prod'!$A$6:$BP$36,[2]Consolidated!AF$1)</f>
        <v>0</v>
      </c>
      <c r="AG125" s="39">
        <f>VLOOKUP($B125&amp;$C125,'[1]FC4 Prod'!$A$6:$BP$36,[2]Consolidated!AG$1)</f>
        <v>0</v>
      </c>
      <c r="AH125" s="34">
        <f>VLOOKUP($B125&amp;$C125,'[1]FC4 Prod'!$A$6:$BP$36,[2]Consolidated!AH$1)</f>
        <v>0</v>
      </c>
      <c r="AI125" s="33">
        <f>VLOOKUP($B125&amp;$C125,'[1]FC4 Prod'!$A$6:$BP$36,[2]Consolidated!AI$1)</f>
        <v>0</v>
      </c>
      <c r="AJ125" s="39">
        <f>VLOOKUP($B125&amp;$C125,'[1]FC4 Prod'!$A$6:$BP$36,[2]Consolidated!AJ$1)</f>
        <v>0</v>
      </c>
      <c r="AK125" s="39">
        <f>VLOOKUP($B125&amp;$C125,'[1]FC4 Prod'!$A$6:$BP$36,[2]Consolidated!AK$1)</f>
        <v>0</v>
      </c>
      <c r="AL125" s="40" t="e">
        <f>VLOOKUP($B125&amp;$C125,'[1]FC4 Prod'!$A$6:$BP$36,[2]Consolidated!AL$1)</f>
        <v>#REF!</v>
      </c>
      <c r="AM125" s="41">
        <f>VLOOKUP($B125&amp;$C125,'[1]FC4 Prod'!$A$6:$BP$36,[2]Consolidated!AM$1)</f>
        <v>0</v>
      </c>
      <c r="AN125" s="42" t="e">
        <f>VLOOKUP($B125&amp;$C125,'[1]FC4 Prod'!$A$6:$BP$36,[2]Consolidated!AN$1)</f>
        <v>#REF!</v>
      </c>
      <c r="AO125" s="43" t="e">
        <f>VLOOKUP($B125&amp;$C125,'[1]FC4 Prod'!$A$6:$BP$36,[2]Consolidated!AO$1)</f>
        <v>#REF!</v>
      </c>
      <c r="AP125" s="44">
        <f>VLOOKUP($B125&amp;$C125,'[1]FC4 Prod'!$A$6:$BP$36,[2]Consolidated!AP$1)</f>
        <v>0</v>
      </c>
      <c r="AQ125" s="44">
        <f>VLOOKUP($B125&amp;$C125,'[1]FC4 Prod'!$A$6:$BP$36,[2]Consolidated!AQ$1)</f>
        <v>0</v>
      </c>
      <c r="AR125" s="45">
        <f>VLOOKUP($B125&amp;$C125,'[1]FC4 Prod'!$A$6:$BP$36,[2]Consolidated!AR$1)</f>
        <v>0</v>
      </c>
      <c r="AS125" s="46">
        <f>VLOOKUP($B125&amp;$C125,'[1]FC4 Prod'!$A$6:$BP$36,[2]Consolidated!AS$1)</f>
        <v>0</v>
      </c>
      <c r="AT125" s="29">
        <f>VLOOKUP($B125&amp;$C125,'[1]FC4 Prod'!$A$6:$BP$36,[2]Consolidated!AT$1)</f>
        <v>0</v>
      </c>
      <c r="AU125" s="34">
        <f>VLOOKUP($B125&amp;$C125,'[1]FC4 Prod'!$A$6:$BP$36,[2]Consolidated!AU$1)</f>
        <v>0</v>
      </c>
      <c r="AV125" s="34">
        <f>VLOOKUP($B125&amp;$C125,'[1]FC4 Prod'!$A$6:$BP$36,[2]Consolidated!AV$1)</f>
        <v>0</v>
      </c>
      <c r="AW125" s="47">
        <f>VLOOKUP($B125&amp;$C125,'[1]FC4 Prod'!$A$6:$BP$36,[2]Consolidated!AW$1)</f>
        <v>0</v>
      </c>
      <c r="AX125" s="47">
        <f>VLOOKUP($B125&amp;$C125,'[1]FC4 Prod'!$A$6:$BP$36,[2]Consolidated!AX$1)</f>
        <v>0</v>
      </c>
      <c r="AY125" s="48">
        <f>VLOOKUP($B125&amp;$C125,'[1]FC4 Prod'!$A$6:$BP$36,[2]Consolidated!AY$1)</f>
        <v>0</v>
      </c>
      <c r="AZ125" s="47">
        <f>VLOOKUP($B125&amp;$C125,'[1]FC4 Prod'!$A$6:$BP$36,[2]Consolidated!AZ$1)</f>
        <v>0</v>
      </c>
      <c r="BA125" s="47">
        <f>VLOOKUP($B125&amp;$C125,'[1]FC4 Prod'!$A$6:$BP$36,[2]Consolidated!BA$1)</f>
        <v>0</v>
      </c>
      <c r="BB125" s="47">
        <f>VLOOKUP($B125&amp;$C125,'[1]FC4 Prod'!$A$6:$BP$36,[2]Consolidated!BB$1)</f>
        <v>0</v>
      </c>
      <c r="BC125" s="47">
        <f>VLOOKUP($B125&amp;$C125,'[1]FC4 Prod'!$A$6:$BP$36,[2]Consolidated!BC$1)</f>
        <v>0</v>
      </c>
      <c r="BD125" s="49">
        <f>VLOOKUP($B125&amp;$C125,'[1]FC4 Prod'!$A$6:$BP$36,[2]Consolidated!BD$1)</f>
        <v>0</v>
      </c>
      <c r="BE125" s="47">
        <f>VLOOKUP($B125&amp;$C125,'[1]FC4 Prod'!$A$6:$BP$36,[2]Consolidated!BE$1)</f>
        <v>0</v>
      </c>
      <c r="BF125" s="47">
        <f>VLOOKUP($B125&amp;$C125,'[1]FC4 Prod'!$A$6:$BP$36,[2]Consolidated!BF$1)</f>
        <v>0</v>
      </c>
      <c r="BG125" s="50">
        <f>VLOOKUP($B125&amp;$C125,'[1]FC4 Prod'!$A$6:$BP$36,[2]Consolidated!BG$1)</f>
        <v>0</v>
      </c>
      <c r="BH125" s="50">
        <f>VLOOKUP($B125&amp;$C125,'[1]FC4 Prod'!$A$6:$BP$36,[2]Consolidated!BH$1)</f>
        <v>0</v>
      </c>
      <c r="BI125" s="50">
        <f>VLOOKUP($B125&amp;$C125,'[1]FC4 Prod'!$A$6:$BP$36,[2]Consolidated!BI$1)</f>
        <v>0</v>
      </c>
      <c r="BJ125" s="37" t="e">
        <f>VLOOKUP($B125&amp;$C125,'[1]FC4 Prod'!$A$6:$BP$36,[2]Consolidated!BJ$1)</f>
        <v>#REF!</v>
      </c>
      <c r="BK125" s="37" t="e">
        <f>VLOOKUP($B125&amp;$C125,'[1]FC4 Prod'!$A$6:$BP$36,[2]Consolidated!BK$1)</f>
        <v>#REF!</v>
      </c>
      <c r="BL125" s="37" t="e">
        <f>VLOOKUP($B125&amp;$C125,'[1]FC4 Prod'!$A$6:$BP$36,[2]Consolidated!BL$1)</f>
        <v>#REF!</v>
      </c>
      <c r="BM125" s="37" t="e">
        <f>VLOOKUP($B125&amp;$C125,'[1]FC4 Prod'!$A$6:$BP$36,[2]Consolidated!BM$1)</f>
        <v>#REF!</v>
      </c>
      <c r="BN125" s="37" t="e">
        <f>VLOOKUP($B125&amp;$C125,'[1]FC4 Prod'!$A$6:$BP$36,[2]Consolidated!BN$1)</f>
        <v>#REF!</v>
      </c>
      <c r="BO125" s="37" t="e">
        <f>VLOOKUP($B125&amp;$C125,'[1]FC4 Prod'!$A$6:$BP$36,[2]Consolidated!BO$1)</f>
        <v>#REF!</v>
      </c>
      <c r="BP125" s="37" t="e">
        <f>VLOOKUP($B125&amp;$C125,'[1]FC4 Prod'!$A$6:$BP$36,[2]Consolidated!BP$1)</f>
        <v>#REF!</v>
      </c>
      <c r="BQ125" s="51" t="e">
        <f>VLOOKUP($B125&amp;$C125,'[1]FC4 Prod'!$A$6:$BP$36,[2]Consolidated!BQ$1)</f>
        <v>#REF!</v>
      </c>
      <c r="BR125" s="51">
        <f>VLOOKUP($B125&amp;$C125,'[1]FC4 Prod'!$A$6:$BQ$36,[2]Consolidated!BR$1)</f>
        <v>41644</v>
      </c>
      <c r="BS125" s="52">
        <f t="shared" ref="BS125" si="155">BE125+BF125*110%+BG125+BA125</f>
        <v>0</v>
      </c>
      <c r="BT125" s="32">
        <f t="shared" si="153"/>
        <v>41644</v>
      </c>
      <c r="BU125" s="37">
        <f t="shared" si="154"/>
        <v>0</v>
      </c>
      <c r="BV125" s="53" t="s">
        <v>133</v>
      </c>
      <c r="BW125" s="54" cm="1">
        <f t="array" ref="BW125">IFERROR(VLOOKUP($A125,TRANSPOSE('[1]Fur 4 PLC'!$AR$1:$BV$39),8,0),0)</f>
        <v>0</v>
      </c>
      <c r="BX125" s="54" cm="1">
        <f t="array" ref="BX125">IFERROR(VLOOKUP($A125,TRANSPOSE('[1]Fur 4 PLC'!$AR$1:$BV$39),30,0),0)</f>
        <v>0</v>
      </c>
      <c r="BY125" s="54" cm="1">
        <f t="array" ref="BY125">IFERROR(VLOOKUP($A125,TRANSPOSE('[1]Fur 4 PLC'!$AR$1:$BV$39),14,0),0)</f>
        <v>0</v>
      </c>
      <c r="BZ125" s="54" cm="1">
        <f t="array" ref="BZ125">IFERROR(VLOOKUP($A125,TRANSPOSE('[1]Fur 4 PLC'!$AR$1:$BV$39),16,0),0)</f>
        <v>0</v>
      </c>
      <c r="CA125" s="54" cm="1">
        <f t="array" ref="CA125">IFERROR(VLOOKUP($A125,TRANSPOSE('[1]Fur 4 PLC'!$AR$1:$BV$39),9,0),0)</f>
        <v>0</v>
      </c>
      <c r="CB125" s="54" cm="1">
        <f t="array" ref="CB125">IFERROR(VLOOKUP($A125,TRANSPOSE('[1]Fur 4 PLC'!$AR$1:$BV$39),17,0),0)</f>
        <v>0</v>
      </c>
      <c r="CC125" s="54" cm="1">
        <f t="array" ref="CC125">IFERROR(VLOOKUP($A125,TRANSPOSE('[1]Fur 4 PLC'!$AR$1:$BV$39),20,0),0)</f>
        <v>0</v>
      </c>
      <c r="CD125" s="54" cm="1">
        <f t="array" ref="CD125">IFERROR(VLOOKUP($A125,TRANSPOSE('[1]Fur 4 PLC'!$AR$1:$BV$39),28,0),0)</f>
        <v>0</v>
      </c>
      <c r="CE125" s="54" cm="1">
        <f t="array" ref="CE125">IFERROR(VLOOKUP($A125,TRANSPOSE('[1]Fur 4 PLC'!$AR$1:$BV$39),13,0),0)</f>
        <v>0</v>
      </c>
      <c r="CF125" s="54" cm="1">
        <f t="array" ref="CF125">IFERROR(VLOOKUP($A125,TRANSPOSE('[1]Fur 4 PLC'!$AR$1:$BV$39),37,0),0)</f>
        <v>0</v>
      </c>
      <c r="CG125" s="54" cm="1">
        <f t="array" ref="CG125">IFERROR(VLOOKUP($A125,TRANSPOSE('[1]Fur 4 PLC'!$AR$1:$BV$39),6,0),0)</f>
        <v>0</v>
      </c>
      <c r="CH125" s="54" cm="1">
        <f t="array" ref="CH125">IFERROR(VLOOKUP($A125,TRANSPOSE('[1]Fur 4 PLC'!$AR$1:$BV$39),21,0),0)</f>
        <v>0</v>
      </c>
      <c r="CI125" s="54" cm="1">
        <f t="array" ref="CI125">IFERROR(VLOOKUP($A125,TRANSPOSE('[1]Fur 4 PLC'!$AR$1:$BV$39),12,0),0)</f>
        <v>0</v>
      </c>
      <c r="CJ125" s="54" cm="1">
        <f t="array" ref="CJ125">IFERROR(VLOOKUP($A125,TRANSPOSE('[1]Fur 4 PLC'!$AR$1:$BV$39),25,0),0)</f>
        <v>0</v>
      </c>
      <c r="CK125" s="54" cm="1">
        <f t="array" ref="CK125">IFERROR(VLOOKUP($A125,TRANSPOSE('[1]Fur 4 PLC'!$AR$1:$BV$39),26,0),0)</f>
        <v>0</v>
      </c>
      <c r="CL125" s="54" cm="1">
        <f t="array" ref="CL125">IFERROR(VLOOKUP($A125,TRANSPOSE('[1]Fur 4 PLC'!$AR$1:$BV$39),27,0),0)</f>
        <v>0</v>
      </c>
      <c r="CM125" s="54" cm="1">
        <f t="array" ref="CM125">IFERROR(VLOOKUP($A125,TRANSPOSE('[1]Fur 4 PLC'!$AR$1:$BV$39),22,0),0)</f>
        <v>0</v>
      </c>
      <c r="CN125" s="54"/>
      <c r="CO125" s="54" cm="1">
        <f t="array" ref="CO125">IFERROR(VLOOKUP($A125,TRANSPOSE('[1]Fur 4 PLC'!$AR$1:$BV$39),29,0),0)</f>
        <v>0</v>
      </c>
      <c r="CP125" s="54" cm="1">
        <f t="array" ref="CP125">IFERROR(VLOOKUP($A125,TRANSPOSE('[1]Fur 4 PLC'!$AR$1:$BV$39),10,0),0)</f>
        <v>0</v>
      </c>
      <c r="CQ125" s="54" cm="1">
        <f t="array" ref="CQ125">IFERROR(VLOOKUP($A125,TRANSPOSE('[1]Fur 4 PLC'!$AR$1:$BV$39),7,0),0)</f>
        <v>0</v>
      </c>
      <c r="CR125" s="54" cm="1">
        <f t="array" ref="CR125">IFERROR(VLOOKUP($A125,TRANSPOSE('[1]Fur 4 PLC'!$AR$1:$BV$39),36,0),0)</f>
        <v>0</v>
      </c>
      <c r="CS125" s="54" cm="1">
        <f t="array" ref="CS125">IFERROR(VLOOKUP($A125,TRANSPOSE('[1]Fur 4 PLC'!$AR$1:$BV$39),11,0),0)</f>
        <v>0</v>
      </c>
      <c r="CT125" s="54" cm="1">
        <f t="array" ref="CT125">IFERROR(VLOOKUP($A125,TRANSPOSE('[1]Fur 4 PLC'!$AR$1:$BV$39),19,0),0)</f>
        <v>0</v>
      </c>
      <c r="CU125" s="54" cm="1">
        <f t="array" ref="CU125">IFERROR(VLOOKUP($A125,TRANSPOSE('[1]Fur 4 PLC'!$AR$1:$BV$39),18,0),0)</f>
        <v>0</v>
      </c>
      <c r="CV125" s="54" cm="1">
        <f t="array" ref="CV125">IFERROR(VLOOKUP($A125,TRANSPOSE('[1]Fur 4 PLC'!$AR$1:$BV$38),15,0),0)</f>
        <v>0</v>
      </c>
      <c r="CW125" s="54" cm="1">
        <f t="array" ref="CW125">IFERROR(VLOOKUP($A125,TRANSPOSE('[1]Fur 4 PLC'!$CK$1:$DO$39),8,0),0)</f>
        <v>0</v>
      </c>
      <c r="CX125" s="54" cm="1">
        <f t="array" ref="CX125">IFERROR(VLOOKUP($A125,TRANSPOSE('[1]Fur 4 PLC'!$CK$1:$DO$39),30,0),0)</f>
        <v>0</v>
      </c>
      <c r="CY125" s="54" cm="1">
        <f t="array" ref="CY125">IFERROR(VLOOKUP($A125,TRANSPOSE('[1]Fur 4 PLC'!$CK$1:$DO$39),14,0),0)</f>
        <v>0</v>
      </c>
      <c r="CZ125" s="54" cm="1">
        <f t="array" ref="CZ125">IFERROR(VLOOKUP($A125,TRANSPOSE('[1]Fur 4 PLC'!$CK$1:$DO$39),16,0),0)</f>
        <v>0</v>
      </c>
      <c r="DA125" s="54" cm="1">
        <f t="array" ref="DA125">IFERROR(VLOOKUP($A125,TRANSPOSE('[1]Fur 4 PLC'!$CK$1:$DO$39),9,0),0)</f>
        <v>0</v>
      </c>
      <c r="DB125" s="55" cm="1">
        <f t="array" ref="DB125">IFERROR(VLOOKUP($A125,TRANSPOSE('[1]Fur 4 PLC'!$CK$1:$DO$39),17,0),0)</f>
        <v>0</v>
      </c>
      <c r="DC125" s="55" cm="1">
        <f t="array" ref="DC125">IFERROR(VLOOKUP($A125,TRANSPOSE('[1]Fur 4 PLC'!$CK$1:$DO$39),20,0),0)</f>
        <v>0</v>
      </c>
      <c r="DD125" s="54" cm="1">
        <f t="array" ref="DD125">IFERROR(VLOOKUP($A125,TRANSPOSE('[1]Fur 4 PLC'!$CK$1:$DO$39),28,0),0)</f>
        <v>0</v>
      </c>
      <c r="DE125" s="54" cm="1">
        <f t="array" ref="DE125">IFERROR(VLOOKUP($A125,TRANSPOSE('[1]Fur 4 PLC'!$CK$1:$DO$39),13,0),0)</f>
        <v>0</v>
      </c>
      <c r="DF125" s="54" cm="1">
        <f t="array" ref="DF125">IFERROR(VLOOKUP($A125,TRANSPOSE('[1]Fur 4 PLC'!$CK$1:$DO$39),37,0),0)</f>
        <v>0</v>
      </c>
      <c r="DG125" s="54" cm="1">
        <f t="array" ref="DG125">IFERROR(VLOOKUP($A125,TRANSPOSE('[1]Fur 4 PLC'!$CK$1:$DO$39),6,0),0)</f>
        <v>0</v>
      </c>
      <c r="DH125" s="54" cm="1">
        <f t="array" ref="DH125">IFERROR(VLOOKUP($A125,TRANSPOSE('[1]Fur 4 PLC'!$CK$1:$DO$39),21,0),0)</f>
        <v>0</v>
      </c>
      <c r="DI125" s="54" cm="1">
        <f t="array" ref="DI125">IFERROR(VLOOKUP($A125,TRANSPOSE('[1]Fur 4 PLC'!$CK$1:$DO$39),12,0),0)</f>
        <v>0</v>
      </c>
      <c r="DJ125" s="54" cm="1">
        <f t="array" ref="DJ125">IFERROR(VLOOKUP($A125,TRANSPOSE('[1]Fur 4 PLC'!$CK$1:$DO$39),25,0),0)</f>
        <v>0</v>
      </c>
      <c r="DK125" s="54" cm="1">
        <f t="array" ref="DK125">IFERROR(VLOOKUP($A125,TRANSPOSE('[1]Fur 4 PLC'!$CK$1:$DO$39),26,0),0)</f>
        <v>0</v>
      </c>
      <c r="DL125" s="54" cm="1">
        <f t="array" ref="DL125">IFERROR(VLOOKUP($A125,TRANSPOSE('[1]Fur 4 PLC'!$CK$1:$DO$39),27,0),0)</f>
        <v>0</v>
      </c>
      <c r="DM125" s="54" cm="1">
        <f t="array" ref="DM125">IFERROR(VLOOKUP($A125,TRANSPOSE('[1]Fur 4 PLC'!$CK$1:$DO$39),22,0),0)</f>
        <v>0</v>
      </c>
      <c r="DN125" s="54" cm="1">
        <f t="array" ref="DN125">IFERROR(VLOOKUP($A125,TRANSPOSE('[1]Fur 4 PLC'!$CK$1:$DO$39),19,0),0)</f>
        <v>0</v>
      </c>
      <c r="DO125" s="54" cm="1">
        <f t="array" ref="DO125">IFERROR(VLOOKUP($A125,TRANSPOSE('[1]Fur 4 PLC'!$CK$1:$DO$39),29,0),0)</f>
        <v>0</v>
      </c>
      <c r="DP125" s="54" cm="1">
        <f t="array" ref="DP125">IFERROR(VLOOKUP($A125,TRANSPOSE('[1]Fur 4 PLC'!$CK$1:$DO$39),10,0),0)</f>
        <v>0</v>
      </c>
      <c r="DQ125" s="54" cm="1">
        <f t="array" ref="DQ125">IFERROR(VLOOKUP($A125,TRANSPOSE('[1]Fur 4 PLC'!$CK$1:$DO$39),7,0),0)</f>
        <v>0</v>
      </c>
      <c r="DR125" s="54" cm="1">
        <f t="array" ref="DR125">IFERROR(VLOOKUP($A125,TRANSPOSE('[1]Fur 4 PLC'!$CK$1:$DO$39),36,0),0)</f>
        <v>0</v>
      </c>
      <c r="DS125" s="54" cm="1">
        <f t="array" ref="DS125">IFERROR(VLOOKUP($A125,TRANSPOSE('[1]Fur 4 PLC'!$CK$1:$DO$39),11,0),0)</f>
        <v>0</v>
      </c>
      <c r="DT125" s="54" cm="1">
        <f t="array" ref="DT125">IFERROR(VLOOKUP($A125,TRANSPOSE('[1]Fur 4 PLC'!$CK$1:$DO$39),19,0),0)</f>
        <v>0</v>
      </c>
      <c r="DU125" s="54" cm="1">
        <f t="array" ref="DU125">IFERROR(VLOOKUP($A125,TRANSPOSE('[1]Fur 4 PLC'!$CK$1:$DO$39),18,0),0)</f>
        <v>0</v>
      </c>
      <c r="DV125" s="54" cm="1">
        <f t="array" ref="DV125">IFERROR(VLOOKUP($A125,TRANSPOSE('[1]Fur 4 PLC'!$CK$1:$DO$39),15,0),0)</f>
        <v>0</v>
      </c>
      <c r="DW125" t="str">
        <f t="shared" si="152"/>
        <v>Dec-25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tripathi</cp:lastModifiedBy>
  <dcterms:created xsi:type="dcterms:W3CDTF">2025-12-26T09:10:57Z</dcterms:created>
  <dcterms:modified xsi:type="dcterms:W3CDTF">2025-12-26T09:30:44Z</dcterms:modified>
</cp:coreProperties>
</file>